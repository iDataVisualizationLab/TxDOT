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0-5832-MEPDG\CRCP Program\"/>
    </mc:Choice>
  </mc:AlternateContent>
  <bookViews>
    <workbookView xWindow="0" yWindow="0" windowWidth="28800" windowHeight="12420" tabRatio="895"/>
  </bookViews>
  <sheets>
    <sheet name="Input" sheetId="34" r:id="rId1"/>
    <sheet name="Temperature" sheetId="31" r:id="rId2"/>
    <sheet name="Soil Classification" sheetId="43" r:id="rId3"/>
    <sheet name="K-Table" sheetId="33" r:id="rId4"/>
    <sheet name="Composite K" sheetId="35" r:id="rId5"/>
    <sheet name="S-Table" sheetId="41" r:id="rId6"/>
    <sheet name="Stress" sheetId="42" r:id="rId7"/>
    <sheet name="Analysis Result" sheetId="36" r:id="rId8"/>
    <sheet name="Final Result" sheetId="40" r:id="rId9"/>
    <sheet name="Time vs. Cumulative Damage" sheetId="16" state="hidden" r:id="rId10"/>
    <sheet name="Cumulative Damage vs. Punchouts" sheetId="23" state="hidden" r:id="rId11"/>
    <sheet name="Time vs. Punchout" sheetId="22" r:id="rId12"/>
  </sheets>
  <functionGroups builtInGroupCount="18"/>
  <definedNames>
    <definedName name="AASHTO">'Soil Classification'!$C$21:$C$32</definedName>
    <definedName name="ABL">Temperature!$B$304:$B$316</definedName>
    <definedName name="AMA">Temperature!$B$319:$B$335</definedName>
    <definedName name="ATL">Temperature!$B$338:$B$346</definedName>
    <definedName name="AUS">Temperature!$B$349:$B$359</definedName>
    <definedName name="BMT">Temperature!$B$362:$B$369</definedName>
    <definedName name="BRY">Temperature!$B$372:$B$381</definedName>
    <definedName name="BWD">Temperature!$B$384:$B$392</definedName>
    <definedName name="CHS">Temperature!$B$395:$B$407</definedName>
    <definedName name="Classification">'Soil Classification'!$C$2:$D$2</definedName>
    <definedName name="CRP">Temperature!$B$410:$B$419</definedName>
    <definedName name="DAL">Temperature!$B$422:$B$428</definedName>
    <definedName name="District">Temperature!$A$303:$A$327</definedName>
    <definedName name="ELP">Temperature!$B$431:$B$436</definedName>
    <definedName name="FTW">Temperature!$B$439:$B$447</definedName>
    <definedName name="HOU">Temperature!$B$450:$B$455</definedName>
    <definedName name="LBB">Temperature!$B$458:$B$474</definedName>
    <definedName name="LFK">Temperature!$B$477:$B$485</definedName>
    <definedName name="LRD">Temperature!$B$488:$B$495</definedName>
    <definedName name="ODA">Temperature!$B$498:$B$509</definedName>
    <definedName name="PAR">Temperature!$B$512:$B$520</definedName>
    <definedName name="PHR">Temperature!$B$523:$B$530</definedName>
    <definedName name="SAT">Temperature!$B$533:$B$544</definedName>
    <definedName name="SJT">Temperature!$B$547:$B$561</definedName>
    <definedName name="TYL">Temperature!$B$564:$B$571</definedName>
    <definedName name="USCS">'Soil Classification'!$D$21:$D$34</definedName>
    <definedName name="WAC">Temperature!$B$574:$B$581</definedName>
    <definedName name="WFS">Temperature!$B$584:$B$592</definedName>
    <definedName name="YKM">Temperature!$B$595:$B$605</definedName>
  </definedNames>
  <calcPr calcId="152511"/>
</workbook>
</file>

<file path=xl/calcChain.xml><?xml version="1.0" encoding="utf-8"?>
<calcChain xmlns="http://schemas.openxmlformats.org/spreadsheetml/2006/main">
  <c r="D2" i="35" l="1"/>
  <c r="B2" i="42" l="1"/>
  <c r="D2" i="42" s="1"/>
  <c r="C2" i="42" l="1"/>
  <c r="AF3" i="42"/>
  <c r="AF4" i="42"/>
  <c r="AF5" i="42"/>
  <c r="AF6" i="42"/>
  <c r="AF7" i="42"/>
  <c r="AF8" i="42"/>
  <c r="AF9" i="42"/>
  <c r="AF10" i="42"/>
  <c r="AF11" i="42"/>
  <c r="AF12" i="42"/>
  <c r="AF13" i="42"/>
  <c r="AF2" i="42"/>
  <c r="AJ3" i="42"/>
  <c r="AJ4" i="42"/>
  <c r="AJ5" i="42"/>
  <c r="AJ6" i="42"/>
  <c r="AJ7" i="42"/>
  <c r="AJ8" i="42"/>
  <c r="AJ9" i="42"/>
  <c r="AJ10" i="42"/>
  <c r="AJ11" i="42"/>
  <c r="AJ12" i="42"/>
  <c r="AJ13" i="42"/>
  <c r="AJ2" i="42"/>
  <c r="J1008" i="42" l="1"/>
  <c r="G1008" i="42"/>
  <c r="I1005" i="42"/>
  <c r="H1009" i="42"/>
  <c r="G1002" i="42"/>
  <c r="G1009" i="42"/>
  <c r="I1007" i="42"/>
  <c r="H1005" i="42"/>
  <c r="J1006" i="42"/>
  <c r="I1003" i="42"/>
  <c r="K1005" i="42"/>
  <c r="G1003" i="42"/>
  <c r="J1005" i="42"/>
  <c r="K1009" i="42"/>
  <c r="J1009" i="42"/>
  <c r="I1002" i="42"/>
  <c r="J1002" i="42"/>
  <c r="K1007" i="42"/>
  <c r="K1004" i="42"/>
  <c r="H1008" i="42"/>
  <c r="K1002" i="42"/>
  <c r="K1003" i="42"/>
  <c r="G1007" i="42"/>
  <c r="I1008" i="42"/>
  <c r="J1003" i="42"/>
  <c r="H1003" i="42"/>
  <c r="G1005" i="42"/>
  <c r="I1006" i="42"/>
  <c r="I1004" i="42"/>
  <c r="G1006" i="42"/>
  <c r="K1008" i="42"/>
  <c r="J1004" i="42"/>
  <c r="H1002" i="42"/>
  <c r="H1007" i="42"/>
  <c r="G1004" i="42"/>
  <c r="I1009" i="42"/>
  <c r="J1007" i="42"/>
  <c r="K1006" i="42"/>
  <c r="H1006" i="42"/>
  <c r="H1004" i="42"/>
  <c r="AH7" i="42"/>
  <c r="AH2" i="42"/>
  <c r="AI2" i="42" s="1"/>
  <c r="AH12" i="42"/>
  <c r="AH10" i="42"/>
  <c r="AH5" i="42"/>
  <c r="AH4" i="42"/>
  <c r="AH13" i="42"/>
  <c r="AH11" i="42"/>
  <c r="AH3" i="42"/>
  <c r="AH6" i="42"/>
  <c r="AH9" i="42"/>
  <c r="AH8" i="42"/>
  <c r="A2" i="35" l="1"/>
  <c r="B2" i="35" s="1"/>
  <c r="C2" i="35" l="1"/>
  <c r="E2" i="35" s="1"/>
  <c r="F19" i="34" l="1"/>
  <c r="B3" i="42" s="1"/>
  <c r="AA2" i="42"/>
  <c r="AK4" i="42" l="1"/>
  <c r="AK7" i="42"/>
  <c r="AK6" i="42"/>
  <c r="AK5" i="42"/>
  <c r="D3" i="42"/>
  <c r="AK10" i="42"/>
  <c r="AK9" i="42"/>
  <c r="AK8" i="42"/>
  <c r="AK13" i="42"/>
  <c r="AK12" i="42"/>
  <c r="AK2" i="42"/>
  <c r="AK3" i="42"/>
  <c r="C3" i="42"/>
  <c r="I954" i="42" s="1"/>
  <c r="AK11" i="42"/>
  <c r="H967" i="42"/>
  <c r="K963" i="42"/>
  <c r="G966" i="42"/>
  <c r="G968" i="42"/>
  <c r="J964" i="42"/>
  <c r="K965" i="42"/>
  <c r="J969" i="42"/>
  <c r="K969" i="42"/>
  <c r="H968" i="42"/>
  <c r="I963" i="42"/>
  <c r="J957" i="42"/>
  <c r="J967" i="42"/>
  <c r="K968" i="42"/>
  <c r="J966" i="42"/>
  <c r="G969" i="42"/>
  <c r="H962" i="42"/>
  <c r="K964" i="42"/>
  <c r="I965" i="42"/>
  <c r="H966" i="42"/>
  <c r="G963" i="42"/>
  <c r="K967" i="42"/>
  <c r="I967" i="42"/>
  <c r="G967" i="42"/>
  <c r="I969" i="42"/>
  <c r="J962" i="42"/>
  <c r="H963" i="42"/>
  <c r="H969" i="42"/>
  <c r="G965" i="42"/>
  <c r="I962" i="42"/>
  <c r="K966" i="42"/>
  <c r="G964" i="42"/>
  <c r="J965" i="42"/>
  <c r="G962" i="42"/>
  <c r="H964" i="42"/>
  <c r="I964" i="42"/>
  <c r="I968" i="42"/>
  <c r="I966" i="42"/>
  <c r="J963" i="42"/>
  <c r="K962" i="42"/>
  <c r="J968" i="42"/>
  <c r="H965" i="42"/>
  <c r="H914" i="42"/>
  <c r="J920" i="42"/>
  <c r="H921" i="42"/>
  <c r="G918" i="42"/>
  <c r="I916" i="42"/>
  <c r="J918" i="42"/>
  <c r="H917" i="42"/>
  <c r="G920" i="42"/>
  <c r="I917" i="42"/>
  <c r="K915" i="42"/>
  <c r="J917" i="42"/>
  <c r="H920" i="42"/>
  <c r="H918" i="42"/>
  <c r="G917" i="42"/>
  <c r="K920" i="42"/>
  <c r="G919" i="42"/>
  <c r="H916" i="42"/>
  <c r="G914" i="42"/>
  <c r="J916" i="42"/>
  <c r="J915" i="42"/>
  <c r="K917" i="42"/>
  <c r="K921" i="42"/>
  <c r="I919" i="42"/>
  <c r="G915" i="42"/>
  <c r="I921" i="42"/>
  <c r="J921" i="42"/>
  <c r="I914" i="42"/>
  <c r="I918" i="42"/>
  <c r="K916" i="42"/>
  <c r="I915" i="42"/>
  <c r="G916" i="42"/>
  <c r="J914" i="42"/>
  <c r="I920" i="42"/>
  <c r="G921" i="42"/>
  <c r="K914" i="42"/>
  <c r="J919" i="42"/>
  <c r="H915" i="42"/>
  <c r="K919" i="42"/>
  <c r="H919" i="42"/>
  <c r="K918" i="42"/>
  <c r="I890" i="42"/>
  <c r="I892" i="42"/>
  <c r="J894" i="42"/>
  <c r="G892" i="42"/>
  <c r="J890" i="42"/>
  <c r="H893" i="42"/>
  <c r="J896" i="42"/>
  <c r="K896" i="42"/>
  <c r="H892" i="42"/>
  <c r="J893" i="42"/>
  <c r="K893" i="42"/>
  <c r="J897" i="42"/>
  <c r="H891" i="42"/>
  <c r="I891" i="42"/>
  <c r="G897" i="42"/>
  <c r="G893" i="42"/>
  <c r="K894" i="42"/>
  <c r="H895" i="42"/>
  <c r="I895" i="42"/>
  <c r="G891" i="42"/>
  <c r="J895" i="42"/>
  <c r="I893" i="42"/>
  <c r="I894" i="42"/>
  <c r="H890" i="42"/>
  <c r="K890" i="42"/>
  <c r="J891" i="42"/>
  <c r="I896" i="42"/>
  <c r="K897" i="42"/>
  <c r="G894" i="42"/>
  <c r="K891" i="42"/>
  <c r="I897" i="42"/>
  <c r="G890" i="42"/>
  <c r="H897" i="42"/>
  <c r="H896" i="42"/>
  <c r="K895" i="42"/>
  <c r="K892" i="42"/>
  <c r="G895" i="42"/>
  <c r="G896" i="42"/>
  <c r="H894" i="42"/>
  <c r="J892" i="42"/>
  <c r="G884" i="42"/>
  <c r="J888" i="42"/>
  <c r="H889" i="42"/>
  <c r="J885" i="42"/>
  <c r="J887" i="42"/>
  <c r="H885" i="42"/>
  <c r="G887" i="42"/>
  <c r="J886" i="42"/>
  <c r="K884" i="42"/>
  <c r="H887" i="42"/>
  <c r="K886" i="42"/>
  <c r="J889" i="42"/>
  <c r="G886" i="42"/>
  <c r="K888" i="42"/>
  <c r="G888" i="42"/>
  <c r="H886" i="42"/>
  <c r="I884" i="42"/>
  <c r="H884" i="42"/>
  <c r="K885" i="42"/>
  <c r="I886" i="42"/>
  <c r="G885" i="42"/>
  <c r="I885" i="42"/>
  <c r="I887" i="42"/>
  <c r="I888" i="42"/>
  <c r="J884" i="42"/>
  <c r="K887" i="42"/>
  <c r="H888" i="42"/>
  <c r="G889" i="42"/>
  <c r="I889" i="42"/>
  <c r="K889" i="42"/>
  <c r="K922" i="42"/>
  <c r="H922" i="42"/>
  <c r="H924" i="42"/>
  <c r="J926" i="42"/>
  <c r="J928" i="42"/>
  <c r="J930" i="42"/>
  <c r="G933" i="42"/>
  <c r="G935" i="42"/>
  <c r="G937" i="42"/>
  <c r="I922" i="42"/>
  <c r="K924" i="42"/>
  <c r="K926" i="42"/>
  <c r="K928" i="42"/>
  <c r="H931" i="42"/>
  <c r="H933" i="42"/>
  <c r="H935" i="42"/>
  <c r="J937" i="42"/>
  <c r="G925" i="42"/>
  <c r="I931" i="42"/>
  <c r="K937" i="42"/>
  <c r="H923" i="42"/>
  <c r="H925" i="42"/>
  <c r="H927" i="42"/>
  <c r="J929" i="42"/>
  <c r="J931" i="42"/>
  <c r="J933" i="42"/>
  <c r="G936" i="42"/>
  <c r="I923" i="42"/>
  <c r="I925" i="42"/>
  <c r="I927" i="42"/>
  <c r="K929" i="42"/>
  <c r="K931" i="42"/>
  <c r="K933" i="42"/>
  <c r="H936" i="42"/>
  <c r="J923" i="42"/>
  <c r="J925" i="42"/>
  <c r="G928" i="42"/>
  <c r="G930" i="42"/>
  <c r="G932" i="42"/>
  <c r="I934" i="42"/>
  <c r="I936" i="42"/>
  <c r="G922" i="42"/>
  <c r="I926" i="42"/>
  <c r="I930" i="42"/>
  <c r="K934" i="42"/>
  <c r="G927" i="42"/>
  <c r="I933" i="42"/>
  <c r="K923" i="42"/>
  <c r="K925" i="42"/>
  <c r="H928" i="42"/>
  <c r="H930" i="42"/>
  <c r="H932" i="42"/>
  <c r="J934" i="42"/>
  <c r="J936" i="42"/>
  <c r="G924" i="42"/>
  <c r="I928" i="42"/>
  <c r="K932" i="42"/>
  <c r="K936" i="42"/>
  <c r="J922" i="42"/>
  <c r="G929" i="42"/>
  <c r="I935" i="42"/>
  <c r="K935" i="42"/>
  <c r="G923" i="42"/>
  <c r="G926" i="42"/>
  <c r="H937" i="42"/>
  <c r="G931" i="42"/>
  <c r="K930" i="42"/>
  <c r="I937" i="42"/>
  <c r="H934" i="42"/>
  <c r="I924" i="42"/>
  <c r="K927" i="42"/>
  <c r="H929" i="42"/>
  <c r="J927" i="42"/>
  <c r="J932" i="42"/>
  <c r="J935" i="42"/>
  <c r="G934" i="42"/>
  <c r="H926" i="42"/>
  <c r="J924" i="42"/>
  <c r="I929" i="42"/>
  <c r="I932" i="42"/>
  <c r="G410" i="42"/>
  <c r="J411" i="42"/>
  <c r="H413" i="42"/>
  <c r="K414" i="42"/>
  <c r="I416" i="42"/>
  <c r="G418" i="42"/>
  <c r="J419" i="42"/>
  <c r="H421" i="42"/>
  <c r="K422" i="42"/>
  <c r="I424" i="42"/>
  <c r="G426" i="42"/>
  <c r="J427" i="42"/>
  <c r="H429" i="42"/>
  <c r="K430" i="42"/>
  <c r="I432" i="42"/>
  <c r="G450" i="42"/>
  <c r="J451" i="42"/>
  <c r="H453" i="42"/>
  <c r="I456" i="42"/>
  <c r="G458" i="42"/>
  <c r="J459" i="42"/>
  <c r="H461" i="42"/>
  <c r="K462" i="42"/>
  <c r="I464" i="42"/>
  <c r="H493" i="42"/>
  <c r="G498" i="42"/>
  <c r="J499" i="42"/>
  <c r="H501" i="42"/>
  <c r="K502" i="42"/>
  <c r="I504" i="42"/>
  <c r="G522" i="42"/>
  <c r="J523" i="42"/>
  <c r="H525" i="42"/>
  <c r="K526" i="42"/>
  <c r="I528" i="42"/>
  <c r="G530" i="42"/>
  <c r="J531" i="42"/>
  <c r="H533" i="42"/>
  <c r="H410" i="42"/>
  <c r="K411" i="42"/>
  <c r="I413" i="42"/>
  <c r="G415" i="42"/>
  <c r="J416" i="42"/>
  <c r="H418" i="42"/>
  <c r="K419" i="42"/>
  <c r="I421" i="42"/>
  <c r="G423" i="42"/>
  <c r="J424" i="42"/>
  <c r="H426" i="42"/>
  <c r="K427" i="42"/>
  <c r="I429" i="42"/>
  <c r="G431" i="42"/>
  <c r="J432" i="42"/>
  <c r="H450" i="42"/>
  <c r="K451" i="42"/>
  <c r="I453" i="42"/>
  <c r="J456" i="42"/>
  <c r="H458" i="42"/>
  <c r="K459" i="42"/>
  <c r="I461" i="42"/>
  <c r="G463" i="42"/>
  <c r="J464" i="42"/>
  <c r="K483" i="42"/>
  <c r="J496" i="42"/>
  <c r="H498" i="42"/>
  <c r="K499" i="42"/>
  <c r="I501" i="42"/>
  <c r="G503" i="42"/>
  <c r="J504" i="42"/>
  <c r="H522" i="42"/>
  <c r="K523" i="42"/>
  <c r="I525" i="42"/>
  <c r="G527" i="42"/>
  <c r="J528" i="42"/>
  <c r="H530" i="42"/>
  <c r="K531" i="42"/>
  <c r="I533" i="42"/>
  <c r="I410" i="42"/>
  <c r="G412" i="42"/>
  <c r="J413" i="42"/>
  <c r="H415" i="42"/>
  <c r="K416" i="42"/>
  <c r="I418" i="42"/>
  <c r="G420" i="42"/>
  <c r="J421" i="42"/>
  <c r="H423" i="42"/>
  <c r="K424" i="42"/>
  <c r="I426" i="42"/>
  <c r="G428" i="42"/>
  <c r="J429" i="42"/>
  <c r="H431" i="42"/>
  <c r="K432" i="42"/>
  <c r="I450" i="42"/>
  <c r="G452" i="42"/>
  <c r="J453" i="42"/>
  <c r="K456" i="42"/>
  <c r="I458" i="42"/>
  <c r="G460" i="42"/>
  <c r="J461" i="42"/>
  <c r="H463" i="42"/>
  <c r="K464" i="42"/>
  <c r="J485" i="42"/>
  <c r="I498" i="42"/>
  <c r="G500" i="42"/>
  <c r="J501" i="42"/>
  <c r="H503" i="42"/>
  <c r="K504" i="42"/>
  <c r="G508" i="42"/>
  <c r="I522" i="42"/>
  <c r="G524" i="42"/>
  <c r="J525" i="42"/>
  <c r="H527" i="42"/>
  <c r="K528" i="42"/>
  <c r="I530" i="42"/>
  <c r="G532" i="42"/>
  <c r="J533" i="42"/>
  <c r="H535" i="42"/>
  <c r="K536" i="42"/>
  <c r="I538" i="42"/>
  <c r="G540" i="42"/>
  <c r="J541" i="42"/>
  <c r="H543" i="42"/>
  <c r="K544" i="42"/>
  <c r="J410" i="42"/>
  <c r="K412" i="42"/>
  <c r="J415" i="42"/>
  <c r="K417" i="42"/>
  <c r="J420" i="42"/>
  <c r="I423" i="42"/>
  <c r="J425" i="42"/>
  <c r="I428" i="42"/>
  <c r="J430" i="42"/>
  <c r="I433" i="42"/>
  <c r="H451" i="42"/>
  <c r="H456" i="42"/>
  <c r="G459" i="42"/>
  <c r="K461" i="42"/>
  <c r="G464" i="42"/>
  <c r="H500" i="42"/>
  <c r="I502" i="42"/>
  <c r="H505" i="42"/>
  <c r="G523" i="42"/>
  <c r="K525" i="42"/>
  <c r="G528" i="42"/>
  <c r="K530" i="42"/>
  <c r="G533" i="42"/>
  <c r="I535" i="42"/>
  <c r="H537" i="42"/>
  <c r="G539" i="42"/>
  <c r="K540" i="42"/>
  <c r="J542" i="42"/>
  <c r="I544" i="42"/>
  <c r="H546" i="42"/>
  <c r="K547" i="42"/>
  <c r="I549" i="42"/>
  <c r="G551" i="42"/>
  <c r="J552" i="42"/>
  <c r="H554" i="42"/>
  <c r="K555" i="42"/>
  <c r="I557" i="42"/>
  <c r="G559" i="42"/>
  <c r="J560" i="42"/>
  <c r="H578" i="42"/>
  <c r="K579" i="42"/>
  <c r="I581" i="42"/>
  <c r="G583" i="42"/>
  <c r="J584" i="42"/>
  <c r="H586" i="42"/>
  <c r="K587" i="42"/>
  <c r="I589" i="42"/>
  <c r="G591" i="42"/>
  <c r="J592" i="42"/>
  <c r="K410" i="42"/>
  <c r="G413" i="42"/>
  <c r="K415" i="42"/>
  <c r="J418" i="42"/>
  <c r="K420" i="42"/>
  <c r="J423" i="42"/>
  <c r="K425" i="42"/>
  <c r="J428" i="42"/>
  <c r="I431" i="42"/>
  <c r="J433" i="42"/>
  <c r="I451" i="42"/>
  <c r="H454" i="42"/>
  <c r="G457" i="42"/>
  <c r="H459" i="42"/>
  <c r="G462" i="42"/>
  <c r="H464" i="42"/>
  <c r="I500" i="42"/>
  <c r="J502" i="42"/>
  <c r="I505" i="42"/>
  <c r="H508" i="42"/>
  <c r="H523" i="42"/>
  <c r="G526" i="42"/>
  <c r="H528" i="42"/>
  <c r="G531" i="42"/>
  <c r="K533" i="42"/>
  <c r="J535" i="42"/>
  <c r="I537" i="42"/>
  <c r="H539" i="42"/>
  <c r="G541" i="42"/>
  <c r="K542" i="42"/>
  <c r="J544" i="42"/>
  <c r="I546" i="42"/>
  <c r="G548" i="42"/>
  <c r="G411" i="42"/>
  <c r="K413" i="42"/>
  <c r="G416" i="42"/>
  <c r="K418" i="42"/>
  <c r="G421" i="42"/>
  <c r="K423" i="42"/>
  <c r="J426" i="42"/>
  <c r="K428" i="42"/>
  <c r="J431" i="42"/>
  <c r="K433" i="42"/>
  <c r="H452" i="42"/>
  <c r="I454" i="42"/>
  <c r="I459" i="42"/>
  <c r="H462" i="42"/>
  <c r="G465" i="42"/>
  <c r="J500" i="42"/>
  <c r="I503" i="42"/>
  <c r="J505" i="42"/>
  <c r="I513" i="42"/>
  <c r="I523" i="42"/>
  <c r="H526" i="42"/>
  <c r="G529" i="42"/>
  <c r="H531" i="42"/>
  <c r="G534" i="42"/>
  <c r="K535" i="42"/>
  <c r="J537" i="42"/>
  <c r="I539" i="42"/>
  <c r="H541" i="42"/>
  <c r="G543" i="42"/>
  <c r="G545" i="42"/>
  <c r="J546" i="42"/>
  <c r="H548" i="42"/>
  <c r="K549" i="42"/>
  <c r="I551" i="42"/>
  <c r="G553" i="42"/>
  <c r="J554" i="42"/>
  <c r="H556" i="42"/>
  <c r="K557" i="42"/>
  <c r="I559" i="42"/>
  <c r="G561" i="42"/>
  <c r="H411" i="42"/>
  <c r="J414" i="42"/>
  <c r="H419" i="42"/>
  <c r="J422" i="42"/>
  <c r="H427" i="42"/>
  <c r="K431" i="42"/>
  <c r="I452" i="42"/>
  <c r="I460" i="42"/>
  <c r="K463" i="42"/>
  <c r="G489" i="42"/>
  <c r="G501" i="42"/>
  <c r="G505" i="42"/>
  <c r="G525" i="42"/>
  <c r="J529" i="42"/>
  <c r="H534" i="42"/>
  <c r="J536" i="42"/>
  <c r="K539" i="42"/>
  <c r="I542" i="42"/>
  <c r="J545" i="42"/>
  <c r="I548" i="42"/>
  <c r="I550" i="42"/>
  <c r="I552" i="42"/>
  <c r="K554" i="42"/>
  <c r="K556" i="42"/>
  <c r="K558" i="42"/>
  <c r="H561" i="42"/>
  <c r="K578" i="42"/>
  <c r="J580" i="42"/>
  <c r="I582" i="42"/>
  <c r="H584" i="42"/>
  <c r="G586" i="42"/>
  <c r="G588" i="42"/>
  <c r="K589" i="42"/>
  <c r="J591" i="42"/>
  <c r="I593" i="42"/>
  <c r="G595" i="42"/>
  <c r="J596" i="42"/>
  <c r="H598" i="42"/>
  <c r="K599" i="42"/>
  <c r="I601" i="42"/>
  <c r="G619" i="42"/>
  <c r="J620" i="42"/>
  <c r="K623" i="42"/>
  <c r="I625" i="42"/>
  <c r="G627" i="42"/>
  <c r="J628" i="42"/>
  <c r="H630" i="42"/>
  <c r="K631" i="42"/>
  <c r="I633" i="42"/>
  <c r="G659" i="42"/>
  <c r="I411" i="42"/>
  <c r="I415" i="42"/>
  <c r="I419" i="42"/>
  <c r="G424" i="42"/>
  <c r="I427" i="42"/>
  <c r="G432" i="42"/>
  <c r="J452" i="42"/>
  <c r="J460" i="42"/>
  <c r="H465" i="42"/>
  <c r="H489" i="42"/>
  <c r="K501" i="42"/>
  <c r="K505" i="42"/>
  <c r="I526" i="42"/>
  <c r="K529" i="42"/>
  <c r="I534" i="42"/>
  <c r="G537" i="42"/>
  <c r="H540" i="42"/>
  <c r="I543" i="42"/>
  <c r="K545" i="42"/>
  <c r="J548" i="42"/>
  <c r="J550" i="42"/>
  <c r="K552" i="42"/>
  <c r="G555" i="42"/>
  <c r="G557" i="42"/>
  <c r="H559" i="42"/>
  <c r="I561" i="42"/>
  <c r="G579" i="42"/>
  <c r="K580" i="42"/>
  <c r="J582" i="42"/>
  <c r="I584" i="42"/>
  <c r="I586" i="42"/>
  <c r="H588" i="42"/>
  <c r="G590" i="42"/>
  <c r="K591" i="42"/>
  <c r="J593" i="42"/>
  <c r="H595" i="42"/>
  <c r="K596" i="42"/>
  <c r="I598" i="42"/>
  <c r="G600" i="42"/>
  <c r="J601" i="42"/>
  <c r="H619" i="42"/>
  <c r="K620" i="42"/>
  <c r="G624" i="42"/>
  <c r="J625" i="42"/>
  <c r="H627" i="42"/>
  <c r="K628" i="42"/>
  <c r="I630" i="42"/>
  <c r="G632" i="42"/>
  <c r="J633" i="42"/>
  <c r="H412" i="42"/>
  <c r="H416" i="42"/>
  <c r="H420" i="42"/>
  <c r="H424" i="42"/>
  <c r="H428" i="42"/>
  <c r="H432" i="42"/>
  <c r="K452" i="42"/>
  <c r="I457" i="42"/>
  <c r="K460" i="42"/>
  <c r="I465" i="42"/>
  <c r="G486" i="42"/>
  <c r="J498" i="42"/>
  <c r="G502" i="42"/>
  <c r="J522" i="42"/>
  <c r="J526" i="42"/>
  <c r="J530" i="42"/>
  <c r="J534" i="42"/>
  <c r="K537" i="42"/>
  <c r="I540" i="42"/>
  <c r="J543" i="42"/>
  <c r="G546" i="42"/>
  <c r="K548" i="42"/>
  <c r="K550" i="42"/>
  <c r="H553" i="42"/>
  <c r="H555" i="42"/>
  <c r="H557" i="42"/>
  <c r="J559" i="42"/>
  <c r="J561" i="42"/>
  <c r="H579" i="42"/>
  <c r="G581" i="42"/>
  <c r="K582" i="42"/>
  <c r="K584" i="42"/>
  <c r="J586" i="42"/>
  <c r="I588" i="42"/>
  <c r="H590" i="42"/>
  <c r="G592" i="42"/>
  <c r="K593" i="42"/>
  <c r="I595" i="42"/>
  <c r="G597" i="42"/>
  <c r="J598" i="42"/>
  <c r="H600" i="42"/>
  <c r="K601" i="42"/>
  <c r="I619" i="42"/>
  <c r="J622" i="42"/>
  <c r="H624" i="42"/>
  <c r="K625" i="42"/>
  <c r="I627" i="42"/>
  <c r="G629" i="42"/>
  <c r="J630" i="42"/>
  <c r="H632" i="42"/>
  <c r="K633" i="42"/>
  <c r="H656" i="42"/>
  <c r="G414" i="42"/>
  <c r="I417" i="42"/>
  <c r="G422" i="42"/>
  <c r="I425" i="42"/>
  <c r="G430" i="42"/>
  <c r="J450" i="42"/>
  <c r="J458" i="42"/>
  <c r="J462" i="42"/>
  <c r="K495" i="42"/>
  <c r="H499" i="42"/>
  <c r="K503" i="42"/>
  <c r="I524" i="42"/>
  <c r="K527" i="42"/>
  <c r="I532" i="42"/>
  <c r="G536" i="42"/>
  <c r="J538" i="42"/>
  <c r="K541" i="42"/>
  <c r="H544" i="42"/>
  <c r="H547" i="42"/>
  <c r="J549" i="42"/>
  <c r="K551" i="42"/>
  <c r="K553" i="42"/>
  <c r="G556" i="42"/>
  <c r="H558" i="42"/>
  <c r="H560" i="42"/>
  <c r="G578" i="42"/>
  <c r="G580" i="42"/>
  <c r="K581" i="42"/>
  <c r="J583" i="42"/>
  <c r="I585" i="42"/>
  <c r="H587" i="42"/>
  <c r="G589" i="42"/>
  <c r="K590" i="42"/>
  <c r="K592" i="42"/>
  <c r="I594" i="42"/>
  <c r="G596" i="42"/>
  <c r="J597" i="42"/>
  <c r="H599" i="42"/>
  <c r="K600" i="42"/>
  <c r="I412" i="42"/>
  <c r="I420" i="42"/>
  <c r="G429" i="42"/>
  <c r="G453" i="42"/>
  <c r="G461" i="42"/>
  <c r="H486" i="42"/>
  <c r="H502" i="42"/>
  <c r="I527" i="42"/>
  <c r="K534" i="42"/>
  <c r="J540" i="42"/>
  <c r="K546" i="42"/>
  <c r="H551" i="42"/>
  <c r="I555" i="42"/>
  <c r="K559" i="42"/>
  <c r="I579" i="42"/>
  <c r="H583" i="42"/>
  <c r="K586" i="42"/>
  <c r="I590" i="42"/>
  <c r="G594" i="42"/>
  <c r="H597" i="42"/>
  <c r="I600" i="42"/>
  <c r="I618" i="42"/>
  <c r="I623" i="42"/>
  <c r="H626" i="42"/>
  <c r="I628" i="42"/>
  <c r="H631" i="42"/>
  <c r="K659" i="42"/>
  <c r="G667" i="42"/>
  <c r="J668" i="42"/>
  <c r="H670" i="42"/>
  <c r="K671" i="42"/>
  <c r="I673" i="42"/>
  <c r="G691" i="42"/>
  <c r="J692" i="42"/>
  <c r="H694" i="42"/>
  <c r="K695" i="42"/>
  <c r="I697" i="42"/>
  <c r="G699" i="42"/>
  <c r="J700" i="42"/>
  <c r="H702" i="42"/>
  <c r="K703" i="42"/>
  <c r="I705" i="42"/>
  <c r="G707" i="42"/>
  <c r="J708" i="42"/>
  <c r="H710" i="42"/>
  <c r="K711" i="42"/>
  <c r="I713" i="42"/>
  <c r="G715" i="42"/>
  <c r="J716" i="42"/>
  <c r="H718" i="42"/>
  <c r="K719" i="42"/>
  <c r="I721" i="42"/>
  <c r="G723" i="42"/>
  <c r="J724" i="42"/>
  <c r="H726" i="42"/>
  <c r="K727" i="42"/>
  <c r="I729" i="42"/>
  <c r="G747" i="42"/>
  <c r="J748" i="42"/>
  <c r="H750" i="42"/>
  <c r="K751" i="42"/>
  <c r="I753" i="42"/>
  <c r="G755" i="42"/>
  <c r="J756" i="42"/>
  <c r="H758" i="42"/>
  <c r="K759" i="42"/>
  <c r="I761" i="42"/>
  <c r="G763" i="42"/>
  <c r="J764" i="42"/>
  <c r="H766" i="42"/>
  <c r="K767" i="42"/>
  <c r="I769" i="42"/>
  <c r="J412" i="42"/>
  <c r="K421" i="42"/>
  <c r="K429" i="42"/>
  <c r="K453" i="42"/>
  <c r="I462" i="42"/>
  <c r="J503" i="42"/>
  <c r="J527" i="42"/>
  <c r="G535" i="42"/>
  <c r="I541" i="42"/>
  <c r="G547" i="42"/>
  <c r="J551" i="42"/>
  <c r="J555" i="42"/>
  <c r="G560" i="42"/>
  <c r="J579" i="42"/>
  <c r="I583" i="42"/>
  <c r="G587" i="42"/>
  <c r="J590" i="42"/>
  <c r="H594" i="42"/>
  <c r="I597" i="42"/>
  <c r="J600" i="42"/>
  <c r="I621" i="42"/>
  <c r="J623" i="42"/>
  <c r="I626" i="42"/>
  <c r="H629" i="42"/>
  <c r="I631" i="42"/>
  <c r="G658" i="42"/>
  <c r="H667" i="42"/>
  <c r="K668" i="42"/>
  <c r="I670" i="42"/>
  <c r="G672" i="42"/>
  <c r="J673" i="42"/>
  <c r="H691" i="42"/>
  <c r="K692" i="42"/>
  <c r="I694" i="42"/>
  <c r="G696" i="42"/>
  <c r="J697" i="42"/>
  <c r="H699" i="42"/>
  <c r="K700" i="42"/>
  <c r="I702" i="42"/>
  <c r="G704" i="42"/>
  <c r="J705" i="42"/>
  <c r="H707" i="42"/>
  <c r="K708" i="42"/>
  <c r="I710" i="42"/>
  <c r="G712" i="42"/>
  <c r="J713" i="42"/>
  <c r="H715" i="42"/>
  <c r="K716" i="42"/>
  <c r="I718" i="42"/>
  <c r="G720" i="42"/>
  <c r="J721" i="42"/>
  <c r="H723" i="42"/>
  <c r="K724" i="42"/>
  <c r="I726" i="42"/>
  <c r="G728" i="42"/>
  <c r="H414" i="42"/>
  <c r="H422" i="42"/>
  <c r="H430" i="42"/>
  <c r="I455" i="42"/>
  <c r="I463" i="42"/>
  <c r="G504" i="42"/>
  <c r="G512" i="42"/>
  <c r="H529" i="42"/>
  <c r="H536" i="42"/>
  <c r="G542" i="42"/>
  <c r="I547" i="42"/>
  <c r="G552" i="42"/>
  <c r="I556" i="42"/>
  <c r="I560" i="42"/>
  <c r="H580" i="42"/>
  <c r="K583" i="42"/>
  <c r="I587" i="42"/>
  <c r="H591" i="42"/>
  <c r="J594" i="42"/>
  <c r="K597" i="42"/>
  <c r="G601" i="42"/>
  <c r="K618" i="42"/>
  <c r="J621" i="42"/>
  <c r="I624" i="42"/>
  <c r="J626" i="42"/>
  <c r="I629" i="42"/>
  <c r="J631" i="42"/>
  <c r="I662" i="42"/>
  <c r="I667" i="42"/>
  <c r="G669" i="42"/>
  <c r="J670" i="42"/>
  <c r="H672" i="42"/>
  <c r="K673" i="42"/>
  <c r="G419" i="42"/>
  <c r="G427" i="42"/>
  <c r="G451" i="42"/>
  <c r="H460" i="42"/>
  <c r="K500" i="42"/>
  <c r="K524" i="42"/>
  <c r="K532" i="42"/>
  <c r="J539" i="42"/>
  <c r="I545" i="42"/>
  <c r="H550" i="42"/>
  <c r="I554" i="42"/>
  <c r="J558" i="42"/>
  <c r="J578" i="42"/>
  <c r="H582" i="42"/>
  <c r="K585" i="42"/>
  <c r="J589" i="42"/>
  <c r="H593" i="42"/>
  <c r="I596" i="42"/>
  <c r="J599" i="42"/>
  <c r="I620" i="42"/>
  <c r="H623" i="42"/>
  <c r="G626" i="42"/>
  <c r="H628" i="42"/>
  <c r="G631" i="42"/>
  <c r="H633" i="42"/>
  <c r="H665" i="42"/>
  <c r="K666" i="42"/>
  <c r="I668" i="42"/>
  <c r="G670" i="42"/>
  <c r="J671" i="42"/>
  <c r="H673" i="42"/>
  <c r="K690" i="42"/>
  <c r="I692" i="42"/>
  <c r="G694" i="42"/>
  <c r="J695" i="42"/>
  <c r="H697" i="42"/>
  <c r="K698" i="42"/>
  <c r="I700" i="42"/>
  <c r="G702" i="42"/>
  <c r="J703" i="42"/>
  <c r="H705" i="42"/>
  <c r="K706" i="42"/>
  <c r="I414" i="42"/>
  <c r="I430" i="42"/>
  <c r="J463" i="42"/>
  <c r="H496" i="42"/>
  <c r="I529" i="42"/>
  <c r="H542" i="42"/>
  <c r="H552" i="42"/>
  <c r="K560" i="42"/>
  <c r="G584" i="42"/>
  <c r="I591" i="42"/>
  <c r="G598" i="42"/>
  <c r="J619" i="42"/>
  <c r="J629" i="42"/>
  <c r="I660" i="42"/>
  <c r="J667" i="42"/>
  <c r="K670" i="42"/>
  <c r="G690" i="42"/>
  <c r="H692" i="42"/>
  <c r="G695" i="42"/>
  <c r="K697" i="42"/>
  <c r="G700" i="42"/>
  <c r="K702" i="42"/>
  <c r="G705" i="42"/>
  <c r="K707" i="42"/>
  <c r="K709" i="42"/>
  <c r="H712" i="42"/>
  <c r="H714" i="42"/>
  <c r="H716" i="42"/>
  <c r="J718" i="42"/>
  <c r="J720" i="42"/>
  <c r="J722" i="42"/>
  <c r="G725" i="42"/>
  <c r="G727" i="42"/>
  <c r="G729" i="42"/>
  <c r="I747" i="42"/>
  <c r="H749" i="42"/>
  <c r="G751" i="42"/>
  <c r="K752" i="42"/>
  <c r="J754" i="42"/>
  <c r="I756" i="42"/>
  <c r="I758" i="42"/>
  <c r="H760" i="42"/>
  <c r="G762" i="42"/>
  <c r="K763" i="42"/>
  <c r="J765" i="42"/>
  <c r="I767" i="42"/>
  <c r="H769" i="42"/>
  <c r="J787" i="42"/>
  <c r="H789" i="42"/>
  <c r="K790" i="42"/>
  <c r="G794" i="42"/>
  <c r="J795" i="42"/>
  <c r="H797" i="42"/>
  <c r="K798" i="42"/>
  <c r="I800" i="42"/>
  <c r="H821" i="42"/>
  <c r="G834" i="42"/>
  <c r="J835" i="42"/>
  <c r="H837" i="42"/>
  <c r="K838" i="42"/>
  <c r="I840" i="42"/>
  <c r="G858" i="42"/>
  <c r="J859" i="42"/>
  <c r="H861" i="42"/>
  <c r="K862" i="42"/>
  <c r="I864" i="42"/>
  <c r="G866" i="42"/>
  <c r="J867" i="42"/>
  <c r="H869" i="42"/>
  <c r="K870" i="42"/>
  <c r="I872" i="42"/>
  <c r="G874" i="42"/>
  <c r="J875" i="42"/>
  <c r="H877" i="42"/>
  <c r="K878" i="42"/>
  <c r="I880" i="42"/>
  <c r="G882" i="42"/>
  <c r="J883" i="42"/>
  <c r="K859" i="42"/>
  <c r="G863" i="42"/>
  <c r="J864" i="42"/>
  <c r="K867" i="42"/>
  <c r="G871" i="42"/>
  <c r="J872" i="42"/>
  <c r="K875" i="42"/>
  <c r="G879" i="42"/>
  <c r="J880" i="42"/>
  <c r="K883" i="42"/>
  <c r="G417" i="42"/>
  <c r="G433" i="42"/>
  <c r="J465" i="42"/>
  <c r="K498" i="42"/>
  <c r="I531" i="42"/>
  <c r="K543" i="42"/>
  <c r="I553" i="42"/>
  <c r="K561" i="42"/>
  <c r="G585" i="42"/>
  <c r="H592" i="42"/>
  <c r="K598" i="42"/>
  <c r="K619" i="42"/>
  <c r="K629" i="42"/>
  <c r="K660" i="42"/>
  <c r="K667" i="42"/>
  <c r="G671" i="42"/>
  <c r="H690" i="42"/>
  <c r="G693" i="42"/>
  <c r="H695" i="42"/>
  <c r="G698" i="42"/>
  <c r="H700" i="42"/>
  <c r="G703" i="42"/>
  <c r="K705" i="42"/>
  <c r="G708" i="42"/>
  <c r="G710" i="42"/>
  <c r="I712" i="42"/>
  <c r="I714" i="42"/>
  <c r="I716" i="42"/>
  <c r="K718" i="42"/>
  <c r="K720" i="42"/>
  <c r="K722" i="42"/>
  <c r="H725" i="42"/>
  <c r="H727" i="42"/>
  <c r="H729" i="42"/>
  <c r="J747" i="42"/>
  <c r="I749" i="42"/>
  <c r="H751" i="42"/>
  <c r="G753" i="42"/>
  <c r="K754" i="42"/>
  <c r="K756" i="42"/>
  <c r="J758" i="42"/>
  <c r="I760" i="42"/>
  <c r="H762" i="42"/>
  <c r="G764" i="42"/>
  <c r="K765" i="42"/>
  <c r="J767" i="42"/>
  <c r="J769" i="42"/>
  <c r="H786" i="42"/>
  <c r="K787" i="42"/>
  <c r="I789" i="42"/>
  <c r="J792" i="42"/>
  <c r="H794" i="42"/>
  <c r="K795" i="42"/>
  <c r="I797" i="42"/>
  <c r="G799" i="42"/>
  <c r="J800" i="42"/>
  <c r="K827" i="42"/>
  <c r="H834" i="42"/>
  <c r="K835" i="42"/>
  <c r="I837" i="42"/>
  <c r="G839" i="42"/>
  <c r="J840" i="42"/>
  <c r="H858" i="42"/>
  <c r="I861" i="42"/>
  <c r="H866" i="42"/>
  <c r="I869" i="42"/>
  <c r="H874" i="42"/>
  <c r="I877" i="42"/>
  <c r="H882" i="42"/>
  <c r="H417" i="42"/>
  <c r="H433" i="42"/>
  <c r="K465" i="42"/>
  <c r="G499" i="42"/>
  <c r="H532" i="42"/>
  <c r="G544" i="42"/>
  <c r="J553" i="42"/>
  <c r="H585" i="42"/>
  <c r="I592" i="42"/>
  <c r="G599" i="42"/>
  <c r="G620" i="42"/>
  <c r="G625" i="42"/>
  <c r="G630" i="42"/>
  <c r="K656" i="42"/>
  <c r="G668" i="42"/>
  <c r="H671" i="42"/>
  <c r="I690" i="42"/>
  <c r="H693" i="42"/>
  <c r="I695" i="42"/>
  <c r="H698" i="42"/>
  <c r="G701" i="42"/>
  <c r="H703" i="42"/>
  <c r="G706" i="42"/>
  <c r="H708" i="42"/>
  <c r="J710" i="42"/>
  <c r="J712" i="42"/>
  <c r="J714" i="42"/>
  <c r="G717" i="42"/>
  <c r="G719" i="42"/>
  <c r="G721" i="42"/>
  <c r="I723" i="42"/>
  <c r="I725" i="42"/>
  <c r="I727" i="42"/>
  <c r="J729" i="42"/>
  <c r="J749" i="42"/>
  <c r="I751" i="42"/>
  <c r="G425" i="42"/>
  <c r="J457" i="42"/>
  <c r="K522" i="42"/>
  <c r="G538" i="42"/>
  <c r="G549" i="42"/>
  <c r="J557" i="42"/>
  <c r="H581" i="42"/>
  <c r="J588" i="42"/>
  <c r="J595" i="42"/>
  <c r="G622" i="42"/>
  <c r="J627" i="42"/>
  <c r="J632" i="42"/>
  <c r="I654" i="42"/>
  <c r="H666" i="42"/>
  <c r="I669" i="42"/>
  <c r="J672" i="42"/>
  <c r="J691" i="42"/>
  <c r="K693" i="42"/>
  <c r="J696" i="42"/>
  <c r="I699" i="42"/>
  <c r="J701" i="42"/>
  <c r="I704" i="42"/>
  <c r="J706" i="42"/>
  <c r="H709" i="42"/>
  <c r="H711" i="42"/>
  <c r="H713" i="42"/>
  <c r="J715" i="42"/>
  <c r="J717" i="42"/>
  <c r="J719" i="42"/>
  <c r="G722" i="42"/>
  <c r="G724" i="42"/>
  <c r="G726" i="42"/>
  <c r="I728" i="42"/>
  <c r="J746" i="42"/>
  <c r="I748" i="42"/>
  <c r="I750" i="42"/>
  <c r="H752" i="42"/>
  <c r="G754" i="42"/>
  <c r="K755" i="42"/>
  <c r="J757" i="42"/>
  <c r="I759" i="42"/>
  <c r="H761" i="42"/>
  <c r="H763" i="42"/>
  <c r="G765" i="42"/>
  <c r="K766" i="42"/>
  <c r="J768" i="42"/>
  <c r="J417" i="42"/>
  <c r="K450" i="42"/>
  <c r="H545" i="42"/>
  <c r="I578" i="42"/>
  <c r="G593" i="42"/>
  <c r="H625" i="42"/>
  <c r="K652" i="42"/>
  <c r="H668" i="42"/>
  <c r="I693" i="42"/>
  <c r="I698" i="42"/>
  <c r="I703" i="42"/>
  <c r="I708" i="42"/>
  <c r="K712" i="42"/>
  <c r="H717" i="42"/>
  <c r="H721" i="42"/>
  <c r="J725" i="42"/>
  <c r="K729" i="42"/>
  <c r="H747" i="42"/>
  <c r="J750" i="42"/>
  <c r="K753" i="42"/>
  <c r="G757" i="42"/>
  <c r="J759" i="42"/>
  <c r="J762" i="42"/>
  <c r="I765" i="42"/>
  <c r="I768" i="42"/>
  <c r="K786" i="42"/>
  <c r="K788" i="42"/>
  <c r="H791" i="42"/>
  <c r="H795" i="42"/>
  <c r="J797" i="42"/>
  <c r="J799" i="42"/>
  <c r="J801" i="42"/>
  <c r="K818" i="42"/>
  <c r="G836" i="42"/>
  <c r="G838" i="42"/>
  <c r="G840" i="42"/>
  <c r="H859" i="42"/>
  <c r="J861" i="42"/>
  <c r="J863" i="42"/>
  <c r="J865" i="42"/>
  <c r="G868" i="42"/>
  <c r="G870" i="42"/>
  <c r="G872" i="42"/>
  <c r="I874" i="42"/>
  <c r="I876" i="42"/>
  <c r="I878" i="42"/>
  <c r="K880" i="42"/>
  <c r="K882" i="42"/>
  <c r="K829" i="42"/>
  <c r="H838" i="42"/>
  <c r="H840" i="42"/>
  <c r="I859" i="42"/>
  <c r="K861" i="42"/>
  <c r="K865" i="42"/>
  <c r="H870" i="42"/>
  <c r="H872" i="42"/>
  <c r="J876" i="42"/>
  <c r="J878" i="42"/>
  <c r="G883" i="42"/>
  <c r="I754" i="42"/>
  <c r="J760" i="42"/>
  <c r="G769" i="42"/>
  <c r="J793" i="42"/>
  <c r="G798" i="42"/>
  <c r="I836" i="42"/>
  <c r="G862" i="42"/>
  <c r="I868" i="42"/>
  <c r="K872" i="42"/>
  <c r="H879" i="42"/>
  <c r="K458" i="42"/>
  <c r="J524" i="42"/>
  <c r="G582" i="42"/>
  <c r="G618" i="42"/>
  <c r="K669" i="42"/>
  <c r="K704" i="42"/>
  <c r="G718" i="42"/>
  <c r="H748" i="42"/>
  <c r="K757" i="42"/>
  <c r="J766" i="42"/>
  <c r="K789" i="42"/>
  <c r="H796" i="42"/>
  <c r="J834" i="42"/>
  <c r="G841" i="42"/>
  <c r="H864" i="42"/>
  <c r="J870" i="42"/>
  <c r="G877" i="42"/>
  <c r="I883" i="42"/>
  <c r="I499" i="42"/>
  <c r="I599" i="42"/>
  <c r="K630" i="42"/>
  <c r="I422" i="42"/>
  <c r="J455" i="42"/>
  <c r="J547" i="42"/>
  <c r="I580" i="42"/>
  <c r="K594" i="42"/>
  <c r="K626" i="42"/>
  <c r="G654" i="42"/>
  <c r="H669" i="42"/>
  <c r="J693" i="42"/>
  <c r="J698" i="42"/>
  <c r="H704" i="42"/>
  <c r="G709" i="42"/>
  <c r="G713" i="42"/>
  <c r="I717" i="42"/>
  <c r="K721" i="42"/>
  <c r="K725" i="42"/>
  <c r="K747" i="42"/>
  <c r="K750" i="42"/>
  <c r="H754" i="42"/>
  <c r="H757" i="42"/>
  <c r="G760" i="42"/>
  <c r="K762" i="42"/>
  <c r="G766" i="42"/>
  <c r="K768" i="42"/>
  <c r="G787" i="42"/>
  <c r="G789" i="42"/>
  <c r="I791" i="42"/>
  <c r="I795" i="42"/>
  <c r="K797" i="42"/>
  <c r="K799" i="42"/>
  <c r="K801" i="42"/>
  <c r="I823" i="42"/>
  <c r="H836" i="42"/>
  <c r="K863" i="42"/>
  <c r="H868" i="42"/>
  <c r="J874" i="42"/>
  <c r="G881" i="42"/>
  <c r="G748" i="42"/>
  <c r="I757" i="42"/>
  <c r="I766" i="42"/>
  <c r="J791" i="42"/>
  <c r="G796" i="42"/>
  <c r="I834" i="42"/>
  <c r="K840" i="42"/>
  <c r="G864" i="42"/>
  <c r="I870" i="42"/>
  <c r="K876" i="42"/>
  <c r="H883" i="42"/>
  <c r="G550" i="42"/>
  <c r="K699" i="42"/>
  <c r="G714" i="42"/>
  <c r="K726" i="42"/>
  <c r="G752" i="42"/>
  <c r="K760" i="42"/>
  <c r="K769" i="42"/>
  <c r="K791" i="42"/>
  <c r="H798" i="42"/>
  <c r="J836" i="42"/>
  <c r="H862" i="42"/>
  <c r="J868" i="42"/>
  <c r="G875" i="42"/>
  <c r="I881" i="42"/>
  <c r="J532" i="42"/>
  <c r="J585" i="42"/>
  <c r="H620" i="42"/>
  <c r="I671" i="42"/>
  <c r="J690" i="42"/>
  <c r="H425" i="42"/>
  <c r="K457" i="42"/>
  <c r="H524" i="42"/>
  <c r="H549" i="42"/>
  <c r="J581" i="42"/>
  <c r="K595" i="42"/>
  <c r="K627" i="42"/>
  <c r="J669" i="42"/>
  <c r="J694" i="42"/>
  <c r="J699" i="42"/>
  <c r="J704" i="42"/>
  <c r="I709" i="42"/>
  <c r="K713" i="42"/>
  <c r="K717" i="42"/>
  <c r="H722" i="42"/>
  <c r="J726" i="42"/>
  <c r="J751" i="42"/>
  <c r="I763" i="42"/>
  <c r="J789" i="42"/>
  <c r="G800" i="42"/>
  <c r="I838" i="42"/>
  <c r="G860" i="42"/>
  <c r="I866" i="42"/>
  <c r="K874" i="42"/>
  <c r="H881" i="42"/>
  <c r="K426" i="42"/>
  <c r="H596" i="42"/>
  <c r="G628" i="42"/>
  <c r="G655" i="42"/>
  <c r="K694" i="42"/>
  <c r="J709" i="42"/>
  <c r="I722" i="42"/>
  <c r="H755" i="42"/>
  <c r="J763" i="42"/>
  <c r="I787" i="42"/>
  <c r="H800" i="42"/>
  <c r="J838" i="42"/>
  <c r="H860" i="42"/>
  <c r="J866" i="42"/>
  <c r="G873" i="42"/>
  <c r="I879" i="42"/>
  <c r="G554" i="42"/>
  <c r="H504" i="42"/>
  <c r="I536" i="42"/>
  <c r="J556" i="42"/>
  <c r="J587" i="42"/>
  <c r="H601" i="42"/>
  <c r="K621" i="42"/>
  <c r="I632" i="42"/>
  <c r="G666" i="42"/>
  <c r="I672" i="42"/>
  <c r="I691" i="42"/>
  <c r="I696" i="42"/>
  <c r="I701" i="42"/>
  <c r="I706" i="42"/>
  <c r="G711" i="42"/>
  <c r="I715" i="42"/>
  <c r="I719" i="42"/>
  <c r="K723" i="42"/>
  <c r="H728" i="42"/>
  <c r="H746" i="42"/>
  <c r="G749" i="42"/>
  <c r="J752" i="42"/>
  <c r="J755" i="42"/>
  <c r="K758" i="42"/>
  <c r="J761" i="42"/>
  <c r="I764" i="42"/>
  <c r="H767" i="42"/>
  <c r="H788" i="42"/>
  <c r="H790" i="42"/>
  <c r="J794" i="42"/>
  <c r="J796" i="42"/>
  <c r="J798" i="42"/>
  <c r="G801" i="42"/>
  <c r="G835" i="42"/>
  <c r="G837" i="42"/>
  <c r="I839" i="42"/>
  <c r="I841" i="42"/>
  <c r="J858" i="42"/>
  <c r="J860" i="42"/>
  <c r="J862" i="42"/>
  <c r="G865" i="42"/>
  <c r="G867" i="42"/>
  <c r="G869" i="42"/>
  <c r="I871" i="42"/>
  <c r="I873" i="42"/>
  <c r="I875" i="42"/>
  <c r="K877" i="42"/>
  <c r="K879" i="42"/>
  <c r="K881" i="42"/>
  <c r="H538" i="42"/>
  <c r="G558" i="42"/>
  <c r="K588" i="42"/>
  <c r="K632" i="42"/>
  <c r="I666" i="42"/>
  <c r="K672" i="42"/>
  <c r="K691" i="42"/>
  <c r="K696" i="42"/>
  <c r="K701" i="42"/>
  <c r="I707" i="42"/>
  <c r="I711" i="42"/>
  <c r="K715" i="42"/>
  <c r="H720" i="42"/>
  <c r="H724" i="42"/>
  <c r="J728" i="42"/>
  <c r="I746" i="42"/>
  <c r="K749" i="42"/>
  <c r="H753" i="42"/>
  <c r="G756" i="42"/>
  <c r="G759" i="42"/>
  <c r="K761" i="42"/>
  <c r="K764" i="42"/>
  <c r="G768" i="42"/>
  <c r="I786" i="42"/>
  <c r="I788" i="42"/>
  <c r="I790" i="42"/>
  <c r="K794" i="42"/>
  <c r="K796" i="42"/>
  <c r="H799" i="42"/>
  <c r="H801" i="42"/>
  <c r="I820" i="42"/>
  <c r="H835" i="42"/>
  <c r="J837" i="42"/>
  <c r="J839" i="42"/>
  <c r="J841" i="42"/>
  <c r="J707" i="42"/>
  <c r="I724" i="42"/>
  <c r="J753" i="42"/>
  <c r="H765" i="42"/>
  <c r="J786" i="42"/>
  <c r="G795" i="42"/>
  <c r="K837" i="42"/>
  <c r="I858" i="42"/>
  <c r="I863" i="42"/>
  <c r="J869" i="42"/>
  <c r="H875" i="42"/>
  <c r="H880" i="42"/>
  <c r="G623" i="42"/>
  <c r="J727" i="42"/>
  <c r="I755" i="42"/>
  <c r="G767" i="42"/>
  <c r="G788" i="42"/>
  <c r="I796" i="42"/>
  <c r="I830" i="42"/>
  <c r="H839" i="42"/>
  <c r="K858" i="42"/>
  <c r="K864" i="42"/>
  <c r="G876" i="42"/>
  <c r="J881" i="42"/>
  <c r="G633" i="42"/>
  <c r="J711" i="42"/>
  <c r="H768" i="42"/>
  <c r="J788" i="42"/>
  <c r="K839" i="42"/>
  <c r="H865" i="42"/>
  <c r="H876" i="42"/>
  <c r="K538" i="42"/>
  <c r="H696" i="42"/>
  <c r="G758" i="42"/>
  <c r="I798" i="42"/>
  <c r="I860" i="42"/>
  <c r="J871" i="42"/>
  <c r="J882" i="42"/>
  <c r="G716" i="42"/>
  <c r="K746" i="42"/>
  <c r="J790" i="42"/>
  <c r="K841" i="42"/>
  <c r="K866" i="42"/>
  <c r="G878" i="42"/>
  <c r="H719" i="42"/>
  <c r="K748" i="42"/>
  <c r="I826" i="42"/>
  <c r="H867" i="42"/>
  <c r="H878" i="42"/>
  <c r="J666" i="42"/>
  <c r="I720" i="42"/>
  <c r="G750" i="42"/>
  <c r="G793" i="42"/>
  <c r="I835" i="42"/>
  <c r="J873" i="42"/>
  <c r="H706" i="42"/>
  <c r="I752" i="42"/>
  <c r="I794" i="42"/>
  <c r="K836" i="42"/>
  <c r="K873" i="42"/>
  <c r="K710" i="42"/>
  <c r="G822" i="42"/>
  <c r="K869" i="42"/>
  <c r="G692" i="42"/>
  <c r="K728" i="42"/>
  <c r="H756" i="42"/>
  <c r="G797" i="42"/>
  <c r="G859" i="42"/>
  <c r="H871" i="42"/>
  <c r="I882" i="42"/>
  <c r="K714" i="42"/>
  <c r="G746" i="42"/>
  <c r="G790" i="42"/>
  <c r="H841" i="42"/>
  <c r="I865" i="42"/>
  <c r="J877" i="42"/>
  <c r="I558" i="42"/>
  <c r="G697" i="42"/>
  <c r="H759" i="42"/>
  <c r="I799" i="42"/>
  <c r="K860" i="42"/>
  <c r="K871" i="42"/>
  <c r="H701" i="42"/>
  <c r="G761" i="42"/>
  <c r="G792" i="42"/>
  <c r="K834" i="42"/>
  <c r="G861" i="42"/>
  <c r="H873" i="42"/>
  <c r="H589" i="42"/>
  <c r="J702" i="42"/>
  <c r="I762" i="42"/>
  <c r="I801" i="42"/>
  <c r="I867" i="42"/>
  <c r="J723" i="42"/>
  <c r="H764" i="42"/>
  <c r="K868" i="42"/>
  <c r="K800" i="42"/>
  <c r="I862" i="42"/>
  <c r="J879" i="42"/>
  <c r="G673" i="42"/>
  <c r="H863" i="42"/>
  <c r="G880" i="42"/>
  <c r="G23" i="42"/>
  <c r="G31" i="42"/>
  <c r="G39" i="42"/>
  <c r="G47" i="42"/>
  <c r="G79" i="42"/>
  <c r="G87" i="42"/>
  <c r="G95" i="42"/>
  <c r="G127" i="42"/>
  <c r="G167" i="42"/>
  <c r="G175" i="42"/>
  <c r="G199" i="42"/>
  <c r="G207" i="42"/>
  <c r="G215" i="42"/>
  <c r="G223" i="42"/>
  <c r="G247" i="42"/>
  <c r="G263" i="42"/>
  <c r="G287" i="42"/>
  <c r="G295" i="42"/>
  <c r="G335" i="42"/>
  <c r="G359" i="42"/>
  <c r="G367" i="42"/>
  <c r="G375" i="42"/>
  <c r="G383" i="42"/>
  <c r="G208" i="42"/>
  <c r="G248" i="42"/>
  <c r="G264" i="42"/>
  <c r="G296" i="42"/>
  <c r="G368" i="42"/>
  <c r="G376" i="42"/>
  <c r="G25" i="42"/>
  <c r="G41" i="42"/>
  <c r="G89" i="42"/>
  <c r="G129" i="42"/>
  <c r="G169" i="42"/>
  <c r="G209" i="42"/>
  <c r="G225" i="42"/>
  <c r="G265" i="42"/>
  <c r="G297" i="42"/>
  <c r="G337" i="42"/>
  <c r="G377" i="42"/>
  <c r="G18" i="42"/>
  <c r="G26" i="42"/>
  <c r="G42" i="42"/>
  <c r="G82" i="42"/>
  <c r="G114" i="42"/>
  <c r="G202" i="42"/>
  <c r="G218" i="42"/>
  <c r="G242" i="42"/>
  <c r="G330" i="42"/>
  <c r="G354" i="42"/>
  <c r="G386" i="42"/>
  <c r="G27" i="42"/>
  <c r="G83" i="42"/>
  <c r="G163" i="42"/>
  <c r="G195" i="42"/>
  <c r="G219" i="42"/>
  <c r="G243" i="42"/>
  <c r="G331" i="42"/>
  <c r="G371" i="42"/>
  <c r="G77" i="42"/>
  <c r="G213" i="42"/>
  <c r="G245" i="42"/>
  <c r="G285" i="42"/>
  <c r="G357" i="42"/>
  <c r="G381" i="42"/>
  <c r="G46" i="42"/>
  <c r="G86" i="42"/>
  <c r="G166" i="42"/>
  <c r="G206" i="42"/>
  <c r="G382" i="42"/>
  <c r="G24" i="42"/>
  <c r="G32" i="42"/>
  <c r="G40" i="42"/>
  <c r="G48" i="42"/>
  <c r="G80" i="42"/>
  <c r="G88" i="42"/>
  <c r="G96" i="42"/>
  <c r="G128" i="42"/>
  <c r="G144" i="42"/>
  <c r="G168" i="42"/>
  <c r="G200" i="42"/>
  <c r="G216" i="42"/>
  <c r="G224" i="42"/>
  <c r="G288" i="42"/>
  <c r="G336" i="42"/>
  <c r="G360" i="42"/>
  <c r="G384" i="42"/>
  <c r="G33" i="42"/>
  <c r="G49" i="42"/>
  <c r="G81" i="42"/>
  <c r="G97" i="42"/>
  <c r="G201" i="42"/>
  <c r="G217" i="42"/>
  <c r="G249" i="42"/>
  <c r="G289" i="42"/>
  <c r="G369" i="42"/>
  <c r="G385" i="42"/>
  <c r="G34" i="42"/>
  <c r="G74" i="42"/>
  <c r="G90" i="42"/>
  <c r="G162" i="42"/>
  <c r="G194" i="42"/>
  <c r="G210" i="42"/>
  <c r="G290" i="42"/>
  <c r="G370" i="42"/>
  <c r="G19" i="42"/>
  <c r="G35" i="42"/>
  <c r="G91" i="42"/>
  <c r="G115" i="42"/>
  <c r="G203" i="42"/>
  <c r="G251" i="42"/>
  <c r="G283" i="42"/>
  <c r="G363" i="42"/>
  <c r="G387" i="42"/>
  <c r="G165" i="42"/>
  <c r="G205" i="42"/>
  <c r="G373" i="42"/>
  <c r="G150" i="42"/>
  <c r="G222" i="42"/>
  <c r="G262" i="42"/>
  <c r="G294" i="42"/>
  <c r="G334" i="42"/>
  <c r="G374" i="42"/>
  <c r="G361" i="42"/>
  <c r="G250" i="42"/>
  <c r="G362" i="42"/>
  <c r="G378" i="42"/>
  <c r="G43" i="42"/>
  <c r="G75" i="42"/>
  <c r="G211" i="42"/>
  <c r="G291" i="42"/>
  <c r="G355" i="42"/>
  <c r="G379" i="42"/>
  <c r="G117" i="42"/>
  <c r="G197" i="42"/>
  <c r="G389" i="42"/>
  <c r="G22" i="42"/>
  <c r="G78" i="42"/>
  <c r="G214" i="42"/>
  <c r="G246" i="42"/>
  <c r="G358" i="42"/>
  <c r="G20" i="42"/>
  <c r="G28" i="42"/>
  <c r="G36" i="42"/>
  <c r="G44" i="42"/>
  <c r="G76" i="42"/>
  <c r="G84" i="42"/>
  <c r="G92" i="42"/>
  <c r="G116" i="42"/>
  <c r="G164" i="42"/>
  <c r="G196" i="42"/>
  <c r="G204" i="42"/>
  <c r="G212" i="42"/>
  <c r="G220" i="42"/>
  <c r="G244" i="42"/>
  <c r="G252" i="42"/>
  <c r="G284" i="42"/>
  <c r="G292" i="42"/>
  <c r="G300" i="42"/>
  <c r="G332" i="42"/>
  <c r="G356" i="42"/>
  <c r="G364" i="42"/>
  <c r="G372" i="42"/>
  <c r="G380" i="42"/>
  <c r="G388" i="42"/>
  <c r="G21" i="42"/>
  <c r="G29" i="42"/>
  <c r="G37" i="42"/>
  <c r="G45" i="42"/>
  <c r="G85" i="42"/>
  <c r="G93" i="42"/>
  <c r="G157" i="42"/>
  <c r="G221" i="42"/>
  <c r="G253" i="42"/>
  <c r="G293" i="42"/>
  <c r="G333" i="42"/>
  <c r="G365" i="42"/>
  <c r="G30" i="42"/>
  <c r="G38" i="42"/>
  <c r="G94" i="42"/>
  <c r="G126" i="42"/>
  <c r="G198" i="42"/>
  <c r="G366" i="42"/>
  <c r="J168" i="42"/>
  <c r="K389" i="42"/>
  <c r="H389" i="42"/>
  <c r="H383" i="42"/>
  <c r="I382" i="42"/>
  <c r="H284" i="42"/>
  <c r="I369" i="42"/>
  <c r="J337" i="42"/>
  <c r="H253" i="42"/>
  <c r="H367" i="42"/>
  <c r="I337" i="42"/>
  <c r="K252" i="42"/>
  <c r="I366" i="42"/>
  <c r="J204" i="42"/>
  <c r="H388" i="42"/>
  <c r="K283" i="42"/>
  <c r="I383" i="42"/>
  <c r="I385" i="42"/>
  <c r="K369" i="42"/>
  <c r="K355" i="42"/>
  <c r="J334" i="42"/>
  <c r="J288" i="42"/>
  <c r="H218" i="42"/>
  <c r="H384" i="42"/>
  <c r="J369" i="42"/>
  <c r="H288" i="42"/>
  <c r="I205" i="42"/>
  <c r="J387" i="42"/>
  <c r="K371" i="42"/>
  <c r="I356" i="42"/>
  <c r="H335" i="42"/>
  <c r="K387" i="42"/>
  <c r="H372" i="42"/>
  <c r="J357" i="42"/>
  <c r="K335" i="42"/>
  <c r="H282" i="42"/>
  <c r="J252" i="42"/>
  <c r="J385" i="42"/>
  <c r="H371" i="42"/>
  <c r="H356" i="42"/>
  <c r="K334" i="42"/>
  <c r="I289" i="42"/>
  <c r="H217" i="42"/>
  <c r="H216" i="42"/>
  <c r="K386" i="42"/>
  <c r="J373" i="42"/>
  <c r="H368" i="42"/>
  <c r="H355" i="42"/>
  <c r="K314" i="42"/>
  <c r="H286" i="42"/>
  <c r="J247" i="42"/>
  <c r="K385" i="42"/>
  <c r="I372" i="42"/>
  <c r="I367" i="42"/>
  <c r="K337" i="42"/>
  <c r="J284" i="42"/>
  <c r="J205" i="42"/>
  <c r="K388" i="42"/>
  <c r="I386" i="42"/>
  <c r="K383" i="42"/>
  <c r="I373" i="42"/>
  <c r="I370" i="42"/>
  <c r="K367" i="42"/>
  <c r="I357" i="42"/>
  <c r="I354" i="42"/>
  <c r="J335" i="42"/>
  <c r="K285" i="42"/>
  <c r="I247" i="42"/>
  <c r="J221" i="42"/>
  <c r="I388" i="42"/>
  <c r="H386" i="42"/>
  <c r="J383" i="42"/>
  <c r="H373" i="42"/>
  <c r="H370" i="42"/>
  <c r="J367" i="42"/>
  <c r="H357" i="42"/>
  <c r="H354" i="42"/>
  <c r="I335" i="42"/>
  <c r="K288" i="42"/>
  <c r="K284" i="42"/>
  <c r="K218" i="42"/>
  <c r="K201" i="42"/>
  <c r="J215" i="42"/>
  <c r="H220" i="42"/>
  <c r="H246" i="42"/>
  <c r="J250" i="42"/>
  <c r="H283" i="42"/>
  <c r="I285" i="42"/>
  <c r="J287" i="42"/>
  <c r="K321" i="42"/>
  <c r="H336" i="42"/>
  <c r="J354" i="42"/>
  <c r="J356" i="42"/>
  <c r="J366" i="42"/>
  <c r="J368" i="42"/>
  <c r="J370" i="42"/>
  <c r="J372" i="42"/>
  <c r="J382" i="42"/>
  <c r="J384" i="42"/>
  <c r="J386" i="42"/>
  <c r="J388" i="42"/>
  <c r="H203" i="42"/>
  <c r="K215" i="42"/>
  <c r="H221" i="42"/>
  <c r="K246" i="42"/>
  <c r="I251" i="42"/>
  <c r="I283" i="42"/>
  <c r="J285" i="42"/>
  <c r="I315" i="42"/>
  <c r="H334" i="42"/>
  <c r="J336" i="42"/>
  <c r="K354" i="42"/>
  <c r="K356" i="42"/>
  <c r="K366" i="42"/>
  <c r="K368" i="42"/>
  <c r="K370" i="42"/>
  <c r="K372" i="42"/>
  <c r="K382" i="42"/>
  <c r="K384" i="42"/>
  <c r="H164" i="42"/>
  <c r="H199" i="42"/>
  <c r="J218" i="42"/>
  <c r="J249" i="42"/>
  <c r="J253" i="42"/>
  <c r="K168" i="42"/>
  <c r="J201" i="42"/>
  <c r="I215" i="42"/>
  <c r="I219" i="42"/>
  <c r="H250" i="42"/>
  <c r="K282" i="42"/>
  <c r="H285" i="42"/>
  <c r="J289" i="42"/>
  <c r="J389" i="42"/>
  <c r="I387" i="42"/>
  <c r="H385" i="42"/>
  <c r="H382" i="42"/>
  <c r="J371" i="42"/>
  <c r="H369" i="42"/>
  <c r="H366" i="42"/>
  <c r="J355" i="42"/>
  <c r="H337" i="42"/>
  <c r="K286" i="42"/>
  <c r="K249" i="42"/>
  <c r="H201" i="42"/>
  <c r="I389" i="42"/>
  <c r="H387" i="42"/>
  <c r="I384" i="42"/>
  <c r="K373" i="42"/>
  <c r="I371" i="42"/>
  <c r="I368" i="42"/>
  <c r="K357" i="42"/>
  <c r="I355" i="42"/>
  <c r="K336" i="42"/>
  <c r="I321" i="42"/>
  <c r="J286" i="42"/>
  <c r="J282" i="42"/>
  <c r="H248" i="42"/>
  <c r="H198" i="42"/>
  <c r="K205" i="42"/>
  <c r="J200" i="42"/>
  <c r="H169" i="42"/>
  <c r="H252" i="42"/>
  <c r="H249" i="42"/>
  <c r="K220" i="42"/>
  <c r="K217" i="42"/>
  <c r="K214" i="42"/>
  <c r="K203" i="42"/>
  <c r="K199" i="42"/>
  <c r="H166" i="42"/>
  <c r="K251" i="42"/>
  <c r="J248" i="42"/>
  <c r="J220" i="42"/>
  <c r="J217" i="42"/>
  <c r="H214" i="42"/>
  <c r="I203" i="42"/>
  <c r="I199" i="42"/>
  <c r="J164" i="42"/>
  <c r="K250" i="42"/>
  <c r="K247" i="42"/>
  <c r="K219" i="42"/>
  <c r="J216" i="42"/>
  <c r="K202" i="42"/>
  <c r="K198" i="42"/>
  <c r="K162" i="42"/>
  <c r="I253" i="42"/>
  <c r="H251" i="42"/>
  <c r="K248" i="42"/>
  <c r="J246" i="42"/>
  <c r="I221" i="42"/>
  <c r="H219" i="42"/>
  <c r="K216" i="42"/>
  <c r="J214" i="42"/>
  <c r="J203" i="42"/>
  <c r="K200" i="42"/>
  <c r="H165" i="42"/>
  <c r="K253" i="42"/>
  <c r="J251" i="42"/>
  <c r="I249" i="42"/>
  <c r="H247" i="42"/>
  <c r="K221" i="42"/>
  <c r="J219" i="42"/>
  <c r="I217" i="42"/>
  <c r="H215" i="42"/>
  <c r="H204" i="42"/>
  <c r="I201" i="42"/>
  <c r="J198" i="42"/>
  <c r="K166" i="42"/>
  <c r="I151" i="42"/>
  <c r="K167" i="42"/>
  <c r="I163" i="42"/>
  <c r="J166" i="42"/>
  <c r="K153" i="42"/>
  <c r="H205" i="42"/>
  <c r="H202" i="42"/>
  <c r="J199" i="42"/>
  <c r="J169" i="42"/>
  <c r="J165" i="42"/>
  <c r="H162" i="42"/>
  <c r="I167" i="42"/>
  <c r="K163" i="42"/>
  <c r="H168" i="42"/>
  <c r="K165" i="42"/>
  <c r="J163" i="42"/>
  <c r="I153" i="42"/>
  <c r="K169" i="42"/>
  <c r="J167" i="42"/>
  <c r="I165" i="42"/>
  <c r="H163" i="42"/>
  <c r="K204" i="42"/>
  <c r="J202" i="42"/>
  <c r="H200" i="42"/>
  <c r="I169" i="42"/>
  <c r="H167" i="42"/>
  <c r="K164" i="42"/>
  <c r="J162" i="42"/>
  <c r="H152" i="42"/>
  <c r="I162" i="42"/>
  <c r="I164" i="42"/>
  <c r="I166" i="42"/>
  <c r="I168" i="42"/>
  <c r="I178" i="42"/>
  <c r="I198" i="42"/>
  <c r="I200" i="42"/>
  <c r="I202" i="42"/>
  <c r="I204" i="42"/>
  <c r="I214" i="42"/>
  <c r="I216" i="42"/>
  <c r="I218" i="42"/>
  <c r="I220" i="42"/>
  <c r="I246" i="42"/>
  <c r="I248" i="42"/>
  <c r="I250" i="42"/>
  <c r="I252" i="42"/>
  <c r="I284" i="42"/>
  <c r="I286" i="42"/>
  <c r="I288" i="42"/>
  <c r="I314" i="42"/>
  <c r="I334" i="42"/>
  <c r="I336" i="42"/>
  <c r="K180" i="42" l="1"/>
  <c r="H340" i="42"/>
  <c r="H687" i="42"/>
  <c r="I844" i="42"/>
  <c r="I181" i="42"/>
  <c r="K506" i="42"/>
  <c r="J518" i="42"/>
  <c r="G506" i="42"/>
  <c r="J179" i="42"/>
  <c r="H180" i="42"/>
  <c r="G343" i="42"/>
  <c r="G15" i="42"/>
  <c r="H846" i="42"/>
  <c r="G687" i="42"/>
  <c r="I856" i="42"/>
  <c r="H678" i="42"/>
  <c r="I282" i="42"/>
  <c r="J283" i="42"/>
  <c r="I287" i="42"/>
  <c r="K287" i="42"/>
  <c r="K289" i="42"/>
  <c r="H289" i="42"/>
  <c r="H287" i="42"/>
  <c r="G286" i="42"/>
  <c r="G282" i="42"/>
  <c r="K792" i="42"/>
  <c r="K622" i="42"/>
  <c r="H792" i="42"/>
  <c r="K793" i="42"/>
  <c r="I793" i="42"/>
  <c r="H787" i="42"/>
  <c r="H793" i="42"/>
  <c r="G791" i="42"/>
  <c r="K624" i="42"/>
  <c r="I792" i="42"/>
  <c r="G786" i="42"/>
  <c r="J624" i="42"/>
  <c r="H618" i="42"/>
  <c r="J618" i="42"/>
  <c r="H621" i="42"/>
  <c r="J454" i="42"/>
  <c r="G621" i="42"/>
  <c r="I622" i="42"/>
  <c r="G456" i="42"/>
  <c r="H622" i="42"/>
  <c r="K455" i="42"/>
  <c r="H457" i="42"/>
  <c r="G454" i="42"/>
  <c r="H455" i="42"/>
  <c r="G455" i="42"/>
  <c r="K454" i="42"/>
  <c r="K958" i="42"/>
  <c r="H954" i="42"/>
  <c r="K960" i="42"/>
  <c r="H961" i="42"/>
  <c r="I959" i="42"/>
  <c r="H957" i="42"/>
  <c r="H958" i="42"/>
  <c r="K959" i="42"/>
  <c r="K957" i="42"/>
  <c r="H959" i="42"/>
  <c r="G958" i="42"/>
  <c r="I956" i="42"/>
  <c r="I957" i="42"/>
  <c r="G957" i="42"/>
  <c r="G961" i="42"/>
  <c r="I960" i="42"/>
  <c r="I958" i="42"/>
  <c r="I961" i="42"/>
  <c r="H955" i="42"/>
  <c r="G954" i="42"/>
  <c r="G959" i="42"/>
  <c r="J956" i="42"/>
  <c r="K956" i="42"/>
  <c r="H956" i="42"/>
  <c r="G960" i="42"/>
  <c r="H960" i="42"/>
  <c r="I955" i="42"/>
  <c r="J959" i="42"/>
  <c r="J954" i="42"/>
  <c r="K955" i="42"/>
  <c r="J961" i="42"/>
  <c r="J955" i="42"/>
  <c r="K954" i="42"/>
  <c r="J960" i="42"/>
  <c r="J958" i="42"/>
  <c r="K961" i="42"/>
  <c r="G955" i="42"/>
  <c r="G956" i="42"/>
  <c r="K507" i="42"/>
  <c r="H994" i="42"/>
  <c r="H989" i="42"/>
  <c r="I1001" i="42"/>
  <c r="G1001" i="42"/>
  <c r="H996" i="42"/>
  <c r="K987" i="42"/>
  <c r="K1001" i="42"/>
  <c r="H1000" i="42"/>
  <c r="G997" i="42"/>
  <c r="G993" i="42"/>
  <c r="K989" i="42"/>
  <c r="I993" i="42"/>
  <c r="I998" i="42"/>
  <c r="H988" i="42"/>
  <c r="J989" i="42"/>
  <c r="G998" i="42"/>
  <c r="K999" i="42"/>
  <c r="G992" i="42"/>
  <c r="H997" i="42"/>
  <c r="I988" i="42"/>
  <c r="H992" i="42"/>
  <c r="I999" i="42"/>
  <c r="H993" i="42"/>
  <c r="G994" i="42"/>
  <c r="I996" i="42"/>
  <c r="J1000" i="42"/>
  <c r="K992" i="42"/>
  <c r="J995" i="42"/>
  <c r="I986" i="42"/>
  <c r="G989" i="42"/>
  <c r="G990" i="42"/>
  <c r="H998" i="42"/>
  <c r="K990" i="42"/>
  <c r="J996" i="42"/>
  <c r="G1000" i="42"/>
  <c r="I995" i="42"/>
  <c r="J1001" i="42"/>
  <c r="K986" i="42"/>
  <c r="G995" i="42"/>
  <c r="J993" i="42"/>
  <c r="K995" i="42"/>
  <c r="K991" i="42"/>
  <c r="J988" i="42"/>
  <c r="K996" i="42"/>
  <c r="I991" i="42"/>
  <c r="J987" i="42"/>
  <c r="I992" i="42"/>
  <c r="K988" i="42"/>
  <c r="I1000" i="42"/>
  <c r="G987" i="42"/>
  <c r="J998" i="42"/>
  <c r="I987" i="42"/>
  <c r="K993" i="42"/>
  <c r="G986" i="42"/>
  <c r="G991" i="42"/>
  <c r="J999" i="42"/>
  <c r="H986" i="42"/>
  <c r="G988" i="42"/>
  <c r="H991" i="42"/>
  <c r="G999" i="42"/>
  <c r="I989" i="42"/>
  <c r="I990" i="42"/>
  <c r="H995" i="42"/>
  <c r="J992" i="42"/>
  <c r="H1001" i="42"/>
  <c r="K1000" i="42"/>
  <c r="G996" i="42"/>
  <c r="I994" i="42"/>
  <c r="H990" i="42"/>
  <c r="J994" i="42"/>
  <c r="K997" i="42"/>
  <c r="H999" i="42"/>
  <c r="J991" i="42"/>
  <c r="K994" i="42"/>
  <c r="I997" i="42"/>
  <c r="J986" i="42"/>
  <c r="J990" i="42"/>
  <c r="J997" i="42"/>
  <c r="H987" i="42"/>
  <c r="K998" i="42"/>
  <c r="G482" i="42"/>
  <c r="I488" i="42"/>
  <c r="K494" i="42"/>
  <c r="G487" i="42"/>
  <c r="I493" i="42"/>
  <c r="H487" i="42"/>
  <c r="J493" i="42"/>
  <c r="J484" i="42"/>
  <c r="J494" i="42"/>
  <c r="J482" i="42"/>
  <c r="J492" i="42"/>
  <c r="K482" i="42"/>
  <c r="K492" i="42"/>
  <c r="G493" i="42"/>
  <c r="H654" i="42"/>
  <c r="J660" i="42"/>
  <c r="H497" i="42"/>
  <c r="I489" i="42"/>
  <c r="I651" i="42"/>
  <c r="K657" i="42"/>
  <c r="H483" i="42"/>
  <c r="H494" i="42"/>
  <c r="I655" i="42"/>
  <c r="J663" i="42"/>
  <c r="J651" i="42"/>
  <c r="G660" i="42"/>
  <c r="G656" i="42"/>
  <c r="H664" i="42"/>
  <c r="H492" i="42"/>
  <c r="H653" i="42"/>
  <c r="J661" i="42"/>
  <c r="I664" i="42"/>
  <c r="G818" i="42"/>
  <c r="I824" i="42"/>
  <c r="K830" i="42"/>
  <c r="J664" i="42"/>
  <c r="G823" i="42"/>
  <c r="I829" i="42"/>
  <c r="K664" i="42"/>
  <c r="J658" i="42"/>
  <c r="H823" i="42"/>
  <c r="J831" i="42"/>
  <c r="J825" i="42"/>
  <c r="H828" i="42"/>
  <c r="I825" i="42"/>
  <c r="K823" i="42"/>
  <c r="K654" i="42"/>
  <c r="G830" i="42"/>
  <c r="K825" i="42"/>
  <c r="G665" i="42"/>
  <c r="G650" i="42"/>
  <c r="H820" i="42"/>
  <c r="J828" i="42"/>
  <c r="I650" i="42"/>
  <c r="K824" i="42"/>
  <c r="H833" i="42"/>
  <c r="G829" i="42"/>
  <c r="J822" i="42"/>
  <c r="K832" i="42"/>
  <c r="J650" i="42"/>
  <c r="G825" i="42"/>
  <c r="H659" i="42"/>
  <c r="G824" i="42"/>
  <c r="I833" i="42"/>
  <c r="G159" i="42"/>
  <c r="G317" i="42"/>
  <c r="G161" i="42"/>
  <c r="G314" i="42"/>
  <c r="G155" i="42"/>
  <c r="G158" i="42"/>
  <c r="K146" i="42"/>
  <c r="H315" i="42"/>
  <c r="J317" i="42"/>
  <c r="K318" i="42"/>
  <c r="J318" i="42"/>
  <c r="I147" i="42"/>
  <c r="H146" i="42"/>
  <c r="J149" i="42"/>
  <c r="H151" i="42"/>
  <c r="K152" i="42"/>
  <c r="K149" i="42"/>
  <c r="I150" i="42"/>
  <c r="I316" i="42"/>
  <c r="J147" i="42"/>
  <c r="I318" i="42"/>
  <c r="J483" i="42"/>
  <c r="G490" i="42"/>
  <c r="I496" i="42"/>
  <c r="H482" i="42"/>
  <c r="J488" i="42"/>
  <c r="G495" i="42"/>
  <c r="I482" i="42"/>
  <c r="K488" i="42"/>
  <c r="H495" i="42"/>
  <c r="I487" i="42"/>
  <c r="I497" i="42"/>
  <c r="K484" i="42"/>
  <c r="I495" i="42"/>
  <c r="G485" i="42"/>
  <c r="J495" i="42"/>
  <c r="G497" i="42"/>
  <c r="K655" i="42"/>
  <c r="H662" i="42"/>
  <c r="K485" i="42"/>
  <c r="G494" i="42"/>
  <c r="G653" i="42"/>
  <c r="I659" i="42"/>
  <c r="J486" i="42"/>
  <c r="J657" i="42"/>
  <c r="I665" i="42"/>
  <c r="I486" i="42"/>
  <c r="J653" i="42"/>
  <c r="G662" i="42"/>
  <c r="H658" i="42"/>
  <c r="K665" i="42"/>
  <c r="H655" i="42"/>
  <c r="I663" i="42"/>
  <c r="G652" i="42"/>
  <c r="J819" i="42"/>
  <c r="G826" i="42"/>
  <c r="I832" i="42"/>
  <c r="H652" i="42"/>
  <c r="H818" i="42"/>
  <c r="J824" i="42"/>
  <c r="G831" i="42"/>
  <c r="I652" i="42"/>
  <c r="K662" i="42"/>
  <c r="I483" i="42"/>
  <c r="H825" i="42"/>
  <c r="J833" i="42"/>
  <c r="G832" i="42"/>
  <c r="H488" i="42"/>
  <c r="G819" i="42"/>
  <c r="I827" i="42"/>
  <c r="H830" i="42"/>
  <c r="G663" i="42"/>
  <c r="H832" i="42"/>
  <c r="I658" i="42"/>
  <c r="H822" i="42"/>
  <c r="J830" i="42"/>
  <c r="K658" i="42"/>
  <c r="I818" i="42"/>
  <c r="K826" i="42"/>
  <c r="I831" i="42"/>
  <c r="G827" i="42"/>
  <c r="I828" i="42"/>
  <c r="G154" i="42"/>
  <c r="G152" i="42"/>
  <c r="G321" i="42"/>
  <c r="G148" i="42"/>
  <c r="G316" i="42"/>
  <c r="J152" i="42"/>
  <c r="H321" i="42"/>
  <c r="H320" i="42"/>
  <c r="K320" i="42"/>
  <c r="J320" i="42"/>
  <c r="I317" i="42"/>
  <c r="K319" i="42"/>
  <c r="K315" i="42"/>
  <c r="J315" i="42"/>
  <c r="J148" i="42"/>
  <c r="H149" i="42"/>
  <c r="J151" i="42"/>
  <c r="K148" i="42"/>
  <c r="J150" i="42"/>
  <c r="I152" i="42"/>
  <c r="K147" i="42"/>
  <c r="J314" i="42"/>
  <c r="G315" i="42"/>
  <c r="G147" i="42"/>
  <c r="G151" i="42"/>
  <c r="J818" i="42"/>
  <c r="G491" i="42"/>
  <c r="G821" i="42"/>
  <c r="J829" i="42"/>
  <c r="K490" i="42"/>
  <c r="H826" i="42"/>
  <c r="J656" i="42"/>
  <c r="I656" i="42"/>
  <c r="H660" i="42"/>
  <c r="J654" i="42"/>
  <c r="K497" i="42"/>
  <c r="K496" i="42"/>
  <c r="G484" i="42"/>
  <c r="K491" i="42"/>
  <c r="J491" i="42"/>
  <c r="I148" i="42"/>
  <c r="H147" i="42"/>
  <c r="I149" i="42"/>
  <c r="K150" i="42"/>
  <c r="J321" i="42"/>
  <c r="H314" i="42"/>
  <c r="K317" i="42"/>
  <c r="J316" i="42"/>
  <c r="I319" i="42"/>
  <c r="H319" i="42"/>
  <c r="G160" i="42"/>
  <c r="G319" i="42"/>
  <c r="J820" i="42"/>
  <c r="K828" i="42"/>
  <c r="J826" i="42"/>
  <c r="J821" i="42"/>
  <c r="H663" i="42"/>
  <c r="G828" i="42"/>
  <c r="K833" i="42"/>
  <c r="H827" i="42"/>
  <c r="I821" i="42"/>
  <c r="J827" i="42"/>
  <c r="H657" i="42"/>
  <c r="H484" i="42"/>
  <c r="K653" i="42"/>
  <c r="G496" i="42"/>
  <c r="J665" i="42"/>
  <c r="H651" i="42"/>
  <c r="J652" i="42"/>
  <c r="J490" i="42"/>
  <c r="K489" i="42"/>
  <c r="I492" i="42"/>
  <c r="G492" i="42"/>
  <c r="H490" i="42"/>
  <c r="K486" i="42"/>
  <c r="H148" i="42"/>
  <c r="H153" i="42"/>
  <c r="J319" i="42"/>
  <c r="K316" i="42"/>
  <c r="G318" i="42"/>
  <c r="G149" i="42"/>
  <c r="G153" i="42"/>
  <c r="G820" i="42"/>
  <c r="H831" i="42"/>
  <c r="G833" i="42"/>
  <c r="K821" i="42"/>
  <c r="H650" i="42"/>
  <c r="H829" i="42"/>
  <c r="J659" i="42"/>
  <c r="J655" i="42"/>
  <c r="I653" i="42"/>
  <c r="H491" i="42"/>
  <c r="I657" i="42"/>
  <c r="I484" i="42"/>
  <c r="J497" i="42"/>
  <c r="I320" i="42"/>
  <c r="I146" i="42"/>
  <c r="J146" i="42"/>
  <c r="K151" i="42"/>
  <c r="H150" i="42"/>
  <c r="J153" i="42"/>
  <c r="H317" i="42"/>
  <c r="H316" i="42"/>
  <c r="H318" i="42"/>
  <c r="G156" i="42"/>
  <c r="G146" i="42"/>
  <c r="G320" i="42"/>
  <c r="I822" i="42"/>
  <c r="H824" i="42"/>
  <c r="I819" i="42"/>
  <c r="I491" i="42"/>
  <c r="J823" i="42"/>
  <c r="K831" i="42"/>
  <c r="J662" i="42"/>
  <c r="G657" i="42"/>
  <c r="H819" i="42"/>
  <c r="K820" i="42"/>
  <c r="I661" i="42"/>
  <c r="H661" i="42"/>
  <c r="G483" i="42"/>
  <c r="J832" i="42"/>
  <c r="K819" i="42"/>
  <c r="K822" i="42"/>
  <c r="K650" i="42"/>
  <c r="K651" i="42"/>
  <c r="G488" i="42"/>
  <c r="G664" i="42"/>
  <c r="I494" i="42"/>
  <c r="K661" i="42"/>
  <c r="G661" i="42"/>
  <c r="K493" i="42"/>
  <c r="K663" i="42"/>
  <c r="G651" i="42"/>
  <c r="K487" i="42"/>
  <c r="J487" i="42"/>
  <c r="J489" i="42"/>
  <c r="I490" i="42"/>
  <c r="I485" i="42"/>
  <c r="H485" i="42"/>
  <c r="K181" i="42"/>
  <c r="H183" i="42"/>
  <c r="K183" i="42"/>
  <c r="I353" i="42"/>
  <c r="G181" i="42"/>
  <c r="G8" i="42"/>
  <c r="G352" i="42"/>
  <c r="H854" i="42"/>
  <c r="I682" i="42"/>
  <c r="I842" i="42"/>
  <c r="I674" i="42"/>
  <c r="H674" i="42"/>
  <c r="J856" i="42"/>
  <c r="I848" i="42"/>
  <c r="G685" i="42"/>
  <c r="J339" i="42"/>
  <c r="G11" i="42"/>
  <c r="G345" i="42"/>
  <c r="H848" i="42"/>
  <c r="G854" i="42"/>
  <c r="H852" i="42"/>
  <c r="J853" i="42"/>
  <c r="K855" i="42"/>
  <c r="J842" i="42"/>
  <c r="I847" i="42"/>
  <c r="G689" i="42"/>
  <c r="G849" i="42"/>
  <c r="H855" i="42"/>
  <c r="I685" i="42"/>
  <c r="I853" i="42"/>
  <c r="K514" i="42"/>
  <c r="G855" i="42"/>
  <c r="J683" i="42"/>
  <c r="J687" i="42"/>
  <c r="G677" i="42"/>
  <c r="K519" i="42"/>
  <c r="K521" i="42"/>
  <c r="G509" i="42"/>
  <c r="G513" i="42"/>
  <c r="G780" i="42"/>
  <c r="J507" i="42"/>
  <c r="H517" i="42"/>
  <c r="I509" i="42"/>
  <c r="I517" i="42"/>
  <c r="H511" i="42"/>
  <c r="H519" i="42"/>
  <c r="H515" i="42"/>
  <c r="H513" i="42"/>
  <c r="H516" i="42"/>
  <c r="G517" i="42"/>
  <c r="I519" i="42"/>
  <c r="K679" i="42"/>
  <c r="K687" i="42"/>
  <c r="K676" i="42"/>
  <c r="K684" i="42"/>
  <c r="G520" i="42"/>
  <c r="J678" i="42"/>
  <c r="H688" i="42"/>
  <c r="H681" i="42"/>
  <c r="H689" i="42"/>
  <c r="H512" i="42"/>
  <c r="G842" i="42"/>
  <c r="G850" i="42"/>
  <c r="J680" i="42"/>
  <c r="G847" i="42"/>
  <c r="J677" i="42"/>
  <c r="G679" i="42"/>
  <c r="J516" i="42"/>
  <c r="J674" i="42"/>
  <c r="I846" i="42"/>
  <c r="G853" i="42"/>
  <c r="K842" i="42"/>
  <c r="K857" i="42"/>
  <c r="J846" i="42"/>
  <c r="H851" i="42"/>
  <c r="J682" i="42"/>
  <c r="G843" i="42"/>
  <c r="H676" i="42"/>
  <c r="K845" i="42"/>
  <c r="G507" i="42"/>
  <c r="G844" i="42"/>
  <c r="I852" i="42"/>
  <c r="J852" i="42"/>
  <c r="G856" i="42"/>
  <c r="G353" i="42"/>
  <c r="G178" i="42"/>
  <c r="G6" i="42"/>
  <c r="G176" i="42"/>
  <c r="G177" i="42"/>
  <c r="G12" i="42"/>
  <c r="G172" i="42"/>
  <c r="G348" i="42"/>
  <c r="H341" i="42"/>
  <c r="I339" i="42"/>
  <c r="K353" i="42"/>
  <c r="I341" i="42"/>
  <c r="J338" i="42"/>
  <c r="K352" i="42"/>
  <c r="K339" i="42"/>
  <c r="J180" i="42"/>
  <c r="K182" i="42"/>
  <c r="H181" i="42"/>
  <c r="I179" i="42"/>
  <c r="K185" i="42"/>
  <c r="J178" i="42"/>
  <c r="K184" i="42"/>
  <c r="I180" i="42"/>
  <c r="H179" i="42"/>
  <c r="H185" i="42"/>
  <c r="I185" i="42"/>
  <c r="I182" i="42"/>
  <c r="I338" i="42"/>
  <c r="I520" i="42"/>
  <c r="H514" i="42"/>
  <c r="I506" i="42"/>
  <c r="H510" i="42"/>
  <c r="H518" i="42"/>
  <c r="J684" i="42"/>
  <c r="J519" i="42"/>
  <c r="J689" i="42"/>
  <c r="I675" i="42"/>
  <c r="K516" i="42"/>
  <c r="G686" i="42"/>
  <c r="I680" i="42"/>
  <c r="H845" i="42"/>
  <c r="K510" i="42"/>
  <c r="K518" i="42"/>
  <c r="G511" i="42"/>
  <c r="J520" i="42"/>
  <c r="K512" i="42"/>
  <c r="K520" i="42"/>
  <c r="H520" i="42"/>
  <c r="I515" i="42"/>
  <c r="H521" i="42"/>
  <c r="J521" i="42"/>
  <c r="K509" i="42"/>
  <c r="J506" i="42"/>
  <c r="K511" i="42"/>
  <c r="I681" i="42"/>
  <c r="J511" i="42"/>
  <c r="I678" i="42"/>
  <c r="I686" i="42"/>
  <c r="K681" i="42"/>
  <c r="K689" i="42"/>
  <c r="K508" i="42"/>
  <c r="K674" i="42"/>
  <c r="K682" i="42"/>
  <c r="H677" i="42"/>
  <c r="J843" i="42"/>
  <c r="J851" i="42"/>
  <c r="K851" i="42"/>
  <c r="K683" i="42"/>
  <c r="J848" i="42"/>
  <c r="G684" i="42"/>
  <c r="H682" i="42"/>
  <c r="G681" i="42"/>
  <c r="K850" i="42"/>
  <c r="I855" i="42"/>
  <c r="J855" i="42"/>
  <c r="K677" i="42"/>
  <c r="I521" i="42"/>
  <c r="J675" i="42"/>
  <c r="I857" i="42"/>
  <c r="J857" i="42"/>
  <c r="I849" i="42"/>
  <c r="K853" i="42"/>
  <c r="K849" i="42"/>
  <c r="G846" i="42"/>
  <c r="J854" i="42"/>
  <c r="K856" i="42"/>
  <c r="G848" i="42"/>
  <c r="G7" i="42"/>
  <c r="G344" i="42"/>
  <c r="G17" i="42"/>
  <c r="G350" i="42"/>
  <c r="G184" i="42"/>
  <c r="G9" i="42"/>
  <c r="G10" i="42"/>
  <c r="G341" i="42"/>
  <c r="G182" i="42"/>
  <c r="G2" i="42"/>
  <c r="F2" i="42" s="1"/>
  <c r="I350" i="42"/>
  <c r="J341" i="42"/>
  <c r="H338" i="42"/>
  <c r="H178" i="42"/>
  <c r="J340" i="42"/>
  <c r="I352" i="42"/>
  <c r="J181" i="42"/>
  <c r="J185" i="42"/>
  <c r="H182" i="42"/>
  <c r="J182" i="42"/>
  <c r="H184" i="42"/>
  <c r="I512" i="42"/>
  <c r="I514" i="42"/>
  <c r="J510" i="42"/>
  <c r="K513" i="42"/>
  <c r="J514" i="42"/>
  <c r="I516" i="42"/>
  <c r="G675" i="42"/>
  <c r="G680" i="42"/>
  <c r="I683" i="42"/>
  <c r="I676" i="42"/>
  <c r="K854" i="42"/>
  <c r="G342" i="42"/>
  <c r="G5" i="42"/>
  <c r="G4" i="42"/>
  <c r="G338" i="42"/>
  <c r="G857" i="42"/>
  <c r="J847" i="42"/>
  <c r="K685" i="42"/>
  <c r="G515" i="42"/>
  <c r="H683" i="42"/>
  <c r="K515" i="42"/>
  <c r="K340" i="42"/>
  <c r="H339" i="42"/>
  <c r="K341" i="42"/>
  <c r="H351" i="42"/>
  <c r="J353" i="42"/>
  <c r="G179" i="42"/>
  <c r="G346" i="42"/>
  <c r="J850" i="42"/>
  <c r="I850" i="42"/>
  <c r="I184" i="42"/>
  <c r="K178" i="42"/>
  <c r="I183" i="42"/>
  <c r="K179" i="42"/>
  <c r="H350" i="42"/>
  <c r="K338" i="42"/>
  <c r="J352" i="42"/>
  <c r="G14" i="42"/>
  <c r="G347" i="42"/>
  <c r="G3" i="42"/>
  <c r="G351" i="42"/>
  <c r="G183" i="42"/>
  <c r="J845" i="42"/>
  <c r="H679" i="42"/>
  <c r="I843" i="42"/>
  <c r="H685" i="42"/>
  <c r="G682" i="42"/>
  <c r="K852" i="42"/>
  <c r="K843" i="42"/>
  <c r="J679" i="42"/>
  <c r="H686" i="42"/>
  <c r="J517" i="42"/>
  <c r="G514" i="42"/>
  <c r="K266" i="42"/>
  <c r="H770" i="42"/>
  <c r="K270" i="42"/>
  <c r="H266" i="42"/>
  <c r="J269" i="42"/>
  <c r="J271" i="42"/>
  <c r="G266" i="42"/>
  <c r="G280" i="42"/>
  <c r="J775" i="42"/>
  <c r="K773" i="42"/>
  <c r="K951" i="42"/>
  <c r="I266" i="42"/>
  <c r="G101" i="42"/>
  <c r="J785" i="42"/>
  <c r="G278" i="42"/>
  <c r="H949" i="42"/>
  <c r="H509" i="42"/>
  <c r="J515" i="42"/>
  <c r="H506" i="42"/>
  <c r="J512" i="42"/>
  <c r="G519" i="42"/>
  <c r="J509" i="42"/>
  <c r="G516" i="42"/>
  <c r="I507" i="42"/>
  <c r="G518" i="42"/>
  <c r="I510" i="42"/>
  <c r="G521" i="42"/>
  <c r="I508" i="42"/>
  <c r="I518" i="42"/>
  <c r="J513" i="42"/>
  <c r="K517" i="42"/>
  <c r="G510" i="42"/>
  <c r="H507" i="42"/>
  <c r="I511" i="42"/>
  <c r="J676" i="42"/>
  <c r="G683" i="42"/>
  <c r="I689" i="42"/>
  <c r="H675" i="42"/>
  <c r="J681" i="42"/>
  <c r="G688" i="42"/>
  <c r="H680" i="42"/>
  <c r="J686" i="42"/>
  <c r="G678" i="42"/>
  <c r="I684" i="42"/>
  <c r="G674" i="42"/>
  <c r="K686" i="42"/>
  <c r="K846" i="42"/>
  <c r="H853" i="42"/>
  <c r="I845" i="42"/>
  <c r="I677" i="42"/>
  <c r="H842" i="42"/>
  <c r="H850" i="42"/>
  <c r="K680" i="42"/>
  <c r="K675" i="42"/>
  <c r="J688" i="42"/>
  <c r="I687" i="42"/>
  <c r="K848" i="42"/>
  <c r="H857" i="42"/>
  <c r="J844" i="42"/>
  <c r="G676" i="42"/>
  <c r="H849" i="42"/>
  <c r="I851" i="42"/>
  <c r="I688" i="42"/>
  <c r="G851" i="42"/>
  <c r="H847" i="42"/>
  <c r="K688" i="42"/>
  <c r="K844" i="42"/>
  <c r="G845" i="42"/>
  <c r="H684" i="42"/>
  <c r="K678" i="42"/>
  <c r="K847" i="42"/>
  <c r="H856" i="42"/>
  <c r="J685" i="42"/>
  <c r="I679" i="42"/>
  <c r="J508" i="42"/>
  <c r="H843" i="42"/>
  <c r="I854" i="42"/>
  <c r="J849" i="42"/>
  <c r="G852" i="42"/>
  <c r="H844" i="42"/>
  <c r="G185" i="42"/>
  <c r="G173" i="42"/>
  <c r="G16" i="42"/>
  <c r="G171" i="42"/>
  <c r="G339" i="42"/>
  <c r="G170" i="42"/>
  <c r="G349" i="42"/>
  <c r="G174" i="42"/>
  <c r="G180" i="42"/>
  <c r="G340" i="42"/>
  <c r="G13" i="42"/>
  <c r="H352" i="42"/>
  <c r="I351" i="42"/>
  <c r="I340" i="42"/>
  <c r="J184" i="42"/>
  <c r="K351" i="42"/>
  <c r="J351" i="42"/>
  <c r="J350" i="42"/>
  <c r="J183" i="42"/>
  <c r="K350" i="42"/>
  <c r="H353" i="42"/>
  <c r="J780" i="42"/>
  <c r="K298" i="42"/>
  <c r="I984" i="42"/>
  <c r="H646" i="42"/>
  <c r="G469" i="42"/>
  <c r="G477" i="42"/>
  <c r="K480" i="42"/>
  <c r="K976" i="42"/>
  <c r="I132" i="42"/>
  <c r="G308" i="42"/>
  <c r="K812" i="42"/>
  <c r="J644" i="42"/>
  <c r="I477" i="42"/>
  <c r="J135" i="42"/>
  <c r="J806" i="42"/>
  <c r="I812" i="42"/>
  <c r="G644" i="42"/>
  <c r="H300" i="42"/>
  <c r="I810" i="42"/>
  <c r="J639" i="42"/>
  <c r="H304" i="42"/>
  <c r="G641" i="42"/>
  <c r="I472" i="42"/>
  <c r="K434" i="42"/>
  <c r="I781" i="42"/>
  <c r="I610" i="42"/>
  <c r="H611" i="42"/>
  <c r="G603" i="42"/>
  <c r="I442" i="42"/>
  <c r="H445" i="42"/>
  <c r="I944" i="42"/>
  <c r="J270" i="42"/>
  <c r="I271" i="42"/>
  <c r="I267" i="42"/>
  <c r="J272" i="42"/>
  <c r="J615" i="42"/>
  <c r="G448" i="42"/>
  <c r="J438" i="42"/>
  <c r="I942" i="42"/>
  <c r="H974" i="42"/>
  <c r="I938" i="42"/>
  <c r="H948" i="42"/>
  <c r="G949" i="42"/>
  <c r="J945" i="42"/>
  <c r="G951" i="42"/>
  <c r="G946" i="42"/>
  <c r="H944" i="42"/>
  <c r="G947" i="42"/>
  <c r="H938" i="42"/>
  <c r="G948" i="42"/>
  <c r="K438" i="42"/>
  <c r="K443" i="42"/>
  <c r="G436" i="42"/>
  <c r="K448" i="42"/>
  <c r="H441" i="42"/>
  <c r="H449" i="42"/>
  <c r="I439" i="42"/>
  <c r="H443" i="42"/>
  <c r="I609" i="42"/>
  <c r="K604" i="42"/>
  <c r="J617" i="42"/>
  <c r="G605" i="42"/>
  <c r="K617" i="42"/>
  <c r="G438" i="42"/>
  <c r="G437" i="42"/>
  <c r="J605" i="42"/>
  <c r="K437" i="42"/>
  <c r="K605" i="42"/>
  <c r="K613" i="42"/>
  <c r="I776" i="42"/>
  <c r="J776" i="42"/>
  <c r="K775" i="42"/>
  <c r="I774" i="42"/>
  <c r="K606" i="42"/>
  <c r="H607" i="42"/>
  <c r="I772" i="42"/>
  <c r="G781" i="42"/>
  <c r="K441" i="42"/>
  <c r="J770" i="42"/>
  <c r="K781" i="42"/>
  <c r="H784" i="42"/>
  <c r="G111" i="42"/>
  <c r="G112" i="42"/>
  <c r="G108" i="42"/>
  <c r="H273" i="42"/>
  <c r="J273" i="42"/>
  <c r="J266" i="42"/>
  <c r="J267" i="42"/>
  <c r="K267" i="42"/>
  <c r="H267" i="42"/>
  <c r="K268" i="42"/>
  <c r="K272" i="42"/>
  <c r="I440" i="42"/>
  <c r="I445" i="42"/>
  <c r="J437" i="42"/>
  <c r="I443" i="42"/>
  <c r="J441" i="42"/>
  <c r="K447" i="42"/>
  <c r="G611" i="42"/>
  <c r="I435" i="42"/>
  <c r="I606" i="42"/>
  <c r="K436" i="42"/>
  <c r="J606" i="42"/>
  <c r="J442" i="42"/>
  <c r="G445" i="42"/>
  <c r="I608" i="42"/>
  <c r="K445" i="42"/>
  <c r="J608" i="42"/>
  <c r="J616" i="42"/>
  <c r="J602" i="42"/>
  <c r="G778" i="42"/>
  <c r="H778" i="42"/>
  <c r="I604" i="42"/>
  <c r="G441" i="42"/>
  <c r="I777" i="42"/>
  <c r="G777" i="42"/>
  <c r="H775" i="42"/>
  <c r="K616" i="42"/>
  <c r="K771" i="42"/>
  <c r="H617" i="42"/>
  <c r="J777" i="42"/>
  <c r="I780" i="42"/>
  <c r="H610" i="42"/>
  <c r="J783" i="42"/>
  <c r="J773" i="42"/>
  <c r="H951" i="42"/>
  <c r="I948" i="42"/>
  <c r="K945" i="42"/>
  <c r="G950" i="42"/>
  <c r="G941" i="42"/>
  <c r="K946" i="42"/>
  <c r="I943" i="42"/>
  <c r="I951" i="42"/>
  <c r="G953" i="42"/>
  <c r="I940" i="42"/>
  <c r="K943" i="42"/>
  <c r="H945" i="42"/>
  <c r="J951" i="42"/>
  <c r="K953" i="42"/>
  <c r="H941" i="42"/>
  <c r="J941" i="42"/>
  <c r="K939" i="42"/>
  <c r="J953" i="42"/>
  <c r="J938" i="42"/>
  <c r="J940" i="42"/>
  <c r="G442" i="42"/>
  <c r="H434" i="42"/>
  <c r="G447" i="42"/>
  <c r="H439" i="42"/>
  <c r="H446" i="42"/>
  <c r="I444" i="42"/>
  <c r="J612" i="42"/>
  <c r="G440" i="42"/>
  <c r="G608" i="42"/>
  <c r="H440" i="42"/>
  <c r="H608" i="42"/>
  <c r="G446" i="42"/>
  <c r="J610" i="42"/>
  <c r="G771" i="42"/>
  <c r="K610" i="42"/>
  <c r="G435" i="42"/>
  <c r="I605" i="42"/>
  <c r="J447" i="42"/>
  <c r="J779" i="42"/>
  <c r="J449" i="42"/>
  <c r="K779" i="42"/>
  <c r="G610" i="42"/>
  <c r="G779" i="42"/>
  <c r="I779" i="42"/>
  <c r="J782" i="42"/>
  <c r="J774" i="42"/>
  <c r="K611" i="42"/>
  <c r="K785" i="42"/>
  <c r="H776" i="42"/>
  <c r="I783" i="42"/>
  <c r="G275" i="42"/>
  <c r="G267" i="42"/>
  <c r="G277" i="42"/>
  <c r="G270" i="42"/>
  <c r="H271" i="42"/>
  <c r="K271" i="42"/>
  <c r="H268" i="42"/>
  <c r="G944" i="42"/>
  <c r="J948" i="42"/>
  <c r="I953" i="42"/>
  <c r="I950" i="42"/>
  <c r="H940" i="42"/>
  <c r="J947" i="42"/>
  <c r="H943" i="42"/>
  <c r="G939" i="42"/>
  <c r="H953" i="42"/>
  <c r="H939" i="42"/>
  <c r="J443" i="42"/>
  <c r="K435" i="42"/>
  <c r="J448" i="42"/>
  <c r="K440" i="42"/>
  <c r="G449" i="42"/>
  <c r="I436" i="42"/>
  <c r="J446" i="42"/>
  <c r="H614" i="42"/>
  <c r="J444" i="42"/>
  <c r="J609" i="42"/>
  <c r="K444" i="42"/>
  <c r="K609" i="42"/>
  <c r="I613" i="42"/>
  <c r="J772" i="42"/>
  <c r="J613" i="42"/>
  <c r="G443" i="42"/>
  <c r="J607" i="42"/>
  <c r="K947" i="42"/>
  <c r="J943" i="42"/>
  <c r="I952" i="42"/>
  <c r="J950" i="42"/>
  <c r="G952" i="42"/>
  <c r="H952" i="42"/>
  <c r="I949" i="42"/>
  <c r="J944" i="42"/>
  <c r="J946" i="42"/>
  <c r="G942" i="42"/>
  <c r="G434" i="42"/>
  <c r="K446" i="42"/>
  <c r="G439" i="42"/>
  <c r="G444" i="42"/>
  <c r="I441" i="42"/>
  <c r="J604" i="42"/>
  <c r="I617" i="42"/>
  <c r="K612" i="42"/>
  <c r="G613" i="42"/>
  <c r="H438" i="42"/>
  <c r="G606" i="42"/>
  <c r="H613" i="42"/>
  <c r="G604" i="42"/>
  <c r="H771" i="42"/>
  <c r="I784" i="42"/>
  <c r="H604" i="42"/>
  <c r="I771" i="42"/>
  <c r="J784" i="42"/>
  <c r="G607" i="42"/>
  <c r="I770" i="42"/>
  <c r="K783" i="42"/>
  <c r="H605" i="42"/>
  <c r="H783" i="42"/>
  <c r="I782" i="42"/>
  <c r="H785" i="42"/>
  <c r="I607" i="42"/>
  <c r="I773" i="42"/>
  <c r="H602" i="42"/>
  <c r="G784" i="42"/>
  <c r="I612" i="42"/>
  <c r="I778" i="42"/>
  <c r="K780" i="42"/>
  <c r="H779" i="42"/>
  <c r="I602" i="42"/>
  <c r="G271" i="42"/>
  <c r="G107" i="42"/>
  <c r="G113" i="42"/>
  <c r="G268" i="42"/>
  <c r="H269" i="42"/>
  <c r="K269" i="42"/>
  <c r="I270" i="42"/>
  <c r="I272" i="42"/>
  <c r="H950" i="42"/>
  <c r="K952" i="42"/>
  <c r="H942" i="42"/>
  <c r="I939" i="42"/>
  <c r="G943" i="42"/>
  <c r="H442" i="42"/>
  <c r="I434" i="42"/>
  <c r="I446" i="42"/>
  <c r="J436" i="42"/>
  <c r="G616" i="42"/>
  <c r="I603" i="42"/>
  <c r="J434" i="42"/>
  <c r="J611" i="42"/>
  <c r="G617" i="42"/>
  <c r="G774" i="42"/>
  <c r="J771" i="42"/>
  <c r="I785" i="42"/>
  <c r="G103" i="42"/>
  <c r="G104" i="42"/>
  <c r="G269" i="42"/>
  <c r="K948" i="42"/>
  <c r="I945" i="42"/>
  <c r="G940" i="42"/>
  <c r="I941" i="42"/>
  <c r="G938" i="42"/>
  <c r="G945" i="42"/>
  <c r="K940" i="42"/>
  <c r="K942" i="42"/>
  <c r="J942" i="42"/>
  <c r="H946" i="42"/>
  <c r="J435" i="42"/>
  <c r="I448" i="42"/>
  <c r="J440" i="42"/>
  <c r="J445" i="42"/>
  <c r="H436" i="42"/>
  <c r="H444" i="42"/>
  <c r="H435" i="42"/>
  <c r="H606" i="42"/>
  <c r="I614" i="42"/>
  <c r="J614" i="42"/>
  <c r="I447" i="42"/>
  <c r="K608" i="42"/>
  <c r="I615" i="42"/>
  <c r="G609" i="42"/>
  <c r="G773" i="42"/>
  <c r="H609" i="42"/>
  <c r="H773" i="42"/>
  <c r="K449" i="42"/>
  <c r="G612" i="42"/>
  <c r="H772" i="42"/>
  <c r="H615" i="42"/>
  <c r="G785" i="42"/>
  <c r="K777" i="42"/>
  <c r="G776" i="42"/>
  <c r="H612" i="42"/>
  <c r="G770" i="42"/>
  <c r="G279" i="42"/>
  <c r="G281" i="42"/>
  <c r="G274" i="42"/>
  <c r="G106" i="42"/>
  <c r="G99" i="42"/>
  <c r="G276" i="42"/>
  <c r="I273" i="42"/>
  <c r="H272" i="42"/>
  <c r="K273" i="42"/>
  <c r="H947" i="42"/>
  <c r="K944" i="42"/>
  <c r="K950" i="42"/>
  <c r="I946" i="42"/>
  <c r="J952" i="42"/>
  <c r="H437" i="42"/>
  <c r="H447" i="42"/>
  <c r="I438" i="42"/>
  <c r="K439" i="42"/>
  <c r="K607" i="42"/>
  <c r="H603" i="42"/>
  <c r="H616" i="42"/>
  <c r="K602" i="42"/>
  <c r="J603" i="42"/>
  <c r="G614" i="42"/>
  <c r="K774" i="42"/>
  <c r="K614" i="42"/>
  <c r="G775" i="42"/>
  <c r="J778" i="42"/>
  <c r="K770" i="42"/>
  <c r="G105" i="42"/>
  <c r="G98" i="42"/>
  <c r="G110" i="42"/>
  <c r="G100" i="42"/>
  <c r="J268" i="42"/>
  <c r="G273" i="42"/>
  <c r="G272" i="42"/>
  <c r="K772" i="42"/>
  <c r="J781" i="42"/>
  <c r="H777" i="42"/>
  <c r="K784" i="42"/>
  <c r="G602" i="42"/>
  <c r="G615" i="42"/>
  <c r="K782" i="42"/>
  <c r="I616" i="42"/>
  <c r="I611" i="42"/>
  <c r="I449" i="42"/>
  <c r="I437" i="42"/>
  <c r="I947" i="42"/>
  <c r="I269" i="42"/>
  <c r="G109" i="42"/>
  <c r="K442" i="42"/>
  <c r="K778" i="42"/>
  <c r="H780" i="42"/>
  <c r="G782" i="42"/>
  <c r="H782" i="42"/>
  <c r="H781" i="42"/>
  <c r="H774" i="42"/>
  <c r="J939" i="42"/>
  <c r="J949" i="42"/>
  <c r="K941" i="42"/>
  <c r="G772" i="42"/>
  <c r="I775" i="42"/>
  <c r="K603" i="42"/>
  <c r="I268" i="42"/>
  <c r="H270" i="42"/>
  <c r="G102" i="42"/>
  <c r="K776" i="42"/>
  <c r="J439" i="42"/>
  <c r="G783" i="42"/>
  <c r="H448" i="42"/>
  <c r="K615" i="42"/>
  <c r="K938" i="42"/>
  <c r="K949" i="42"/>
  <c r="H730" i="42"/>
  <c r="G574" i="42"/>
  <c r="J904" i="42"/>
  <c r="J732" i="42"/>
  <c r="H577" i="42"/>
  <c r="J232" i="42"/>
  <c r="K913" i="42"/>
  <c r="H738" i="42"/>
  <c r="G405" i="42"/>
  <c r="I406" i="42"/>
  <c r="G230" i="42"/>
  <c r="G60" i="42"/>
  <c r="G241" i="42"/>
  <c r="G73" i="42"/>
  <c r="H562" i="42"/>
  <c r="G565" i="42"/>
  <c r="K740" i="42"/>
  <c r="K744" i="42"/>
  <c r="H404" i="42"/>
  <c r="G61" i="42"/>
  <c r="J741" i="42"/>
  <c r="I572" i="42"/>
  <c r="K900" i="42"/>
  <c r="I902" i="42"/>
  <c r="K906" i="42"/>
  <c r="G65" i="42"/>
  <c r="J571" i="42"/>
  <c r="I901" i="42"/>
  <c r="K737" i="42"/>
  <c r="J738" i="42"/>
  <c r="G742" i="42"/>
  <c r="J577" i="42"/>
  <c r="J902" i="42"/>
  <c r="K234" i="42"/>
  <c r="J230" i="42"/>
  <c r="J235" i="42"/>
  <c r="K577" i="42"/>
  <c r="G733" i="42"/>
  <c r="H905" i="42"/>
  <c r="I235" i="42"/>
  <c r="G401" i="42"/>
  <c r="J731" i="42"/>
  <c r="K576" i="42"/>
  <c r="H570" i="42"/>
  <c r="J233" i="42"/>
  <c r="K402" i="42"/>
  <c r="H407" i="42"/>
  <c r="K408" i="42"/>
  <c r="I743" i="42"/>
  <c r="J735" i="42"/>
  <c r="H569" i="42"/>
  <c r="H900" i="42"/>
  <c r="H735" i="42"/>
  <c r="G734" i="42"/>
  <c r="G563" i="42"/>
  <c r="J901" i="42"/>
  <c r="J905" i="42"/>
  <c r="I907" i="42"/>
  <c r="H232" i="42"/>
  <c r="H231" i="42"/>
  <c r="J406" i="42"/>
  <c r="G62" i="42"/>
  <c r="G403" i="42"/>
  <c r="H739" i="42"/>
  <c r="G577" i="42"/>
  <c r="K565" i="42"/>
  <c r="H901" i="42"/>
  <c r="J913" i="42"/>
  <c r="K235" i="42"/>
  <c r="H574" i="42"/>
  <c r="K732" i="42"/>
  <c r="K899" i="42"/>
  <c r="J912" i="42"/>
  <c r="G909" i="42"/>
  <c r="K231" i="42"/>
  <c r="K237" i="42"/>
  <c r="K404" i="42"/>
  <c r="G409" i="42"/>
  <c r="G233" i="42"/>
  <c r="G64" i="42"/>
  <c r="G239" i="42"/>
  <c r="G63" i="42"/>
  <c r="H743" i="42"/>
  <c r="J730" i="42"/>
  <c r="I745" i="42"/>
  <c r="I574" i="42"/>
  <c r="I577" i="42"/>
  <c r="J567" i="42"/>
  <c r="I230" i="42"/>
  <c r="K232" i="42"/>
  <c r="J744" i="42"/>
  <c r="G564" i="42"/>
  <c r="K236" i="42"/>
  <c r="J236" i="42"/>
  <c r="I404" i="42"/>
  <c r="G69" i="42"/>
  <c r="G407" i="42"/>
  <c r="G736" i="42"/>
  <c r="H744" i="42"/>
  <c r="J740" i="42"/>
  <c r="J564" i="42"/>
  <c r="G572" i="42"/>
  <c r="G575" i="42"/>
  <c r="I898" i="42"/>
  <c r="H910" i="42"/>
  <c r="G908" i="42"/>
  <c r="K912" i="42"/>
  <c r="H909" i="42"/>
  <c r="J908" i="42"/>
  <c r="G737" i="42"/>
  <c r="K733" i="42"/>
  <c r="I742" i="42"/>
  <c r="J570" i="42"/>
  <c r="K745" i="42"/>
  <c r="H731" i="42"/>
  <c r="I570" i="42"/>
  <c r="I736" i="42"/>
  <c r="K564" i="42"/>
  <c r="I568" i="42"/>
  <c r="K743" i="42"/>
  <c r="G731" i="42"/>
  <c r="I562" i="42"/>
  <c r="J575" i="42"/>
  <c r="I575" i="42"/>
  <c r="H565" i="42"/>
  <c r="G569" i="42"/>
  <c r="I573" i="42"/>
  <c r="J898" i="42"/>
  <c r="K905" i="42"/>
  <c r="H912" i="42"/>
  <c r="K908" i="42"/>
  <c r="H907" i="42"/>
  <c r="K907" i="42"/>
  <c r="I909" i="42"/>
  <c r="K911" i="42"/>
  <c r="J911" i="42"/>
  <c r="J234" i="42"/>
  <c r="K230" i="42"/>
  <c r="I231" i="42"/>
  <c r="H235" i="42"/>
  <c r="J408" i="42"/>
  <c r="H233" i="42"/>
  <c r="I402" i="42"/>
  <c r="G240" i="42"/>
  <c r="G72" i="42"/>
  <c r="G399" i="42"/>
  <c r="G231" i="42"/>
  <c r="G71" i="42"/>
  <c r="H736" i="42"/>
  <c r="J739" i="42"/>
  <c r="K742" i="42"/>
  <c r="G573" i="42"/>
  <c r="I730" i="42"/>
  <c r="G738" i="42"/>
  <c r="I733" i="42"/>
  <c r="G732" i="42"/>
  <c r="I740" i="42"/>
  <c r="G562" i="42"/>
  <c r="G744" i="42"/>
  <c r="J734" i="42"/>
  <c r="I564" i="42"/>
  <c r="H742" i="42"/>
  <c r="H576" i="42"/>
  <c r="K573" i="42"/>
  <c r="J573" i="42"/>
  <c r="H563" i="42"/>
  <c r="I567" i="42"/>
  <c r="K571" i="42"/>
  <c r="G903" i="42"/>
  <c r="I903" i="42"/>
  <c r="J903" i="42"/>
  <c r="K904" i="42"/>
  <c r="I900" i="42"/>
  <c r="H913" i="42"/>
  <c r="J910" i="42"/>
  <c r="G910" i="42"/>
  <c r="G911" i="42"/>
  <c r="H911" i="42"/>
  <c r="J907" i="42"/>
  <c r="J237" i="42"/>
  <c r="H405" i="42"/>
  <c r="H402" i="42"/>
  <c r="G404" i="42"/>
  <c r="G237" i="42"/>
  <c r="G226" i="42"/>
  <c r="G408" i="42"/>
  <c r="G743" i="42"/>
  <c r="H566" i="42"/>
  <c r="K901" i="42"/>
  <c r="I905" i="42"/>
  <c r="I910" i="42"/>
  <c r="I913" i="42"/>
  <c r="J231" i="42"/>
  <c r="K405" i="42"/>
  <c r="I233" i="42"/>
  <c r="J402" i="42"/>
  <c r="I407" i="42"/>
  <c r="I405" i="42"/>
  <c r="I403" i="42"/>
  <c r="H409" i="42"/>
  <c r="J405" i="42"/>
  <c r="K406" i="42"/>
  <c r="G234" i="42"/>
  <c r="G58" i="42"/>
  <c r="G238" i="42"/>
  <c r="G66" i="42"/>
  <c r="G400" i="42"/>
  <c r="J574" i="42"/>
  <c r="I732" i="42"/>
  <c r="K731" i="42"/>
  <c r="H745" i="42"/>
  <c r="H737" i="42"/>
  <c r="G571" i="42"/>
  <c r="H741" i="42"/>
  <c r="G735" i="42"/>
  <c r="I738" i="42"/>
  <c r="J743" i="42"/>
  <c r="K574" i="42"/>
  <c r="I737" i="42"/>
  <c r="K575" i="42"/>
  <c r="K570" i="42"/>
  <c r="G568" i="42"/>
  <c r="K567" i="42"/>
  <c r="H573" i="42"/>
  <c r="J562" i="42"/>
  <c r="G567" i="42"/>
  <c r="G900" i="42"/>
  <c r="G898" i="42"/>
  <c r="G901" i="42"/>
  <c r="J900" i="42"/>
  <c r="H898" i="42"/>
  <c r="G905" i="42"/>
  <c r="G906" i="42"/>
  <c r="K910" i="42"/>
  <c r="J906" i="42"/>
  <c r="G912" i="42"/>
  <c r="H237" i="42"/>
  <c r="H234" i="42"/>
  <c r="G229" i="42"/>
  <c r="J742" i="42"/>
  <c r="G741" i="42"/>
  <c r="K736" i="42"/>
  <c r="K730" i="42"/>
  <c r="G739" i="42"/>
  <c r="J572" i="42"/>
  <c r="K569" i="42"/>
  <c r="K902" i="42"/>
  <c r="H899" i="42"/>
  <c r="H906" i="42"/>
  <c r="K233" i="42"/>
  <c r="H408" i="42"/>
  <c r="H406" i="42"/>
  <c r="J409" i="42"/>
  <c r="J407" i="42"/>
  <c r="K407" i="42"/>
  <c r="I409" i="42"/>
  <c r="G236" i="42"/>
  <c r="G235" i="42"/>
  <c r="G227" i="42"/>
  <c r="G59" i="42"/>
  <c r="I734" i="42"/>
  <c r="K566" i="42"/>
  <c r="J733" i="42"/>
  <c r="I739" i="42"/>
  <c r="H733" i="42"/>
  <c r="J736" i="42"/>
  <c r="K741" i="42"/>
  <c r="H571" i="42"/>
  <c r="I576" i="42"/>
  <c r="K735" i="42"/>
  <c r="H572" i="42"/>
  <c r="K568" i="42"/>
  <c r="G566" i="42"/>
  <c r="J565" i="42"/>
  <c r="I571" i="42"/>
  <c r="I565" i="42"/>
  <c r="H902" i="42"/>
  <c r="G902" i="42"/>
  <c r="I904" i="42"/>
  <c r="H903" i="42"/>
  <c r="H908" i="42"/>
  <c r="I912" i="42"/>
  <c r="I908" i="42"/>
  <c r="I911" i="42"/>
  <c r="G913" i="42"/>
  <c r="J403" i="42"/>
  <c r="J404" i="42"/>
  <c r="H403" i="42"/>
  <c r="H230" i="42"/>
  <c r="G67" i="42"/>
  <c r="H732" i="42"/>
  <c r="I735" i="42"/>
  <c r="I566" i="42"/>
  <c r="H740" i="42"/>
  <c r="J745" i="42"/>
  <c r="I569" i="42"/>
  <c r="G570" i="42"/>
  <c r="H575" i="42"/>
  <c r="H564" i="42"/>
  <c r="J568" i="42"/>
  <c r="G899" i="42"/>
  <c r="G907" i="42"/>
  <c r="I236" i="42"/>
  <c r="K403" i="42"/>
  <c r="I234" i="42"/>
  <c r="I232" i="42"/>
  <c r="H236" i="42"/>
  <c r="I408" i="42"/>
  <c r="I237" i="42"/>
  <c r="K409" i="42"/>
  <c r="G398" i="42"/>
  <c r="G228" i="42"/>
  <c r="G68" i="42"/>
  <c r="G406" i="42"/>
  <c r="G70" i="42"/>
  <c r="G402" i="42"/>
  <c r="G232" i="42"/>
  <c r="K738" i="42"/>
  <c r="K739" i="42"/>
  <c r="I741" i="42"/>
  <c r="G730" i="42"/>
  <c r="G745" i="42"/>
  <c r="I744" i="42"/>
  <c r="K562" i="42"/>
  <c r="J737" i="42"/>
  <c r="I731" i="42"/>
  <c r="K734" i="42"/>
  <c r="G740" i="42"/>
  <c r="H567" i="42"/>
  <c r="K572" i="42"/>
  <c r="G576" i="42"/>
  <c r="H734" i="42"/>
  <c r="H568" i="42"/>
  <c r="J566" i="42"/>
  <c r="J563" i="42"/>
  <c r="I563" i="42"/>
  <c r="J569" i="42"/>
  <c r="J576" i="42"/>
  <c r="K563" i="42"/>
  <c r="I899" i="42"/>
  <c r="K898" i="42"/>
  <c r="J899" i="42"/>
  <c r="G904" i="42"/>
  <c r="K903" i="42"/>
  <c r="H904" i="42"/>
  <c r="K909" i="42"/>
  <c r="I906" i="42"/>
  <c r="J909" i="42"/>
  <c r="I130" i="42"/>
  <c r="K132" i="42"/>
  <c r="J136" i="42"/>
  <c r="H305" i="42"/>
  <c r="G306" i="42"/>
  <c r="G134" i="42"/>
  <c r="G299" i="42"/>
  <c r="K809" i="42"/>
  <c r="K805" i="42"/>
  <c r="K804" i="42"/>
  <c r="I807" i="42"/>
  <c r="I473" i="42"/>
  <c r="H635" i="42"/>
  <c r="J975" i="42"/>
  <c r="G979" i="42"/>
  <c r="I131" i="42"/>
  <c r="I135" i="42"/>
  <c r="J302" i="42"/>
  <c r="G805" i="42"/>
  <c r="H643" i="42"/>
  <c r="K468" i="42"/>
  <c r="G474" i="42"/>
  <c r="K982" i="42"/>
  <c r="G984" i="42"/>
  <c r="K984" i="42"/>
  <c r="J983" i="42"/>
  <c r="K974" i="42"/>
  <c r="J980" i="42"/>
  <c r="I976" i="42"/>
  <c r="I977" i="42"/>
  <c r="I985" i="42"/>
  <c r="J970" i="42"/>
  <c r="J984" i="42"/>
  <c r="J467" i="42"/>
  <c r="I480" i="42"/>
  <c r="G471" i="42"/>
  <c r="I474" i="42"/>
  <c r="J479" i="42"/>
  <c r="G467" i="42"/>
  <c r="G473" i="42"/>
  <c r="K639" i="42"/>
  <c r="J476" i="42"/>
  <c r="J646" i="42"/>
  <c r="J470" i="42"/>
  <c r="H470" i="42"/>
  <c r="J640" i="42"/>
  <c r="I470" i="42"/>
  <c r="K640" i="42"/>
  <c r="I634" i="42"/>
  <c r="K646" i="42"/>
  <c r="H480" i="42"/>
  <c r="I808" i="42"/>
  <c r="I805" i="42"/>
  <c r="J473" i="42"/>
  <c r="G804" i="42"/>
  <c r="K808" i="42"/>
  <c r="G809" i="42"/>
  <c r="J645" i="42"/>
  <c r="G817" i="42"/>
  <c r="J637" i="42"/>
  <c r="H641" i="42"/>
  <c r="K815" i="42"/>
  <c r="J809" i="42"/>
  <c r="G311" i="42"/>
  <c r="G145" i="42"/>
  <c r="G130" i="42"/>
  <c r="G132" i="42"/>
  <c r="G133" i="42"/>
  <c r="H302" i="42"/>
  <c r="I305" i="42"/>
  <c r="I301" i="42"/>
  <c r="K134" i="42"/>
  <c r="K130" i="42"/>
  <c r="K131" i="42"/>
  <c r="K136" i="42"/>
  <c r="H136" i="42"/>
  <c r="H977" i="42"/>
  <c r="G973" i="42"/>
  <c r="G970" i="42"/>
  <c r="J974" i="42"/>
  <c r="K983" i="42"/>
  <c r="H474" i="42"/>
  <c r="J477" i="42"/>
  <c r="G470" i="42"/>
  <c r="G481" i="42"/>
  <c r="G637" i="42"/>
  <c r="J478" i="42"/>
  <c r="H645" i="42"/>
  <c r="G639" i="42"/>
  <c r="J634" i="42"/>
  <c r="J811" i="42"/>
  <c r="H804" i="42"/>
  <c r="G640" i="42"/>
  <c r="K807" i="42"/>
  <c r="G137" i="42"/>
  <c r="K303" i="42"/>
  <c r="H130" i="42"/>
  <c r="G975" i="42"/>
  <c r="K978" i="42"/>
  <c r="H985" i="42"/>
  <c r="H973" i="42"/>
  <c r="H971" i="42"/>
  <c r="J973" i="42"/>
  <c r="K977" i="42"/>
  <c r="G974" i="42"/>
  <c r="I982" i="42"/>
  <c r="K979" i="42"/>
  <c r="J978" i="42"/>
  <c r="J985" i="42"/>
  <c r="G983" i="42"/>
  <c r="H469" i="42"/>
  <c r="J472" i="42"/>
  <c r="G476" i="42"/>
  <c r="K481" i="42"/>
  <c r="K469" i="42"/>
  <c r="H467" i="42"/>
  <c r="I476" i="42"/>
  <c r="I641" i="42"/>
  <c r="H481" i="42"/>
  <c r="I635" i="42"/>
  <c r="H648" i="42"/>
  <c r="H475" i="42"/>
  <c r="H478" i="42"/>
  <c r="J642" i="42"/>
  <c r="I478" i="42"/>
  <c r="K642" i="42"/>
  <c r="K636" i="42"/>
  <c r="K648" i="42"/>
  <c r="G810" i="42"/>
  <c r="G807" i="42"/>
  <c r="G806" i="42"/>
  <c r="H815" i="42"/>
  <c r="I646" i="42"/>
  <c r="I815" i="42"/>
  <c r="J804" i="42"/>
  <c r="G646" i="42"/>
  <c r="K817" i="42"/>
  <c r="K473" i="42"/>
  <c r="G812" i="42"/>
  <c r="I475" i="42"/>
  <c r="H642" i="42"/>
  <c r="G304" i="42"/>
  <c r="G313" i="42"/>
  <c r="G141" i="42"/>
  <c r="G310" i="42"/>
  <c r="G301" i="42"/>
  <c r="G140" i="42"/>
  <c r="K301" i="42"/>
  <c r="H298" i="42"/>
  <c r="J298" i="42"/>
  <c r="K137" i="42"/>
  <c r="H133" i="42"/>
  <c r="J134" i="42"/>
  <c r="K133" i="42"/>
  <c r="K985" i="42"/>
  <c r="K970" i="42"/>
  <c r="H970" i="42"/>
  <c r="J971" i="42"/>
  <c r="I972" i="42"/>
  <c r="K470" i="42"/>
  <c r="G472" i="42"/>
  <c r="G643" i="42"/>
  <c r="K649" i="42"/>
  <c r="K644" i="42"/>
  <c r="J481" i="42"/>
  <c r="J808" i="42"/>
  <c r="J635" i="42"/>
  <c r="G808" i="42"/>
  <c r="I802" i="42"/>
  <c r="G811" i="42"/>
  <c r="J648" i="42"/>
  <c r="G803" i="42"/>
  <c r="G814" i="42"/>
  <c r="H816" i="42"/>
  <c r="G136" i="42"/>
  <c r="G142" i="42"/>
  <c r="G302" i="42"/>
  <c r="K305" i="42"/>
  <c r="J300" i="42"/>
  <c r="I137" i="42"/>
  <c r="H132" i="42"/>
  <c r="J131" i="42"/>
  <c r="G985" i="42"/>
  <c r="G977" i="42"/>
  <c r="G971" i="42"/>
  <c r="K972" i="42"/>
  <c r="K971" i="42"/>
  <c r="K973" i="42"/>
  <c r="J979" i="42"/>
  <c r="I979" i="42"/>
  <c r="I981" i="42"/>
  <c r="G981" i="42"/>
  <c r="I983" i="42"/>
  <c r="I971" i="42"/>
  <c r="H981" i="42"/>
  <c r="J475" i="42"/>
  <c r="H466" i="42"/>
  <c r="G479" i="42"/>
  <c r="J469" i="42"/>
  <c r="K471" i="42"/>
  <c r="K479" i="42"/>
  <c r="K477" i="42"/>
  <c r="G635" i="42"/>
  <c r="K647" i="42"/>
  <c r="G478" i="42"/>
  <c r="K641" i="42"/>
  <c r="G634" i="42"/>
  <c r="H634" i="42"/>
  <c r="I645" i="42"/>
  <c r="H468" i="42"/>
  <c r="I640" i="42"/>
  <c r="J647" i="42"/>
  <c r="J803" i="42"/>
  <c r="I816" i="42"/>
  <c r="I639" i="42"/>
  <c r="I813" i="42"/>
  <c r="I648" i="42"/>
  <c r="K645" i="42"/>
  <c r="K635" i="42"/>
  <c r="I814" i="42"/>
  <c r="J810" i="42"/>
  <c r="H817" i="42"/>
  <c r="G813" i="42"/>
  <c r="I809" i="42"/>
  <c r="H803" i="42"/>
  <c r="I803" i="42"/>
  <c r="H809" i="42"/>
  <c r="K802" i="42"/>
  <c r="G143" i="42"/>
  <c r="G138" i="42"/>
  <c r="G139" i="42"/>
  <c r="H299" i="42"/>
  <c r="I299" i="42"/>
  <c r="J132" i="42"/>
  <c r="K304" i="42"/>
  <c r="J304" i="42"/>
  <c r="H131" i="42"/>
  <c r="H137" i="42"/>
  <c r="J130" i="42"/>
  <c r="I134" i="42"/>
  <c r="I302" i="42"/>
  <c r="J471" i="42"/>
  <c r="J805" i="42"/>
  <c r="H812" i="42"/>
  <c r="H807" i="42"/>
  <c r="I303" i="42"/>
  <c r="H134" i="42"/>
  <c r="I304" i="42"/>
  <c r="H983" i="42"/>
  <c r="G466" i="42"/>
  <c r="I469" i="42"/>
  <c r="K472" i="42"/>
  <c r="I468" i="42"/>
  <c r="G645" i="42"/>
  <c r="J466" i="42"/>
  <c r="I638" i="42"/>
  <c r="K638" i="42"/>
  <c r="K806" i="42"/>
  <c r="G648" i="42"/>
  <c r="K803" i="42"/>
  <c r="K810" i="42"/>
  <c r="K813" i="42"/>
  <c r="J807" i="42"/>
  <c r="H811" i="42"/>
  <c r="G307" i="42"/>
  <c r="H303" i="42"/>
  <c r="H301" i="42"/>
  <c r="I970" i="42"/>
  <c r="H976" i="42"/>
  <c r="G976" i="42"/>
  <c r="J972" i="42"/>
  <c r="G978" i="42"/>
  <c r="K975" i="42"/>
  <c r="H984" i="42"/>
  <c r="H972" i="42"/>
  <c r="G980" i="42"/>
  <c r="I975" i="42"/>
  <c r="H477" i="42"/>
  <c r="K467" i="42"/>
  <c r="J480" i="42"/>
  <c r="H471" i="42"/>
  <c r="J474" i="42"/>
  <c r="G480" i="42"/>
  <c r="J636" i="42"/>
  <c r="I649" i="42"/>
  <c r="J468" i="42"/>
  <c r="I481" i="42"/>
  <c r="I643" i="42"/>
  <c r="H636" i="42"/>
  <c r="I636" i="42"/>
  <c r="I647" i="42"/>
  <c r="H476" i="42"/>
  <c r="I642" i="42"/>
  <c r="H805" i="42"/>
  <c r="K643" i="42"/>
  <c r="H802" i="42"/>
  <c r="G815" i="42"/>
  <c r="H644" i="42"/>
  <c r="K816" i="42"/>
  <c r="J812" i="42"/>
  <c r="I467" i="42"/>
  <c r="I811" i="42"/>
  <c r="J305" i="42"/>
  <c r="J301" i="42"/>
  <c r="J133" i="42"/>
  <c r="I133" i="42"/>
  <c r="I136" i="42"/>
  <c r="G972" i="42"/>
  <c r="H980" i="42"/>
  <c r="H975" i="42"/>
  <c r="J976" i="42"/>
  <c r="H978" i="42"/>
  <c r="H979" i="42"/>
  <c r="G982" i="42"/>
  <c r="I973" i="42"/>
  <c r="J977" i="42"/>
  <c r="K478" i="42"/>
  <c r="K476" i="42"/>
  <c r="H638" i="42"/>
  <c r="H473" i="42"/>
  <c r="J649" i="42"/>
  <c r="I644" i="42"/>
  <c r="J816" i="42"/>
  <c r="I804" i="42"/>
  <c r="J802" i="42"/>
  <c r="H637" i="42"/>
  <c r="J814" i="42"/>
  <c r="J815" i="42"/>
  <c r="G303" i="42"/>
  <c r="G312" i="42"/>
  <c r="K299" i="42"/>
  <c r="G305" i="42"/>
  <c r="H814" i="42"/>
  <c r="I806" i="42"/>
  <c r="J641" i="42"/>
  <c r="K814" i="42"/>
  <c r="H640" i="42"/>
  <c r="K474" i="42"/>
  <c r="K466" i="42"/>
  <c r="H479" i="42"/>
  <c r="K475" i="42"/>
  <c r="I980" i="42"/>
  <c r="I300" i="42"/>
  <c r="H135" i="42"/>
  <c r="K135" i="42"/>
  <c r="K302" i="42"/>
  <c r="G816" i="42"/>
  <c r="K637" i="42"/>
  <c r="I637" i="42"/>
  <c r="H813" i="42"/>
  <c r="J643" i="42"/>
  <c r="J638" i="42"/>
  <c r="G468" i="42"/>
  <c r="K981" i="42"/>
  <c r="I978" i="42"/>
  <c r="I974" i="42"/>
  <c r="I298" i="42"/>
  <c r="K300" i="42"/>
  <c r="H808" i="42"/>
  <c r="K811" i="42"/>
  <c r="K634" i="42"/>
  <c r="G802" i="42"/>
  <c r="H639" i="42"/>
  <c r="G638" i="42"/>
  <c r="I479" i="42"/>
  <c r="H649" i="42"/>
  <c r="G649" i="42"/>
  <c r="G475" i="42"/>
  <c r="I466" i="42"/>
  <c r="H982" i="42"/>
  <c r="J982" i="42"/>
  <c r="J137" i="42"/>
  <c r="G298" i="42"/>
  <c r="J817" i="42"/>
  <c r="J303" i="42"/>
  <c r="J299" i="42"/>
  <c r="G309" i="42"/>
  <c r="G131" i="42"/>
  <c r="G135" i="42"/>
  <c r="J813" i="42"/>
  <c r="G642" i="42"/>
  <c r="I817" i="42"/>
  <c r="H806" i="42"/>
  <c r="H810" i="42"/>
  <c r="G636" i="42"/>
  <c r="I471" i="42"/>
  <c r="H647" i="42"/>
  <c r="G647" i="42"/>
  <c r="H472" i="42"/>
  <c r="J981" i="42"/>
  <c r="K980" i="42"/>
  <c r="AI8" i="42"/>
  <c r="AI9" i="42"/>
  <c r="AI7" i="42"/>
  <c r="AI3" i="42"/>
  <c r="AI4" i="42"/>
  <c r="AI6" i="42"/>
  <c r="AI13" i="42"/>
  <c r="AI5" i="42"/>
  <c r="AI12" i="42"/>
  <c r="AI10" i="42"/>
  <c r="AI11" i="42"/>
  <c r="F3" i="42" l="1"/>
  <c r="F4" i="42" s="1"/>
  <c r="F5" i="42" s="1"/>
  <c r="F6" i="42" s="1"/>
  <c r="F7" i="42" s="1"/>
  <c r="F8" i="42" s="1"/>
  <c r="F9" i="42" s="1"/>
  <c r="F10" i="42" s="1"/>
  <c r="F11" i="42" s="1"/>
  <c r="F12" i="42" s="1"/>
  <c r="F13" i="42" s="1"/>
  <c r="F14" i="42" s="1"/>
  <c r="F15" i="42" s="1"/>
  <c r="F16" i="42" s="1"/>
  <c r="F17" i="42" s="1"/>
  <c r="F18" i="42" s="1"/>
  <c r="F19" i="42" s="1"/>
  <c r="F20" i="42" s="1"/>
  <c r="F21" i="42" s="1"/>
  <c r="F22" i="42" s="1"/>
  <c r="F23" i="42" s="1"/>
  <c r="F24" i="42" s="1"/>
  <c r="F25" i="42" s="1"/>
  <c r="F26" i="42" s="1"/>
  <c r="F27" i="42" s="1"/>
  <c r="F28" i="42" s="1"/>
  <c r="F29" i="42" s="1"/>
  <c r="F30" i="42" s="1"/>
  <c r="F31" i="42" s="1"/>
  <c r="F32" i="42" s="1"/>
  <c r="F33" i="42" s="1"/>
  <c r="F34" i="42" s="1"/>
  <c r="F35" i="42" s="1"/>
  <c r="F36" i="42" s="1"/>
  <c r="F37" i="42" s="1"/>
  <c r="F38" i="42" s="1"/>
  <c r="F39" i="42" s="1"/>
  <c r="F40" i="42" s="1"/>
  <c r="F41" i="42" s="1"/>
  <c r="F42" i="42" s="1"/>
  <c r="F43" i="42" s="1"/>
  <c r="F44" i="42" s="1"/>
  <c r="F45" i="42" s="1"/>
  <c r="F46" i="42" s="1"/>
  <c r="F47" i="42" s="1"/>
  <c r="F48" i="42" s="1"/>
  <c r="F49" i="42" s="1"/>
  <c r="H65" i="42"/>
  <c r="H82" i="42"/>
  <c r="K82" i="42"/>
  <c r="H85" i="42"/>
  <c r="H62" i="42"/>
  <c r="H78" i="42"/>
  <c r="J81" i="42"/>
  <c r="I62" i="42"/>
  <c r="I67" i="42"/>
  <c r="I83" i="42"/>
  <c r="J65" i="42"/>
  <c r="K83" i="42"/>
  <c r="J78" i="42"/>
  <c r="J64" i="42"/>
  <c r="J69" i="42"/>
  <c r="I69" i="42"/>
  <c r="I85" i="42"/>
  <c r="K67" i="42"/>
  <c r="H81" i="42"/>
  <c r="H67" i="42"/>
  <c r="I80" i="42"/>
  <c r="K62" i="42"/>
  <c r="H84" i="42"/>
  <c r="K78" i="42"/>
  <c r="J83" i="42"/>
  <c r="H66" i="42"/>
  <c r="I66" i="42"/>
  <c r="K65" i="42"/>
  <c r="H80" i="42"/>
  <c r="I78" i="42"/>
  <c r="K64" i="42"/>
  <c r="K66" i="42"/>
  <c r="J79" i="42"/>
  <c r="K85" i="42"/>
  <c r="J67" i="42"/>
  <c r="H63" i="42"/>
  <c r="I68" i="42"/>
  <c r="J63" i="42"/>
  <c r="H83" i="42"/>
  <c r="J80" i="42"/>
  <c r="I82" i="42"/>
  <c r="K79" i="42"/>
  <c r="I79" i="42"/>
  <c r="J68" i="42"/>
  <c r="K69" i="42"/>
  <c r="J84" i="42"/>
  <c r="J85" i="42"/>
  <c r="H69" i="42"/>
  <c r="I81" i="42"/>
  <c r="J62" i="42"/>
  <c r="I84" i="42"/>
  <c r="J66" i="42"/>
  <c r="H68" i="42"/>
  <c r="K80" i="42"/>
  <c r="J82" i="42"/>
  <c r="I63" i="42"/>
  <c r="H79" i="42"/>
  <c r="K84" i="42"/>
  <c r="K81" i="42"/>
  <c r="I64" i="42"/>
  <c r="I65" i="42"/>
  <c r="K63" i="42"/>
  <c r="K68" i="42"/>
  <c r="H64" i="42"/>
  <c r="AB2" i="42" l="1"/>
  <c r="V2" i="42"/>
  <c r="H154" i="42"/>
  <c r="H156" i="42"/>
  <c r="H158" i="42"/>
  <c r="H160" i="42"/>
  <c r="H222" i="42"/>
  <c r="H224" i="42"/>
  <c r="H226" i="42"/>
  <c r="H228" i="42"/>
  <c r="H290" i="42"/>
  <c r="H292" i="42"/>
  <c r="H294" i="42"/>
  <c r="H296" i="42"/>
  <c r="H358" i="42"/>
  <c r="H360" i="42"/>
  <c r="H362" i="42"/>
  <c r="H364" i="42"/>
  <c r="K156" i="42"/>
  <c r="K222" i="42"/>
  <c r="K228" i="42"/>
  <c r="K290" i="42"/>
  <c r="K296" i="42"/>
  <c r="K362" i="42"/>
  <c r="H155" i="42"/>
  <c r="H161" i="42"/>
  <c r="H223" i="42"/>
  <c r="H229" i="42"/>
  <c r="H291" i="42"/>
  <c r="H297" i="42"/>
  <c r="H361" i="42"/>
  <c r="K161" i="42"/>
  <c r="K227" i="42"/>
  <c r="K293" i="42"/>
  <c r="K359" i="42"/>
  <c r="I154" i="42"/>
  <c r="I156" i="42"/>
  <c r="I158" i="42"/>
  <c r="I160" i="42"/>
  <c r="I222" i="42"/>
  <c r="I224" i="42"/>
  <c r="I226" i="42"/>
  <c r="I228" i="42"/>
  <c r="I290" i="42"/>
  <c r="I292" i="42"/>
  <c r="I294" i="42"/>
  <c r="I296" i="42"/>
  <c r="I358" i="42"/>
  <c r="I360" i="42"/>
  <c r="I362" i="42"/>
  <c r="I364" i="42"/>
  <c r="K158" i="42"/>
  <c r="K226" i="42"/>
  <c r="K294" i="42"/>
  <c r="K360" i="42"/>
  <c r="H157" i="42"/>
  <c r="H227" i="42"/>
  <c r="H295" i="42"/>
  <c r="H363" i="42"/>
  <c r="K157" i="42"/>
  <c r="K225" i="42"/>
  <c r="K295" i="42"/>
  <c r="K361" i="42"/>
  <c r="J154" i="42"/>
  <c r="J156" i="42"/>
  <c r="J158" i="42"/>
  <c r="J160" i="42"/>
  <c r="J222" i="42"/>
  <c r="J224" i="42"/>
  <c r="J226" i="42"/>
  <c r="J228" i="42"/>
  <c r="J290" i="42"/>
  <c r="J292" i="42"/>
  <c r="J294" i="42"/>
  <c r="J296" i="42"/>
  <c r="J358" i="42"/>
  <c r="J360" i="42"/>
  <c r="J362" i="42"/>
  <c r="J364" i="42"/>
  <c r="K154" i="42"/>
  <c r="K160" i="42"/>
  <c r="K224" i="42"/>
  <c r="K292" i="42"/>
  <c r="K358" i="42"/>
  <c r="K364" i="42"/>
  <c r="H159" i="42"/>
  <c r="H225" i="42"/>
  <c r="H293" i="42"/>
  <c r="H359" i="42"/>
  <c r="H365" i="42"/>
  <c r="K159" i="42"/>
  <c r="K229" i="42"/>
  <c r="K297" i="42"/>
  <c r="K363" i="42"/>
  <c r="I155" i="42"/>
  <c r="I157" i="42"/>
  <c r="I159" i="42"/>
  <c r="I161" i="42"/>
  <c r="I223" i="42"/>
  <c r="I225" i="42"/>
  <c r="I227" i="42"/>
  <c r="I229" i="42"/>
  <c r="I291" i="42"/>
  <c r="I293" i="42"/>
  <c r="I295" i="42"/>
  <c r="I297" i="42"/>
  <c r="I359" i="42"/>
  <c r="I361" i="42"/>
  <c r="I363" i="42"/>
  <c r="I365" i="42"/>
  <c r="J155" i="42"/>
  <c r="J157" i="42"/>
  <c r="J159" i="42"/>
  <c r="J161" i="42"/>
  <c r="J223" i="42"/>
  <c r="J225" i="42"/>
  <c r="J227" i="42"/>
  <c r="J229" i="42"/>
  <c r="J291" i="42"/>
  <c r="J293" i="42"/>
  <c r="J295" i="42"/>
  <c r="J297" i="42"/>
  <c r="J359" i="42"/>
  <c r="J361" i="42"/>
  <c r="J363" i="42"/>
  <c r="J365" i="42"/>
  <c r="K155" i="42"/>
  <c r="K223" i="42"/>
  <c r="K291" i="42"/>
  <c r="K365" i="42"/>
  <c r="K18" i="42"/>
  <c r="H18" i="42"/>
  <c r="J22" i="42"/>
  <c r="I24" i="42"/>
  <c r="K23" i="42"/>
  <c r="I19" i="42"/>
  <c r="H25" i="42"/>
  <c r="H23" i="42"/>
  <c r="K19" i="42"/>
  <c r="J24" i="42"/>
  <c r="H20" i="42"/>
  <c r="H24" i="42"/>
  <c r="J25" i="42"/>
  <c r="K21" i="42"/>
  <c r="I22" i="42"/>
  <c r="J18" i="42"/>
  <c r="J20" i="42"/>
  <c r="K25" i="42"/>
  <c r="I20" i="42"/>
  <c r="J19" i="42"/>
  <c r="J21" i="42"/>
  <c r="K20" i="42"/>
  <c r="I23" i="42"/>
  <c r="K22" i="42"/>
  <c r="I18" i="42"/>
  <c r="H21" i="42"/>
  <c r="H19" i="42"/>
  <c r="H22" i="42"/>
  <c r="K24" i="42"/>
  <c r="J23" i="42"/>
  <c r="I25" i="42"/>
  <c r="I21" i="42"/>
  <c r="K171" i="42"/>
  <c r="K173" i="42"/>
  <c r="K175" i="42"/>
  <c r="K177" i="42"/>
  <c r="K239" i="42"/>
  <c r="K241" i="42"/>
  <c r="K243" i="42"/>
  <c r="K245" i="42"/>
  <c r="K307" i="42"/>
  <c r="K309" i="42"/>
  <c r="K311" i="42"/>
  <c r="K313" i="42"/>
  <c r="K375" i="42"/>
  <c r="K377" i="42"/>
  <c r="K379" i="42"/>
  <c r="K381" i="42"/>
  <c r="I376" i="42"/>
  <c r="J170" i="42"/>
  <c r="J176" i="42"/>
  <c r="J238" i="42"/>
  <c r="J244" i="42"/>
  <c r="J306" i="42"/>
  <c r="J312" i="42"/>
  <c r="J374" i="42"/>
  <c r="J380" i="42"/>
  <c r="K170" i="42"/>
  <c r="K176" i="42"/>
  <c r="K238" i="42"/>
  <c r="K244" i="42"/>
  <c r="K308" i="42"/>
  <c r="K376" i="42"/>
  <c r="J241" i="42"/>
  <c r="J307" i="42"/>
  <c r="J381" i="42"/>
  <c r="H170" i="42"/>
  <c r="H172" i="42"/>
  <c r="H174" i="42"/>
  <c r="H176" i="42"/>
  <c r="H238" i="42"/>
  <c r="H240" i="42"/>
  <c r="H242" i="42"/>
  <c r="H244" i="42"/>
  <c r="H306" i="42"/>
  <c r="H308" i="42"/>
  <c r="H310" i="42"/>
  <c r="H312" i="42"/>
  <c r="H374" i="42"/>
  <c r="H376" i="42"/>
  <c r="H378" i="42"/>
  <c r="H380" i="42"/>
  <c r="I378" i="42"/>
  <c r="J174" i="42"/>
  <c r="J242" i="42"/>
  <c r="J310" i="42"/>
  <c r="J378" i="42"/>
  <c r="K174" i="42"/>
  <c r="K242" i="42"/>
  <c r="K310" i="42"/>
  <c r="K378" i="42"/>
  <c r="J239" i="42"/>
  <c r="J245" i="42"/>
  <c r="J313" i="42"/>
  <c r="J379" i="42"/>
  <c r="I170" i="42"/>
  <c r="I172" i="42"/>
  <c r="I174" i="42"/>
  <c r="I176" i="42"/>
  <c r="I238" i="42"/>
  <c r="I240" i="42"/>
  <c r="I242" i="42"/>
  <c r="I244" i="42"/>
  <c r="I306" i="42"/>
  <c r="I308" i="42"/>
  <c r="I310" i="42"/>
  <c r="I312" i="42"/>
  <c r="I374" i="42"/>
  <c r="I380" i="42"/>
  <c r="J172" i="42"/>
  <c r="J240" i="42"/>
  <c r="J308" i="42"/>
  <c r="J376" i="42"/>
  <c r="K172" i="42"/>
  <c r="K240" i="42"/>
  <c r="K306" i="42"/>
  <c r="K312" i="42"/>
  <c r="K374" i="42"/>
  <c r="K380" i="42"/>
  <c r="J311" i="42"/>
  <c r="J377" i="42"/>
  <c r="H171" i="42"/>
  <c r="H173" i="42"/>
  <c r="H175" i="42"/>
  <c r="H177" i="42"/>
  <c r="H239" i="42"/>
  <c r="H241" i="42"/>
  <c r="H243" i="42"/>
  <c r="H245" i="42"/>
  <c r="H307" i="42"/>
  <c r="H309" i="42"/>
  <c r="H311" i="42"/>
  <c r="H313" i="42"/>
  <c r="H375" i="42"/>
  <c r="H377" i="42"/>
  <c r="H379" i="42"/>
  <c r="H381" i="42"/>
  <c r="I171" i="42"/>
  <c r="I173" i="42"/>
  <c r="I175" i="42"/>
  <c r="I177" i="42"/>
  <c r="I239" i="42"/>
  <c r="I241" i="42"/>
  <c r="I243" i="42"/>
  <c r="I245" i="42"/>
  <c r="I307" i="42"/>
  <c r="I309" i="42"/>
  <c r="I311" i="42"/>
  <c r="I313" i="42"/>
  <c r="I375" i="42"/>
  <c r="I377" i="42"/>
  <c r="I379" i="42"/>
  <c r="I381" i="42"/>
  <c r="J171" i="42"/>
  <c r="J173" i="42"/>
  <c r="J175" i="42"/>
  <c r="J177" i="42"/>
  <c r="J243" i="42"/>
  <c r="J309" i="42"/>
  <c r="J375" i="42"/>
  <c r="I13" i="42"/>
  <c r="I17" i="42"/>
  <c r="I11" i="42"/>
  <c r="H115" i="42"/>
  <c r="I110" i="42"/>
  <c r="I10" i="42"/>
  <c r="I16" i="42"/>
  <c r="K115" i="42"/>
  <c r="K14" i="42"/>
  <c r="J112" i="42"/>
  <c r="I14" i="42"/>
  <c r="I114" i="42"/>
  <c r="K110" i="42"/>
  <c r="J116" i="42"/>
  <c r="H112" i="42"/>
  <c r="K113" i="42"/>
  <c r="K12" i="42"/>
  <c r="I115" i="42"/>
  <c r="I113" i="42"/>
  <c r="H110" i="42"/>
  <c r="K116" i="42"/>
  <c r="H11" i="42"/>
  <c r="J110" i="42"/>
  <c r="J117" i="42"/>
  <c r="H114" i="42"/>
  <c r="H14" i="42"/>
  <c r="J113" i="42"/>
  <c r="K112" i="42"/>
  <c r="I111" i="42"/>
  <c r="J10" i="42"/>
  <c r="J14" i="42"/>
  <c r="I12" i="42"/>
  <c r="J11" i="42"/>
  <c r="J13" i="42"/>
  <c r="K15" i="42"/>
  <c r="K117" i="42"/>
  <c r="K16" i="42"/>
  <c r="J12" i="42"/>
  <c r="H116" i="42"/>
  <c r="I116" i="42"/>
  <c r="K11" i="42"/>
  <c r="H117" i="42"/>
  <c r="K13" i="42"/>
  <c r="J115" i="42"/>
  <c r="K111" i="42"/>
  <c r="J15" i="42"/>
  <c r="H113" i="42"/>
  <c r="I15" i="42"/>
  <c r="J111" i="42"/>
  <c r="J16" i="42"/>
  <c r="K17" i="42"/>
  <c r="I117" i="42"/>
  <c r="J17" i="42"/>
  <c r="H12" i="42"/>
  <c r="K114" i="42"/>
  <c r="H10" i="42"/>
  <c r="H13" i="42"/>
  <c r="H111" i="42"/>
  <c r="I112" i="42"/>
  <c r="H16" i="42"/>
  <c r="H15" i="42"/>
  <c r="K10" i="42"/>
  <c r="J114" i="42"/>
  <c r="H17" i="42"/>
  <c r="K94" i="42"/>
  <c r="J88" i="42"/>
  <c r="H43" i="42"/>
  <c r="K33" i="42"/>
  <c r="K102" i="42"/>
  <c r="K96" i="42"/>
  <c r="J36" i="42"/>
  <c r="K32" i="42"/>
  <c r="J31" i="42"/>
  <c r="J101" i="42"/>
  <c r="H27" i="42"/>
  <c r="I33" i="42"/>
  <c r="I96" i="42"/>
  <c r="H99" i="42"/>
  <c r="K47" i="42"/>
  <c r="H106" i="42"/>
  <c r="K28" i="42"/>
  <c r="K97" i="42"/>
  <c r="H32" i="42"/>
  <c r="I87" i="42"/>
  <c r="J106" i="42"/>
  <c r="H42" i="42"/>
  <c r="K48" i="42"/>
  <c r="H87" i="42"/>
  <c r="I105" i="42"/>
  <c r="J102" i="42"/>
  <c r="K93" i="42"/>
  <c r="I47" i="42"/>
  <c r="H88" i="42"/>
  <c r="H38" i="42"/>
  <c r="J42" i="42"/>
  <c r="J92" i="42"/>
  <c r="K106" i="42"/>
  <c r="H98" i="42"/>
  <c r="K40" i="42"/>
  <c r="K105" i="42"/>
  <c r="I92" i="42"/>
  <c r="H97" i="42"/>
  <c r="I42" i="42"/>
  <c r="J90" i="42"/>
  <c r="J30" i="42"/>
  <c r="H30" i="42"/>
  <c r="K103" i="42"/>
  <c r="H41" i="42"/>
  <c r="J103" i="42"/>
  <c r="J46" i="42"/>
  <c r="K98" i="42"/>
  <c r="H89" i="42"/>
  <c r="H96" i="42"/>
  <c r="H40" i="42"/>
  <c r="I48" i="42"/>
  <c r="H92" i="42"/>
  <c r="K43" i="42"/>
  <c r="J33" i="42"/>
  <c r="H95" i="42"/>
  <c r="K99" i="42"/>
  <c r="I31" i="42"/>
  <c r="I89" i="42"/>
  <c r="J49" i="42"/>
  <c r="K91" i="42"/>
  <c r="J26" i="42"/>
  <c r="J86" i="42"/>
  <c r="K29" i="42"/>
  <c r="I35" i="42"/>
  <c r="H47" i="42"/>
  <c r="J45" i="42"/>
  <c r="H86" i="42"/>
  <c r="I108" i="42"/>
  <c r="I103" i="42"/>
  <c r="H100" i="42"/>
  <c r="I29" i="42"/>
  <c r="I40" i="42"/>
  <c r="J32" i="42"/>
  <c r="H109" i="42"/>
  <c r="K26" i="42"/>
  <c r="K34" i="42"/>
  <c r="J109" i="42"/>
  <c r="K108" i="42"/>
  <c r="J100" i="42"/>
  <c r="I30" i="42"/>
  <c r="J104" i="42"/>
  <c r="K104" i="42"/>
  <c r="H94" i="42"/>
  <c r="K46" i="42"/>
  <c r="K109" i="42"/>
  <c r="J95" i="42"/>
  <c r="I94" i="42"/>
  <c r="H37" i="42"/>
  <c r="K35" i="42"/>
  <c r="J105" i="42"/>
  <c r="K42" i="42"/>
  <c r="H102" i="42"/>
  <c r="K36" i="42"/>
  <c r="J40" i="42"/>
  <c r="H104" i="42"/>
  <c r="K37" i="42"/>
  <c r="K88" i="42"/>
  <c r="I27" i="42"/>
  <c r="J28" i="42"/>
  <c r="H91" i="42"/>
  <c r="H108" i="42"/>
  <c r="H49" i="42"/>
  <c r="I88" i="42"/>
  <c r="H28" i="42"/>
  <c r="J35" i="42"/>
  <c r="I107" i="42"/>
  <c r="H105" i="42"/>
  <c r="I90" i="42"/>
  <c r="H103" i="42"/>
  <c r="I97" i="42"/>
  <c r="H48" i="42"/>
  <c r="K89" i="42"/>
  <c r="J29" i="42"/>
  <c r="I104" i="42"/>
  <c r="J39" i="42"/>
  <c r="I46" i="42"/>
  <c r="I44" i="42"/>
  <c r="I45" i="42"/>
  <c r="I38" i="42"/>
  <c r="K87" i="42"/>
  <c r="K92" i="42"/>
  <c r="H26" i="42"/>
  <c r="H33" i="42"/>
  <c r="H46" i="42"/>
  <c r="I34" i="42"/>
  <c r="K30" i="42"/>
  <c r="J47" i="42"/>
  <c r="H34" i="42"/>
  <c r="H107" i="42"/>
  <c r="I101" i="42"/>
  <c r="H93" i="42"/>
  <c r="H29" i="42"/>
  <c r="H36" i="42"/>
  <c r="J98" i="42"/>
  <c r="I28" i="42"/>
  <c r="K38" i="42"/>
  <c r="J48" i="42"/>
  <c r="H101" i="42"/>
  <c r="K95" i="42"/>
  <c r="I99" i="42"/>
  <c r="J94" i="42"/>
  <c r="I102" i="42"/>
  <c r="I39" i="42"/>
  <c r="I93" i="42"/>
  <c r="K86" i="42"/>
  <c r="J107" i="42"/>
  <c r="I106" i="42"/>
  <c r="J96" i="42"/>
  <c r="I86" i="42"/>
  <c r="J43" i="42"/>
  <c r="H44" i="42"/>
  <c r="I43" i="42"/>
  <c r="K45" i="42"/>
  <c r="J97" i="42"/>
  <c r="K31" i="42"/>
  <c r="J38" i="42"/>
  <c r="I32" i="42"/>
  <c r="K39" i="42"/>
  <c r="K90" i="42"/>
  <c r="H90" i="42"/>
  <c r="H45" i="42"/>
  <c r="J87" i="42"/>
  <c r="J108" i="42"/>
  <c r="J44" i="42"/>
  <c r="H39" i="42"/>
  <c r="K44" i="42"/>
  <c r="I36" i="42"/>
  <c r="H31" i="42"/>
  <c r="K100" i="42"/>
  <c r="J34" i="42"/>
  <c r="I109" i="42"/>
  <c r="K107" i="42"/>
  <c r="I41" i="42"/>
  <c r="J41" i="42"/>
  <c r="J27" i="42"/>
  <c r="K101" i="42"/>
  <c r="I100" i="42"/>
  <c r="I49" i="42"/>
  <c r="I26" i="42"/>
  <c r="K27" i="42"/>
  <c r="K49" i="42"/>
  <c r="I91" i="42"/>
  <c r="I98" i="42"/>
  <c r="I95" i="42"/>
  <c r="J89" i="42"/>
  <c r="H35" i="42"/>
  <c r="J37" i="42"/>
  <c r="K41" i="42"/>
  <c r="J91" i="42"/>
  <c r="J99" i="42"/>
  <c r="I37" i="42"/>
  <c r="J93" i="42"/>
  <c r="G53" i="42" l="1"/>
  <c r="G125" i="42"/>
  <c r="G189" i="42"/>
  <c r="G261" i="42"/>
  <c r="G55" i="42"/>
  <c r="G255" i="42"/>
  <c r="G327" i="42"/>
  <c r="G56" i="42"/>
  <c r="G57" i="42"/>
  <c r="G121" i="42"/>
  <c r="G193" i="42"/>
  <c r="G257" i="42"/>
  <c r="G329" i="42"/>
  <c r="G393" i="42"/>
  <c r="G390" i="42"/>
  <c r="G192" i="42"/>
  <c r="G256" i="42"/>
  <c r="G328" i="42"/>
  <c r="G392" i="42"/>
  <c r="G50" i="42"/>
  <c r="F50" i="42" s="1"/>
  <c r="G122" i="42"/>
  <c r="G186" i="42"/>
  <c r="G258" i="42"/>
  <c r="G322" i="42"/>
  <c r="G394" i="42"/>
  <c r="G324" i="42"/>
  <c r="G397" i="42"/>
  <c r="G54" i="42"/>
  <c r="G254" i="42"/>
  <c r="G326" i="42"/>
  <c r="G119" i="42"/>
  <c r="G120" i="42"/>
  <c r="G51" i="42"/>
  <c r="G123" i="42"/>
  <c r="G187" i="42"/>
  <c r="G259" i="42"/>
  <c r="G323" i="42"/>
  <c r="G395" i="42"/>
  <c r="G52" i="42"/>
  <c r="G124" i="42"/>
  <c r="G188" i="42"/>
  <c r="G260" i="42"/>
  <c r="G396" i="42"/>
  <c r="G325" i="42"/>
  <c r="G118" i="42"/>
  <c r="G190" i="42"/>
  <c r="G191" i="42"/>
  <c r="G391" i="42"/>
  <c r="J324" i="42"/>
  <c r="J254" i="42"/>
  <c r="K119" i="42"/>
  <c r="I186" i="42"/>
  <c r="J392" i="42"/>
  <c r="H120" i="42"/>
  <c r="J322" i="42"/>
  <c r="I322" i="42"/>
  <c r="K323" i="42"/>
  <c r="I51" i="42"/>
  <c r="H51" i="42"/>
  <c r="K51" i="42"/>
  <c r="I120" i="42"/>
  <c r="J325" i="42"/>
  <c r="K390" i="42"/>
  <c r="J323" i="42"/>
  <c r="H186" i="42"/>
  <c r="K53" i="42"/>
  <c r="I121" i="42"/>
  <c r="I324" i="42"/>
  <c r="K392" i="42"/>
  <c r="H325" i="42"/>
  <c r="I257" i="42"/>
  <c r="H257" i="42"/>
  <c r="J50" i="42"/>
  <c r="J51" i="42"/>
  <c r="I118" i="42"/>
  <c r="J186" i="42"/>
  <c r="J189" i="42"/>
  <c r="I390" i="42"/>
  <c r="H390" i="42"/>
  <c r="K393" i="42"/>
  <c r="K189" i="42"/>
  <c r="K254" i="42"/>
  <c r="K118" i="42"/>
  <c r="K186" i="42"/>
  <c r="J53" i="42"/>
  <c r="H118" i="42"/>
  <c r="K188" i="42"/>
  <c r="J255" i="42"/>
  <c r="K187" i="42"/>
  <c r="I325" i="42"/>
  <c r="J188" i="42"/>
  <c r="H256" i="42"/>
  <c r="I50" i="42"/>
  <c r="J119" i="42"/>
  <c r="H392" i="42"/>
  <c r="H188" i="42"/>
  <c r="J393" i="42"/>
  <c r="H323" i="42"/>
  <c r="I52" i="42"/>
  <c r="K50" i="42"/>
  <c r="H50" i="42"/>
  <c r="J118" i="42"/>
  <c r="J120" i="42"/>
  <c r="I256" i="42"/>
  <c r="J187" i="42"/>
  <c r="K322" i="42"/>
  <c r="H189" i="42"/>
  <c r="H254" i="42"/>
  <c r="J257" i="42"/>
  <c r="H255" i="42"/>
  <c r="H393" i="42"/>
  <c r="J52" i="42"/>
  <c r="K52" i="42"/>
  <c r="J121" i="42"/>
  <c r="K121" i="42"/>
  <c r="I254" i="42"/>
  <c r="I188" i="42"/>
  <c r="J256" i="42"/>
  <c r="H324" i="42"/>
  <c r="I392" i="42"/>
  <c r="I255" i="42"/>
  <c r="I187" i="42"/>
  <c r="H391" i="42"/>
  <c r="H52" i="42"/>
  <c r="H53" i="42"/>
  <c r="I53" i="42"/>
  <c r="H121" i="42"/>
  <c r="H119" i="42"/>
  <c r="H187" i="42"/>
  <c r="K257" i="42"/>
  <c r="J390" i="42"/>
  <c r="K391" i="42"/>
  <c r="H322" i="42"/>
  <c r="J391" i="42"/>
  <c r="I391" i="42"/>
  <c r="K256" i="42"/>
  <c r="I119" i="42"/>
  <c r="K120" i="42"/>
  <c r="I189" i="42"/>
  <c r="I393" i="42"/>
  <c r="K324" i="42"/>
  <c r="I323" i="42"/>
  <c r="K255" i="42"/>
  <c r="K325" i="42"/>
  <c r="K72" i="42"/>
  <c r="K71" i="42"/>
  <c r="J73" i="42"/>
  <c r="K70" i="42"/>
  <c r="H77" i="42"/>
  <c r="J74" i="42"/>
  <c r="J76" i="42"/>
  <c r="J72" i="42"/>
  <c r="I75" i="42"/>
  <c r="I73" i="42"/>
  <c r="K75" i="42"/>
  <c r="J70" i="42"/>
  <c r="H72" i="42"/>
  <c r="J75" i="42"/>
  <c r="K74" i="42"/>
  <c r="K76" i="42"/>
  <c r="I71" i="42"/>
  <c r="K77" i="42"/>
  <c r="I77" i="42"/>
  <c r="I70" i="42"/>
  <c r="I72" i="42"/>
  <c r="H74" i="42"/>
  <c r="H71" i="42"/>
  <c r="J71" i="42"/>
  <c r="H76" i="42"/>
  <c r="I76" i="42"/>
  <c r="H73" i="42"/>
  <c r="H346" i="42"/>
  <c r="J345" i="42"/>
  <c r="J349" i="42"/>
  <c r="K348" i="42"/>
  <c r="H347" i="42"/>
  <c r="H349" i="42"/>
  <c r="J280" i="42"/>
  <c r="J344" i="42"/>
  <c r="K349" i="42"/>
  <c r="K142" i="42"/>
  <c r="J207" i="42"/>
  <c r="J206" i="42"/>
  <c r="J279" i="42"/>
  <c r="H141" i="42"/>
  <c r="K144" i="42"/>
  <c r="I144" i="42"/>
  <c r="I280" i="42"/>
  <c r="J212" i="42"/>
  <c r="H140" i="42"/>
  <c r="H144" i="42"/>
  <c r="H345" i="42"/>
  <c r="K212" i="42"/>
  <c r="H211" i="42"/>
  <c r="H138" i="42"/>
  <c r="H275" i="42"/>
  <c r="J145" i="42"/>
  <c r="K141" i="42"/>
  <c r="K145" i="42"/>
  <c r="I208" i="42"/>
  <c r="K278" i="42"/>
  <c r="I342" i="42"/>
  <c r="H342" i="42"/>
  <c r="H142" i="42"/>
  <c r="J274" i="42"/>
  <c r="K138" i="42"/>
  <c r="J143" i="42"/>
  <c r="H143" i="42"/>
  <c r="I2" i="42"/>
  <c r="H210" i="42"/>
  <c r="H145" i="42"/>
  <c r="I141" i="42"/>
  <c r="K140" i="42"/>
  <c r="K208" i="42"/>
  <c r="K139" i="42"/>
  <c r="I142" i="42"/>
  <c r="I344" i="42"/>
  <c r="I211" i="42"/>
  <c r="J343" i="42"/>
  <c r="H344" i="42"/>
  <c r="J210" i="42"/>
  <c r="I346" i="42"/>
  <c r="J346" i="42"/>
  <c r="K347" i="42"/>
  <c r="J347" i="42"/>
  <c r="K279" i="42"/>
  <c r="I277" i="42"/>
  <c r="K213" i="42"/>
  <c r="I206" i="42"/>
  <c r="I345" i="42"/>
  <c r="J213" i="42"/>
  <c r="H277" i="42"/>
  <c r="J144" i="42"/>
  <c r="I145" i="42"/>
  <c r="I213" i="42"/>
  <c r="J140" i="42"/>
  <c r="I343" i="42"/>
  <c r="J281" i="42"/>
  <c r="H280" i="42"/>
  <c r="H207" i="42"/>
  <c r="I212" i="42"/>
  <c r="K275" i="42"/>
  <c r="K210" i="42"/>
  <c r="H209" i="42"/>
  <c r="K345" i="42"/>
  <c r="H348" i="42"/>
  <c r="H343" i="42"/>
  <c r="K343" i="42"/>
  <c r="H208" i="42"/>
  <c r="J348" i="42"/>
  <c r="K209" i="42"/>
  <c r="J211" i="42"/>
  <c r="K207" i="42"/>
  <c r="I207" i="42"/>
  <c r="J139" i="42"/>
  <c r="I209" i="42"/>
  <c r="I210" i="42"/>
  <c r="K206" i="42"/>
  <c r="I349" i="42"/>
  <c r="J342" i="42"/>
  <c r="K346" i="42"/>
  <c r="I279" i="42"/>
  <c r="J276" i="42"/>
  <c r="K281" i="42"/>
  <c r="I275" i="42"/>
  <c r="I281" i="42"/>
  <c r="J209" i="42"/>
  <c r="H276" i="42"/>
  <c r="K342" i="42"/>
  <c r="H213" i="42"/>
  <c r="J277" i="42"/>
  <c r="J142" i="42"/>
  <c r="H206" i="42"/>
  <c r="J141" i="42"/>
  <c r="H139" i="42"/>
  <c r="J138" i="42"/>
  <c r="I138" i="42"/>
  <c r="I274" i="42"/>
  <c r="I347" i="42"/>
  <c r="H281" i="42"/>
  <c r="I348" i="42"/>
  <c r="H274" i="42"/>
  <c r="K280" i="42"/>
  <c r="K344" i="42"/>
  <c r="J208" i="42"/>
  <c r="J275" i="42"/>
  <c r="H278" i="42"/>
  <c r="K277" i="42"/>
  <c r="K274" i="42"/>
  <c r="H279" i="42"/>
  <c r="K211" i="42"/>
  <c r="I139" i="42"/>
  <c r="K143" i="42"/>
  <c r="I140" i="42"/>
  <c r="I276" i="42"/>
  <c r="J278" i="42"/>
  <c r="K276" i="42"/>
  <c r="H212" i="42"/>
  <c r="I143" i="42"/>
  <c r="I278" i="42"/>
  <c r="I8" i="42"/>
  <c r="J4" i="42"/>
  <c r="H4" i="42"/>
  <c r="K4" i="42"/>
  <c r="J9" i="42"/>
  <c r="H2" i="42"/>
  <c r="J7" i="42"/>
  <c r="J2" i="42"/>
  <c r="H9" i="42"/>
  <c r="J5" i="42"/>
  <c r="K6" i="42"/>
  <c r="H5" i="42"/>
  <c r="J3" i="42"/>
  <c r="K8" i="42"/>
  <c r="I3" i="42"/>
  <c r="I6" i="42"/>
  <c r="K9" i="42"/>
  <c r="J6" i="42"/>
  <c r="K7" i="42"/>
  <c r="I7" i="42"/>
  <c r="I4" i="42"/>
  <c r="J8" i="42"/>
  <c r="H8" i="42"/>
  <c r="I9" i="42"/>
  <c r="H6" i="42"/>
  <c r="K5" i="42"/>
  <c r="K2" i="42"/>
  <c r="H7" i="42"/>
  <c r="H3" i="42"/>
  <c r="I5" i="42"/>
  <c r="K3" i="42"/>
  <c r="K73" i="42"/>
  <c r="H70" i="42"/>
  <c r="I74" i="42"/>
  <c r="J77" i="42"/>
  <c r="H75" i="42"/>
  <c r="H194" i="42"/>
  <c r="K397" i="42"/>
  <c r="J193" i="42"/>
  <c r="J327" i="42"/>
  <c r="I190" i="42"/>
  <c r="H192" i="42"/>
  <c r="K122" i="42"/>
  <c r="I54" i="42"/>
  <c r="J191" i="42"/>
  <c r="H54" i="42"/>
  <c r="I193" i="42"/>
  <c r="I126" i="42"/>
  <c r="I124" i="42"/>
  <c r="J128" i="42"/>
  <c r="H394" i="42"/>
  <c r="K258" i="42"/>
  <c r="H125" i="42"/>
  <c r="H399" i="42"/>
  <c r="K125" i="42"/>
  <c r="H56" i="42"/>
  <c r="K54" i="42"/>
  <c r="J394" i="42"/>
  <c r="H396" i="42"/>
  <c r="K400" i="42"/>
  <c r="J192" i="42"/>
  <c r="J395" i="42"/>
  <c r="K190" i="42"/>
  <c r="H190" i="42"/>
  <c r="K129" i="42"/>
  <c r="K398" i="42"/>
  <c r="K58" i="42"/>
  <c r="J333" i="42"/>
  <c r="K396" i="42"/>
  <c r="J259" i="42"/>
  <c r="I59" i="42"/>
  <c r="J399" i="42"/>
  <c r="I55" i="42"/>
  <c r="I328" i="42"/>
  <c r="J397" i="42"/>
  <c r="K327" i="42"/>
  <c r="K329" i="42"/>
  <c r="I196" i="42"/>
  <c r="K264" i="42"/>
  <c r="J265" i="42"/>
  <c r="J122" i="42"/>
  <c r="J258" i="42"/>
  <c r="K326" i="42"/>
  <c r="H326" i="42"/>
  <c r="J190" i="42"/>
  <c r="H58" i="42"/>
  <c r="J126" i="42"/>
  <c r="J331" i="42"/>
  <c r="H331" i="42"/>
  <c r="K333" i="42"/>
  <c r="J57" i="42"/>
  <c r="K56" i="42"/>
  <c r="J55" i="42"/>
  <c r="H328" i="42"/>
  <c r="H61" i="42"/>
  <c r="I332" i="42"/>
  <c r="I398" i="42"/>
  <c r="K265" i="42"/>
  <c r="J330" i="42"/>
  <c r="H55" i="42"/>
  <c r="J56" i="42"/>
  <c r="H122" i="42"/>
  <c r="I125" i="42"/>
  <c r="J329" i="42"/>
  <c r="H260" i="42"/>
  <c r="I123" i="42"/>
  <c r="J59" i="42"/>
  <c r="J127" i="42"/>
  <c r="H401" i="42"/>
  <c r="I399" i="42"/>
  <c r="K57" i="42"/>
  <c r="I122" i="42"/>
  <c r="I258" i="42"/>
  <c r="J396" i="42"/>
  <c r="K260" i="42"/>
  <c r="H329" i="42"/>
  <c r="K259" i="42"/>
  <c r="I397" i="42"/>
  <c r="J61" i="42"/>
  <c r="I58" i="42"/>
  <c r="I264" i="42"/>
  <c r="K126" i="42"/>
  <c r="I197" i="42"/>
  <c r="J262" i="42"/>
  <c r="I400" i="42"/>
  <c r="K332" i="42"/>
  <c r="I401" i="42"/>
  <c r="I261" i="42"/>
  <c r="H128" i="42"/>
  <c r="H262" i="42"/>
  <c r="K194" i="42"/>
  <c r="I56" i="42"/>
  <c r="H191" i="42"/>
  <c r="I260" i="42"/>
  <c r="K124" i="42"/>
  <c r="I327" i="42"/>
  <c r="K192" i="42"/>
  <c r="I395" i="42"/>
  <c r="H193" i="42"/>
  <c r="K328" i="42"/>
  <c r="I191" i="42"/>
  <c r="K123" i="42"/>
  <c r="J261" i="42"/>
  <c r="H395" i="42"/>
  <c r="H259" i="42"/>
  <c r="K61" i="42"/>
  <c r="J58" i="42"/>
  <c r="H129" i="42"/>
  <c r="K127" i="42"/>
  <c r="J194" i="42"/>
  <c r="H197" i="42"/>
  <c r="H398" i="42"/>
  <c r="H400" i="42"/>
  <c r="K128" i="42"/>
  <c r="H330" i="42"/>
  <c r="I262" i="42"/>
  <c r="K195" i="42"/>
  <c r="K263" i="42"/>
  <c r="J54" i="42"/>
  <c r="H123" i="42"/>
  <c r="K191" i="42"/>
  <c r="I329" i="42"/>
  <c r="I396" i="42"/>
  <c r="J260" i="42"/>
  <c r="K395" i="42"/>
  <c r="I259" i="42"/>
  <c r="J60" i="42"/>
  <c r="I60" i="42"/>
  <c r="I194" i="42"/>
  <c r="K196" i="42"/>
  <c r="I128" i="42"/>
  <c r="J400" i="42"/>
  <c r="I333" i="42"/>
  <c r="K399" i="42"/>
  <c r="H332" i="42"/>
  <c r="H265" i="42"/>
  <c r="H397" i="42"/>
  <c r="H59" i="42"/>
  <c r="J129" i="42"/>
  <c r="J332" i="42"/>
  <c r="H57" i="42"/>
  <c r="I57" i="42"/>
  <c r="K55" i="42"/>
  <c r="I192" i="42"/>
  <c r="I326" i="42"/>
  <c r="K193" i="42"/>
  <c r="J123" i="42"/>
  <c r="J124" i="42"/>
  <c r="H261" i="42"/>
  <c r="H327" i="42"/>
  <c r="J125" i="42"/>
  <c r="K394" i="42"/>
  <c r="I394" i="42"/>
  <c r="H258" i="42"/>
  <c r="J328" i="42"/>
  <c r="H124" i="42"/>
  <c r="K261" i="42"/>
  <c r="J326" i="42"/>
  <c r="K60" i="42"/>
  <c r="I61" i="42"/>
  <c r="I129" i="42"/>
  <c r="H127" i="42"/>
  <c r="H126" i="42"/>
  <c r="J398" i="42"/>
  <c r="H333" i="42"/>
  <c r="K330" i="42"/>
  <c r="I331" i="42"/>
  <c r="K262" i="42"/>
  <c r="J195" i="42"/>
  <c r="K197" i="42"/>
  <c r="K331" i="42"/>
  <c r="H264" i="42"/>
  <c r="I263" i="42"/>
  <c r="J263" i="42"/>
  <c r="I265" i="42"/>
  <c r="K401" i="42"/>
  <c r="J197" i="42"/>
  <c r="H60" i="42"/>
  <c r="K59" i="42"/>
  <c r="H196" i="42"/>
  <c r="I127" i="42"/>
  <c r="I330" i="42"/>
  <c r="J264" i="42"/>
  <c r="J196" i="42"/>
  <c r="H195" i="42"/>
  <c r="I195" i="42"/>
  <c r="H263" i="42"/>
  <c r="J401" i="42"/>
  <c r="E301" i="31"/>
  <c r="E300" i="31"/>
  <c r="E299" i="31"/>
  <c r="E298" i="31"/>
  <c r="E297" i="31"/>
  <c r="E296" i="31"/>
  <c r="E295" i="31"/>
  <c r="E294" i="31"/>
  <c r="E293" i="31"/>
  <c r="E292" i="31"/>
  <c r="E291" i="31"/>
  <c r="E290" i="31"/>
  <c r="E289" i="31"/>
  <c r="E288" i="31"/>
  <c r="E287" i="31"/>
  <c r="E286" i="31"/>
  <c r="E285" i="31"/>
  <c r="E284" i="31"/>
  <c r="E283" i="31"/>
  <c r="E282" i="31"/>
  <c r="E281" i="31"/>
  <c r="E280" i="31"/>
  <c r="E279" i="31"/>
  <c r="E278" i="31"/>
  <c r="E277" i="31"/>
  <c r="E276" i="31"/>
  <c r="E275" i="31"/>
  <c r="E274" i="31"/>
  <c r="E273" i="31"/>
  <c r="E272" i="31"/>
  <c r="E271" i="31"/>
  <c r="E270" i="31"/>
  <c r="E269" i="31"/>
  <c r="E268" i="31"/>
  <c r="E267" i="31"/>
  <c r="E266" i="31"/>
  <c r="E229" i="31"/>
  <c r="E228" i="31"/>
  <c r="E227" i="31"/>
  <c r="E226" i="31"/>
  <c r="E225" i="31"/>
  <c r="E224" i="31"/>
  <c r="E223" i="31"/>
  <c r="E222" i="31"/>
  <c r="E221" i="31"/>
  <c r="E220" i="31"/>
  <c r="E219" i="31"/>
  <c r="E218" i="31"/>
  <c r="E181" i="31"/>
  <c r="E180" i="31"/>
  <c r="E179" i="31"/>
  <c r="E178" i="31"/>
  <c r="E177" i="31"/>
  <c r="E176" i="31"/>
  <c r="E175" i="31"/>
  <c r="E174" i="31"/>
  <c r="E173" i="31"/>
  <c r="E172" i="31"/>
  <c r="E171" i="31"/>
  <c r="E170" i="31"/>
  <c r="E169" i="31"/>
  <c r="E168" i="31"/>
  <c r="E167" i="31"/>
  <c r="E166" i="31"/>
  <c r="E165" i="31"/>
  <c r="E164" i="31"/>
  <c r="E163" i="31"/>
  <c r="E162" i="31"/>
  <c r="E161" i="31"/>
  <c r="E160" i="31"/>
  <c r="E159" i="31"/>
  <c r="E158" i="31"/>
  <c r="E157" i="31"/>
  <c r="E156" i="31"/>
  <c r="E155" i="31"/>
  <c r="E154" i="31"/>
  <c r="E153" i="31"/>
  <c r="E152" i="31"/>
  <c r="E151" i="31"/>
  <c r="E150" i="31"/>
  <c r="E149" i="31"/>
  <c r="E148" i="31"/>
  <c r="E147" i="31"/>
  <c r="E146" i="31"/>
  <c r="E145" i="31"/>
  <c r="E144" i="31"/>
  <c r="E143" i="31"/>
  <c r="E142" i="31"/>
  <c r="E141" i="31"/>
  <c r="E140" i="31"/>
  <c r="E139" i="31"/>
  <c r="E138" i="31"/>
  <c r="E137" i="31"/>
  <c r="E136" i="31"/>
  <c r="E135" i="31"/>
  <c r="E134" i="31"/>
  <c r="E133" i="31"/>
  <c r="E132" i="31"/>
  <c r="E131" i="31"/>
  <c r="E130" i="31"/>
  <c r="E129" i="31"/>
  <c r="E128" i="31"/>
  <c r="E127" i="31"/>
  <c r="E126" i="31"/>
  <c r="E125" i="31"/>
  <c r="E124" i="31"/>
  <c r="E123" i="31"/>
  <c r="E122" i="31"/>
  <c r="E109" i="31"/>
  <c r="E108" i="31"/>
  <c r="E107" i="31"/>
  <c r="E106" i="31"/>
  <c r="E105" i="31"/>
  <c r="E104" i="31"/>
  <c r="E103" i="31"/>
  <c r="E102" i="31"/>
  <c r="E101" i="31"/>
  <c r="E100" i="31"/>
  <c r="E99" i="31"/>
  <c r="E98" i="31"/>
  <c r="E265" i="31"/>
  <c r="E264" i="31"/>
  <c r="E263" i="31"/>
  <c r="E262" i="31"/>
  <c r="E261" i="31"/>
  <c r="E260" i="31"/>
  <c r="E259" i="31"/>
  <c r="E258" i="31"/>
  <c r="E257" i="31"/>
  <c r="E256" i="31"/>
  <c r="E255" i="31"/>
  <c r="E254" i="31"/>
  <c r="E253" i="31"/>
  <c r="E252" i="31"/>
  <c r="E251" i="31"/>
  <c r="E250" i="31"/>
  <c r="E249" i="31"/>
  <c r="E248" i="31"/>
  <c r="E247" i="31"/>
  <c r="E246" i="31"/>
  <c r="E245" i="31"/>
  <c r="E244" i="31"/>
  <c r="E243" i="31"/>
  <c r="E242" i="31"/>
  <c r="E241" i="31"/>
  <c r="E240" i="31"/>
  <c r="E239" i="31"/>
  <c r="E238" i="31"/>
  <c r="E237" i="31"/>
  <c r="E236" i="31"/>
  <c r="E235" i="31"/>
  <c r="E234" i="31"/>
  <c r="E233" i="31"/>
  <c r="E232" i="31"/>
  <c r="E231" i="31"/>
  <c r="E230" i="31"/>
  <c r="E217" i="31"/>
  <c r="E216" i="31"/>
  <c r="E215" i="31"/>
  <c r="E214" i="31"/>
  <c r="E213" i="31"/>
  <c r="E212" i="31"/>
  <c r="E211" i="31"/>
  <c r="E210" i="31"/>
  <c r="E209" i="31"/>
  <c r="E208" i="31"/>
  <c r="E207" i="31"/>
  <c r="E206" i="31"/>
  <c r="E205" i="31"/>
  <c r="E204" i="31"/>
  <c r="E203" i="31"/>
  <c r="E202" i="31"/>
  <c r="E201" i="31"/>
  <c r="E200" i="31"/>
  <c r="E199" i="31"/>
  <c r="E198" i="31"/>
  <c r="E197" i="31"/>
  <c r="E196" i="31"/>
  <c r="E195" i="31"/>
  <c r="E194" i="31"/>
  <c r="E193" i="31"/>
  <c r="E192" i="31"/>
  <c r="E191" i="31"/>
  <c r="E190" i="31"/>
  <c r="E189" i="31"/>
  <c r="E188" i="31"/>
  <c r="E187" i="31"/>
  <c r="E186" i="31"/>
  <c r="E185" i="31"/>
  <c r="E184" i="31"/>
  <c r="E183" i="31"/>
  <c r="E182" i="31"/>
  <c r="E121" i="31"/>
  <c r="E120" i="31"/>
  <c r="E119" i="31"/>
  <c r="E118" i="31"/>
  <c r="E117" i="31"/>
  <c r="E116" i="31"/>
  <c r="E115" i="31"/>
  <c r="E114" i="31"/>
  <c r="E113" i="31"/>
  <c r="E112" i="31"/>
  <c r="E111" i="31"/>
  <c r="E110" i="31"/>
  <c r="E97" i="31"/>
  <c r="E96" i="31"/>
  <c r="E95" i="31"/>
  <c r="E94" i="31"/>
  <c r="E93" i="31"/>
  <c r="E92" i="31"/>
  <c r="E91" i="31"/>
  <c r="E90" i="31"/>
  <c r="E89" i="31"/>
  <c r="E88" i="31"/>
  <c r="E87" i="31"/>
  <c r="E86" i="31"/>
  <c r="E85" i="31"/>
  <c r="E84" i="31"/>
  <c r="E83" i="31"/>
  <c r="E82" i="31"/>
  <c r="E81" i="31"/>
  <c r="E80" i="31"/>
  <c r="E79" i="31"/>
  <c r="E78" i="31"/>
  <c r="E77" i="31"/>
  <c r="E76" i="31"/>
  <c r="E75" i="31"/>
  <c r="E74" i="31"/>
  <c r="E73" i="31"/>
  <c r="E72" i="31"/>
  <c r="E71" i="31"/>
  <c r="E70" i="31"/>
  <c r="E69" i="31"/>
  <c r="E68" i="31"/>
  <c r="E67" i="31"/>
  <c r="E66" i="31"/>
  <c r="E65" i="31"/>
  <c r="E64" i="31"/>
  <c r="E63" i="31"/>
  <c r="E62" i="31"/>
  <c r="E61" i="31"/>
  <c r="E60" i="31"/>
  <c r="E59" i="31"/>
  <c r="E58" i="31"/>
  <c r="E57" i="31"/>
  <c r="E56" i="31"/>
  <c r="E55" i="31"/>
  <c r="E54" i="31"/>
  <c r="E53" i="31"/>
  <c r="E52" i="31"/>
  <c r="E51" i="31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E2" i="31"/>
  <c r="F51" i="42" l="1"/>
  <c r="F52" i="42" s="1"/>
  <c r="F53" i="42" s="1"/>
  <c r="F54" i="42" s="1"/>
  <c r="F55" i="42" s="1"/>
  <c r="F56" i="42" l="1"/>
  <c r="F57" i="42" s="1"/>
  <c r="F58" i="42" s="1"/>
  <c r="F59" i="42" s="1"/>
  <c r="F60" i="42" s="1"/>
  <c r="F61" i="42" s="1"/>
  <c r="F62" i="42" s="1"/>
  <c r="F63" i="42" s="1"/>
  <c r="F64" i="42" s="1"/>
  <c r="F65" i="42" s="1"/>
  <c r="F66" i="42" s="1"/>
  <c r="F67" i="42" s="1"/>
  <c r="F68" i="42" s="1"/>
  <c r="F69" i="42" s="1"/>
  <c r="F70" i="42" s="1"/>
  <c r="F71" i="42" s="1"/>
  <c r="F72" i="42" s="1"/>
  <c r="F73" i="42" s="1"/>
  <c r="F74" i="42" s="1"/>
  <c r="F75" i="42" s="1"/>
  <c r="F76" i="42" s="1"/>
  <c r="F77" i="42" s="1"/>
  <c r="F78" i="42" s="1"/>
  <c r="F79" i="42" s="1"/>
  <c r="F80" i="42" s="1"/>
  <c r="F81" i="42" s="1"/>
  <c r="F82" i="42" s="1"/>
  <c r="F83" i="42" s="1"/>
  <c r="F84" i="42" s="1"/>
  <c r="F85" i="42" s="1"/>
  <c r="F86" i="42" s="1"/>
  <c r="F87" i="42" s="1"/>
  <c r="F88" i="42" s="1"/>
  <c r="F89" i="42" s="1"/>
  <c r="F90" i="42" s="1"/>
  <c r="F91" i="42" s="1"/>
  <c r="F92" i="42" s="1"/>
  <c r="F93" i="42" s="1"/>
  <c r="F94" i="42" s="1"/>
  <c r="F95" i="42" s="1"/>
  <c r="F96" i="42" s="1"/>
  <c r="F97" i="42" s="1"/>
  <c r="F98" i="42" s="1"/>
  <c r="F99" i="42" s="1"/>
  <c r="F100" i="42" s="1"/>
  <c r="F101" i="42" s="1"/>
  <c r="F102" i="42" s="1"/>
  <c r="F103" i="42" s="1"/>
  <c r="F104" i="42" s="1"/>
  <c r="F105" i="42" s="1"/>
  <c r="F106" i="42" s="1"/>
  <c r="F107" i="42" s="1"/>
  <c r="F108" i="42" s="1"/>
  <c r="F109" i="42" s="1"/>
  <c r="F110" i="42" s="1"/>
  <c r="F111" i="42" s="1"/>
  <c r="F112" i="42" s="1"/>
  <c r="F113" i="42" s="1"/>
  <c r="F114" i="42" s="1"/>
  <c r="F115" i="42" s="1"/>
  <c r="F116" i="42" s="1"/>
  <c r="F117" i="42" s="1"/>
  <c r="F118" i="42" s="1"/>
  <c r="F119" i="42" s="1"/>
  <c r="F120" i="42" s="1"/>
  <c r="F121" i="42" s="1"/>
  <c r="F122" i="42" s="1"/>
  <c r="F123" i="42" s="1"/>
  <c r="F124" i="42" s="1"/>
  <c r="F125" i="42" s="1"/>
  <c r="F126" i="42" s="1"/>
  <c r="F127" i="42" s="1"/>
  <c r="F128" i="42" s="1"/>
  <c r="F129" i="42" s="1"/>
  <c r="F130" i="42" s="1"/>
  <c r="F131" i="42" s="1"/>
  <c r="F132" i="42" s="1"/>
  <c r="F133" i="42" s="1"/>
  <c r="F134" i="42" s="1"/>
  <c r="F135" i="42" s="1"/>
  <c r="F136" i="42" s="1"/>
  <c r="F137" i="42" s="1"/>
  <c r="F138" i="42" s="1"/>
  <c r="F139" i="42" s="1"/>
  <c r="F140" i="42" s="1"/>
  <c r="F141" i="42" s="1"/>
  <c r="F142" i="42" s="1"/>
  <c r="F143" i="42" s="1"/>
  <c r="F144" i="42" s="1"/>
  <c r="F145" i="42" s="1"/>
  <c r="F146" i="42" s="1"/>
  <c r="F147" i="42" s="1"/>
  <c r="F148" i="42" s="1"/>
  <c r="F149" i="42" s="1"/>
  <c r="F150" i="42" s="1"/>
  <c r="F151" i="42" s="1"/>
  <c r="F152" i="42" s="1"/>
  <c r="F153" i="42" s="1"/>
  <c r="F154" i="42" s="1"/>
  <c r="F155" i="42" s="1"/>
  <c r="F156" i="42" s="1"/>
  <c r="F157" i="42" s="1"/>
  <c r="F158" i="42" s="1"/>
  <c r="F159" i="42" s="1"/>
  <c r="F160" i="42" s="1"/>
  <c r="F161" i="42" s="1"/>
  <c r="F162" i="42" s="1"/>
  <c r="F163" i="42" s="1"/>
  <c r="F164" i="42" s="1"/>
  <c r="F165" i="42" s="1"/>
  <c r="F166" i="42" s="1"/>
  <c r="F167" i="42" s="1"/>
  <c r="F168" i="42" s="1"/>
  <c r="F169" i="42" s="1"/>
  <c r="F170" i="42" s="1"/>
  <c r="F171" i="42" s="1"/>
  <c r="F172" i="42" s="1"/>
  <c r="F173" i="42" s="1"/>
  <c r="F174" i="42" s="1"/>
  <c r="F175" i="42" s="1"/>
  <c r="F176" i="42" s="1"/>
  <c r="F177" i="42" s="1"/>
  <c r="F178" i="42" s="1"/>
  <c r="F179" i="42" s="1"/>
  <c r="F180" i="42" s="1"/>
  <c r="F181" i="42" s="1"/>
  <c r="F182" i="42" s="1"/>
  <c r="F183" i="42" s="1"/>
  <c r="F184" i="42" s="1"/>
  <c r="F185" i="42" s="1"/>
  <c r="F186" i="42" s="1"/>
  <c r="F187" i="42" s="1"/>
  <c r="F188" i="42" s="1"/>
  <c r="F189" i="42" s="1"/>
  <c r="F190" i="42" s="1"/>
  <c r="F191" i="42" s="1"/>
  <c r="F192" i="42" s="1"/>
  <c r="F193" i="42" s="1"/>
  <c r="F194" i="42" s="1"/>
  <c r="F195" i="42" s="1"/>
  <c r="F196" i="42" s="1"/>
  <c r="F197" i="42" s="1"/>
  <c r="F198" i="42" s="1"/>
  <c r="F199" i="42" s="1"/>
  <c r="F200" i="42" s="1"/>
  <c r="F201" i="42" s="1"/>
  <c r="F202" i="42" s="1"/>
  <c r="F203" i="42" s="1"/>
  <c r="F204" i="42" s="1"/>
  <c r="F205" i="42" s="1"/>
  <c r="F206" i="42" l="1"/>
  <c r="F207" i="42" s="1"/>
  <c r="F208" i="42" s="1"/>
  <c r="F209" i="42" s="1"/>
  <c r="F210" i="42" s="1"/>
  <c r="F211" i="42" s="1"/>
  <c r="F212" i="42" s="1"/>
  <c r="F213" i="42" s="1"/>
  <c r="F214" i="42" s="1"/>
  <c r="F215" i="42" s="1"/>
  <c r="F216" i="42" s="1"/>
  <c r="F217" i="42" s="1"/>
  <c r="F218" i="42" s="1"/>
  <c r="F219" i="42" s="1"/>
  <c r="F220" i="42" s="1"/>
  <c r="F221" i="42" s="1"/>
  <c r="F222" i="42" s="1"/>
  <c r="F223" i="42" s="1"/>
  <c r="F224" i="42" s="1"/>
  <c r="F225" i="42" s="1"/>
  <c r="F226" i="42" s="1"/>
  <c r="F227" i="42" s="1"/>
  <c r="F228" i="42" s="1"/>
  <c r="F229" i="42" s="1"/>
  <c r="F230" i="42" s="1"/>
  <c r="F231" i="42" s="1"/>
  <c r="F232" i="42" s="1"/>
  <c r="F233" i="42" s="1"/>
  <c r="F234" i="42" s="1"/>
  <c r="F235" i="42" s="1"/>
  <c r="F236" i="42" s="1"/>
  <c r="F237" i="42" s="1"/>
  <c r="F238" i="42" s="1"/>
  <c r="F239" i="42" s="1"/>
  <c r="F240" i="42" s="1"/>
  <c r="F241" i="42" s="1"/>
  <c r="F242" i="42" s="1"/>
  <c r="F243" i="42" s="1"/>
  <c r="F244" i="42" s="1"/>
  <c r="F245" i="42" s="1"/>
  <c r="F246" i="42" s="1"/>
  <c r="F247" i="42" s="1"/>
  <c r="F248" i="42" s="1"/>
  <c r="F249" i="42" s="1"/>
  <c r="F250" i="42" s="1"/>
  <c r="F251" i="42" s="1"/>
  <c r="F252" i="42" s="1"/>
  <c r="F253" i="42" s="1"/>
  <c r="F254" i="42" s="1"/>
  <c r="F255" i="42" s="1"/>
  <c r="F256" i="42" s="1"/>
  <c r="F257" i="42" s="1"/>
  <c r="F258" i="42" s="1"/>
  <c r="F259" i="42" s="1"/>
  <c r="F260" i="42" s="1"/>
  <c r="F261" i="42" s="1"/>
  <c r="F262" i="42" s="1"/>
  <c r="F263" i="42" s="1"/>
  <c r="F264" i="42" s="1"/>
  <c r="F265" i="42" s="1"/>
  <c r="F266" i="42" s="1"/>
  <c r="F267" i="42" s="1"/>
  <c r="F268" i="42" s="1"/>
  <c r="F269" i="42" s="1"/>
  <c r="F270" i="42" s="1"/>
  <c r="F271" i="42" s="1"/>
  <c r="F272" i="42" s="1"/>
  <c r="F273" i="42" s="1"/>
  <c r="F274" i="42" s="1"/>
  <c r="F275" i="42" s="1"/>
  <c r="F276" i="42" s="1"/>
  <c r="F277" i="42" s="1"/>
  <c r="F278" i="42" s="1"/>
  <c r="F279" i="42" s="1"/>
  <c r="F280" i="42" s="1"/>
  <c r="F281" i="42" s="1"/>
  <c r="F282" i="42" s="1"/>
  <c r="F283" i="42" s="1"/>
  <c r="F284" i="42" s="1"/>
  <c r="F285" i="42" s="1"/>
  <c r="F286" i="42" s="1"/>
  <c r="F287" i="42" s="1"/>
  <c r="F288" i="42" s="1"/>
  <c r="F289" i="42" s="1"/>
  <c r="F290" i="42" s="1"/>
  <c r="F291" i="42" s="1"/>
  <c r="F292" i="42" s="1"/>
  <c r="F293" i="42" s="1"/>
  <c r="F294" i="42" s="1"/>
  <c r="F295" i="42" s="1"/>
  <c r="F296" i="42" s="1"/>
  <c r="F297" i="42" s="1"/>
  <c r="F298" i="42" s="1"/>
  <c r="F299" i="42" s="1"/>
  <c r="F300" i="42" s="1"/>
  <c r="F301" i="42" s="1"/>
  <c r="F302" i="42" s="1"/>
  <c r="F303" i="42" s="1"/>
  <c r="F304" i="42" s="1"/>
  <c r="F305" i="42" s="1"/>
  <c r="F306" i="42" s="1"/>
  <c r="F307" i="42" s="1"/>
  <c r="F308" i="42" s="1"/>
  <c r="F309" i="42" s="1"/>
  <c r="F310" i="42" s="1"/>
  <c r="F311" i="42" s="1"/>
  <c r="F312" i="42" s="1"/>
  <c r="F313" i="42" s="1"/>
  <c r="F314" i="42" s="1"/>
  <c r="F315" i="42" s="1"/>
  <c r="F316" i="42" s="1"/>
  <c r="F317" i="42" s="1"/>
  <c r="F318" i="42" s="1"/>
  <c r="F319" i="42" s="1"/>
  <c r="F320" i="42" s="1"/>
  <c r="F321" i="42" s="1"/>
  <c r="F322" i="42" s="1"/>
  <c r="F323" i="42" s="1"/>
  <c r="F324" i="42" s="1"/>
  <c r="F325" i="42" s="1"/>
  <c r="F326" i="42" s="1"/>
  <c r="F327" i="42" s="1"/>
  <c r="F328" i="42" s="1"/>
  <c r="F329" i="42" s="1"/>
  <c r="F330" i="42" s="1"/>
  <c r="F331" i="42" s="1"/>
  <c r="F332" i="42" s="1"/>
  <c r="F333" i="42" s="1"/>
  <c r="F334" i="42" s="1"/>
  <c r="F335" i="42" s="1"/>
  <c r="F336" i="42" s="1"/>
  <c r="F337" i="42" s="1"/>
  <c r="F338" i="42" s="1"/>
  <c r="F339" i="42" s="1"/>
  <c r="F340" i="42" s="1"/>
  <c r="F341" i="42" s="1"/>
  <c r="F342" i="42" s="1"/>
  <c r="F343" i="42" s="1"/>
  <c r="F344" i="42" s="1"/>
  <c r="F345" i="42" s="1"/>
  <c r="F346" i="42" s="1"/>
  <c r="F347" i="42" s="1"/>
  <c r="F348" i="42" s="1"/>
  <c r="F349" i="42" s="1"/>
  <c r="F350" i="42" s="1"/>
  <c r="F351" i="42" s="1"/>
  <c r="F352" i="42" s="1"/>
  <c r="F353" i="42" s="1"/>
  <c r="F354" i="42" s="1"/>
  <c r="F355" i="42" s="1"/>
  <c r="F356" i="42" s="1"/>
  <c r="F357" i="42" s="1"/>
  <c r="F358" i="42" s="1"/>
  <c r="F359" i="42" s="1"/>
  <c r="F360" i="42" s="1"/>
  <c r="F361" i="42" s="1"/>
  <c r="F362" i="42" s="1"/>
  <c r="F363" i="42" s="1"/>
  <c r="F364" i="42" s="1"/>
  <c r="F365" i="42" s="1"/>
  <c r="F366" i="42" s="1"/>
  <c r="F367" i="42" s="1"/>
  <c r="F368" i="42" s="1"/>
  <c r="F369" i="42" s="1"/>
  <c r="F370" i="42" s="1"/>
  <c r="F371" i="42" s="1"/>
  <c r="F372" i="42" s="1"/>
  <c r="F373" i="42" s="1"/>
  <c r="F374" i="42" s="1"/>
  <c r="F375" i="42" s="1"/>
  <c r="F376" i="42" s="1"/>
  <c r="F377" i="42" s="1"/>
  <c r="F378" i="42" s="1"/>
  <c r="F379" i="42" s="1"/>
  <c r="F380" i="42" s="1"/>
  <c r="F381" i="42" s="1"/>
  <c r="F382" i="42" s="1"/>
  <c r="F383" i="42" s="1"/>
  <c r="F384" i="42" s="1"/>
  <c r="F385" i="42" s="1"/>
  <c r="F386" i="42" s="1"/>
  <c r="F387" i="42" s="1"/>
  <c r="F388" i="42" s="1"/>
  <c r="F389" i="42" s="1"/>
  <c r="F390" i="42" s="1"/>
  <c r="F391" i="42" s="1"/>
  <c r="F392" i="42" s="1"/>
  <c r="F393" i="42" s="1"/>
  <c r="F394" i="42" s="1"/>
  <c r="F395" i="42" s="1"/>
  <c r="F396" i="42" s="1"/>
  <c r="F397" i="42" s="1"/>
  <c r="F398" i="42" s="1"/>
  <c r="F399" i="42" s="1"/>
  <c r="F400" i="42" s="1"/>
  <c r="F401" i="42" s="1"/>
  <c r="F402" i="42" s="1"/>
  <c r="F403" i="42" s="1"/>
  <c r="F404" i="42" s="1"/>
  <c r="F405" i="42" s="1"/>
  <c r="F406" i="42" s="1"/>
  <c r="F407" i="42" s="1"/>
  <c r="F408" i="42" s="1"/>
  <c r="F409" i="42" s="1"/>
  <c r="F410" i="42" s="1"/>
  <c r="F411" i="42" s="1"/>
  <c r="F412" i="42" s="1"/>
  <c r="F413" i="42" s="1"/>
  <c r="F414" i="42" s="1"/>
  <c r="F415" i="42" s="1"/>
  <c r="F416" i="42" s="1"/>
  <c r="F417" i="42" s="1"/>
  <c r="F418" i="42" s="1"/>
  <c r="F419" i="42" s="1"/>
  <c r="F420" i="42" s="1"/>
  <c r="F421" i="42" s="1"/>
  <c r="F422" i="42" s="1"/>
  <c r="F423" i="42" s="1"/>
  <c r="F424" i="42" s="1"/>
  <c r="F425" i="42" s="1"/>
  <c r="F426" i="42" s="1"/>
  <c r="F427" i="42" s="1"/>
  <c r="F428" i="42" s="1"/>
  <c r="F429" i="42" s="1"/>
  <c r="F430" i="42" s="1"/>
  <c r="F431" i="42" s="1"/>
  <c r="F432" i="42" s="1"/>
  <c r="F433" i="42" s="1"/>
  <c r="F434" i="42" s="1"/>
  <c r="F435" i="42" s="1"/>
  <c r="F436" i="42" s="1"/>
  <c r="F437" i="42" s="1"/>
  <c r="F438" i="42" s="1"/>
  <c r="F439" i="42" s="1"/>
  <c r="F440" i="42" s="1"/>
  <c r="F441" i="42" s="1"/>
  <c r="F442" i="42" s="1"/>
  <c r="F443" i="42" l="1"/>
  <c r="F444" i="42" s="1"/>
  <c r="F445" i="42" s="1"/>
  <c r="F446" i="42" s="1"/>
  <c r="F447" i="42" s="1"/>
  <c r="F448" i="42" s="1"/>
  <c r="F449" i="42" s="1"/>
  <c r="F450" i="42" s="1"/>
  <c r="F451" i="42" s="1"/>
  <c r="F452" i="42" s="1"/>
  <c r="F453" i="42" s="1"/>
  <c r="F454" i="42" s="1"/>
  <c r="F455" i="42" s="1"/>
  <c r="F456" i="42" s="1"/>
  <c r="F457" i="42" s="1"/>
  <c r="F458" i="42" s="1"/>
  <c r="F459" i="42" s="1"/>
  <c r="F460" i="42" s="1"/>
  <c r="F461" i="42" s="1"/>
  <c r="F462" i="42" s="1"/>
  <c r="F463" i="42" s="1"/>
  <c r="F464" i="42" s="1"/>
  <c r="F465" i="42" s="1"/>
  <c r="F466" i="42" s="1"/>
  <c r="F467" i="42" s="1"/>
  <c r="F468" i="42" s="1"/>
  <c r="F469" i="42" s="1"/>
  <c r="F470" i="42" s="1"/>
  <c r="F471" i="42" s="1"/>
  <c r="F472" i="42" s="1"/>
  <c r="F473" i="42" s="1"/>
  <c r="F474" i="42" s="1"/>
  <c r="F475" i="42" s="1"/>
  <c r="F476" i="42" s="1"/>
  <c r="F477" i="42" s="1"/>
  <c r="F478" i="42" s="1"/>
  <c r="F479" i="42" s="1"/>
  <c r="F480" i="42" s="1"/>
  <c r="F481" i="42" s="1"/>
  <c r="F482" i="42" s="1"/>
  <c r="F483" i="42" s="1"/>
  <c r="F484" i="42" s="1"/>
  <c r="F485" i="42" s="1"/>
  <c r="F486" i="42" s="1"/>
  <c r="F487" i="42" s="1"/>
  <c r="F488" i="42" s="1"/>
  <c r="F489" i="42" s="1"/>
  <c r="F490" i="42" s="1"/>
  <c r="F491" i="42" s="1"/>
  <c r="F492" i="42" s="1"/>
  <c r="F493" i="42" s="1"/>
  <c r="F494" i="42" s="1"/>
  <c r="F495" i="42" s="1"/>
  <c r="F496" i="42" s="1"/>
  <c r="F497" i="42" s="1"/>
  <c r="F498" i="42" s="1"/>
  <c r="F499" i="42" s="1"/>
  <c r="F500" i="42" s="1"/>
  <c r="F501" i="42" s="1"/>
  <c r="F502" i="42" s="1"/>
  <c r="F503" i="42" s="1"/>
  <c r="F504" i="42" s="1"/>
  <c r="F505" i="42" s="1"/>
  <c r="F506" i="42" l="1"/>
  <c r="F507" i="42" s="1"/>
  <c r="F508" i="42" s="1"/>
  <c r="F509" i="42" s="1"/>
  <c r="F510" i="42" s="1"/>
  <c r="F511" i="42" s="1"/>
  <c r="F512" i="42" s="1"/>
  <c r="F513" i="42" s="1"/>
  <c r="F514" i="42" s="1"/>
  <c r="F515" i="42" s="1"/>
  <c r="F516" i="42" s="1"/>
  <c r="F517" i="42" s="1"/>
  <c r="F518" i="42" s="1"/>
  <c r="F519" i="42" s="1"/>
  <c r="F520" i="42" s="1"/>
  <c r="F521" i="42" s="1"/>
  <c r="F522" i="42" s="1"/>
  <c r="F523" i="42" s="1"/>
  <c r="F524" i="42" s="1"/>
  <c r="F525" i="42" s="1"/>
  <c r="F526" i="42" s="1"/>
  <c r="F527" i="42" s="1"/>
  <c r="F528" i="42" s="1"/>
  <c r="F529" i="42" s="1"/>
  <c r="F530" i="42" s="1"/>
  <c r="F531" i="42" s="1"/>
  <c r="F532" i="42" s="1"/>
  <c r="F533" i="42" s="1"/>
  <c r="F534" i="42" s="1"/>
  <c r="F535" i="42" s="1"/>
  <c r="F536" i="42" s="1"/>
  <c r="F537" i="42" s="1"/>
  <c r="F538" i="42" s="1"/>
  <c r="F539" i="42" s="1"/>
  <c r="F540" i="42" s="1"/>
  <c r="F541" i="42" s="1"/>
  <c r="F542" i="42" s="1"/>
  <c r="F543" i="42" s="1"/>
  <c r="F544" i="42" s="1"/>
  <c r="F545" i="42" s="1"/>
  <c r="F546" i="42" s="1"/>
  <c r="F547" i="42" s="1"/>
  <c r="F548" i="42" s="1"/>
  <c r="F549" i="42" s="1"/>
  <c r="F550" i="42" s="1"/>
  <c r="F551" i="42" s="1"/>
  <c r="F552" i="42" s="1"/>
  <c r="F553" i="42" s="1"/>
  <c r="F554" i="42" s="1"/>
  <c r="F555" i="42" s="1"/>
  <c r="F556" i="42" s="1"/>
  <c r="F557" i="42" s="1"/>
  <c r="F558" i="42" s="1"/>
  <c r="F559" i="42" s="1"/>
  <c r="F560" i="42" s="1"/>
  <c r="F561" i="42" s="1"/>
  <c r="F562" i="42" s="1"/>
  <c r="F563" i="42" s="1"/>
  <c r="F564" i="42" s="1"/>
  <c r="F565" i="42" s="1"/>
  <c r="F566" i="42" s="1"/>
  <c r="F567" i="42" s="1"/>
  <c r="F568" i="42" s="1"/>
  <c r="F569" i="42" s="1"/>
  <c r="F570" i="42" s="1"/>
  <c r="F571" i="42" s="1"/>
  <c r="F572" i="42" s="1"/>
  <c r="F573" i="42" s="1"/>
  <c r="F574" i="42" s="1"/>
  <c r="F575" i="42" s="1"/>
  <c r="F576" i="42" s="1"/>
  <c r="F577" i="42" s="1"/>
  <c r="F578" i="42" s="1"/>
  <c r="F579" i="42" s="1"/>
  <c r="F580" i="42" s="1"/>
  <c r="F581" i="42" s="1"/>
  <c r="F582" i="42" s="1"/>
  <c r="F583" i="42" s="1"/>
  <c r="F584" i="42" s="1"/>
  <c r="F585" i="42" s="1"/>
  <c r="F586" i="42" s="1"/>
  <c r="F587" i="42" s="1"/>
  <c r="F588" i="42" s="1"/>
  <c r="F589" i="42" s="1"/>
  <c r="F590" i="42" s="1"/>
  <c r="F591" i="42" s="1"/>
  <c r="F592" i="42" s="1"/>
  <c r="F593" i="42" s="1"/>
  <c r="F594" i="42" s="1"/>
  <c r="F595" i="42" s="1"/>
  <c r="F596" i="42" s="1"/>
  <c r="F597" i="42" s="1"/>
  <c r="F598" i="42" s="1"/>
  <c r="F599" i="42" s="1"/>
  <c r="F600" i="42" s="1"/>
  <c r="F601" i="42" s="1"/>
  <c r="F602" i="42" s="1"/>
  <c r="F603" i="42" s="1"/>
  <c r="F604" i="42" s="1"/>
  <c r="F605" i="42" s="1"/>
  <c r="F606" i="42" s="1"/>
  <c r="F607" i="42" s="1"/>
  <c r="F608" i="42" s="1"/>
  <c r="F609" i="42" s="1"/>
  <c r="F610" i="42" s="1"/>
  <c r="F611" i="42" s="1"/>
  <c r="F612" i="42" s="1"/>
  <c r="F613" i="42" s="1"/>
  <c r="F614" i="42" s="1"/>
  <c r="F615" i="42" s="1"/>
  <c r="F616" i="42" s="1"/>
  <c r="F617" i="42" s="1"/>
  <c r="F618" i="42" s="1"/>
  <c r="F619" i="42" s="1"/>
  <c r="F620" i="42" s="1"/>
  <c r="F621" i="42" s="1"/>
  <c r="F622" i="42" s="1"/>
  <c r="F623" i="42" s="1"/>
  <c r="F624" i="42" s="1"/>
  <c r="F625" i="42" s="1"/>
  <c r="F626" i="42" s="1"/>
  <c r="F627" i="42" s="1"/>
  <c r="F628" i="42" s="1"/>
  <c r="F629" i="42" s="1"/>
  <c r="F630" i="42" s="1"/>
  <c r="F631" i="42" s="1"/>
  <c r="F632" i="42" s="1"/>
  <c r="F633" i="42" s="1"/>
  <c r="F634" i="42" s="1"/>
  <c r="F635" i="42" s="1"/>
  <c r="F636" i="42" s="1"/>
  <c r="F637" i="42" s="1"/>
  <c r="F638" i="42" s="1"/>
  <c r="F639" i="42" s="1"/>
  <c r="F640" i="42" s="1"/>
  <c r="F641" i="42" s="1"/>
  <c r="F642" i="42" s="1"/>
  <c r="F643" i="42" s="1"/>
  <c r="F644" i="42" s="1"/>
  <c r="F645" i="42" s="1"/>
  <c r="F646" i="42" s="1"/>
  <c r="F647" i="42" s="1"/>
  <c r="F648" i="42" s="1"/>
  <c r="F649" i="42" s="1"/>
  <c r="F650" i="42" s="1"/>
  <c r="F651" i="42" s="1"/>
  <c r="F652" i="42" s="1"/>
  <c r="F653" i="42" s="1"/>
  <c r="F654" i="42" s="1"/>
  <c r="F655" i="42" s="1"/>
  <c r="F656" i="42" s="1"/>
  <c r="F657" i="42" s="1"/>
  <c r="F658" i="42" s="1"/>
  <c r="F659" i="42" s="1"/>
  <c r="F660" i="42" s="1"/>
  <c r="F661" i="42" s="1"/>
  <c r="F662" i="42" s="1"/>
  <c r="F663" i="42" s="1"/>
  <c r="F664" i="42" s="1"/>
  <c r="F665" i="42" s="1"/>
  <c r="F666" i="42" s="1"/>
  <c r="F667" i="42" s="1"/>
  <c r="F668" i="42" s="1"/>
  <c r="F669" i="42" s="1"/>
  <c r="F670" i="42" s="1"/>
  <c r="F671" i="42" s="1"/>
  <c r="F672" i="42" s="1"/>
  <c r="F673" i="42" s="1"/>
  <c r="F674" i="42" s="1"/>
  <c r="F675" i="42" s="1"/>
  <c r="F676" i="42" s="1"/>
  <c r="F677" i="42" s="1"/>
  <c r="F678" i="42" s="1"/>
  <c r="F679" i="42" s="1"/>
  <c r="F680" i="42" s="1"/>
  <c r="F681" i="42" s="1"/>
  <c r="F682" i="42" s="1"/>
  <c r="F683" i="42" s="1"/>
  <c r="F684" i="42" s="1"/>
  <c r="F685" i="42" s="1"/>
  <c r="F686" i="42" s="1"/>
  <c r="F687" i="42" s="1"/>
  <c r="F688" i="42" s="1"/>
  <c r="F689" i="42" s="1"/>
  <c r="F690" i="42" s="1"/>
  <c r="F691" i="42" s="1"/>
  <c r="F692" i="42" s="1"/>
  <c r="F693" i="42" s="1"/>
  <c r="F694" i="42" s="1"/>
  <c r="F695" i="42" s="1"/>
  <c r="F696" i="42" s="1"/>
  <c r="F697" i="42" s="1"/>
  <c r="F698" i="42" s="1"/>
  <c r="F699" i="42" s="1"/>
  <c r="F700" i="42" s="1"/>
  <c r="F701" i="42" s="1"/>
  <c r="F702" i="42" s="1"/>
  <c r="F703" i="42" s="1"/>
  <c r="F704" i="42" s="1"/>
  <c r="F705" i="42" s="1"/>
  <c r="F706" i="42" s="1"/>
  <c r="F707" i="42" s="1"/>
  <c r="F708" i="42" s="1"/>
  <c r="F709" i="42" s="1"/>
  <c r="F710" i="42" s="1"/>
  <c r="F711" i="42" s="1"/>
  <c r="F712" i="42" s="1"/>
  <c r="F713" i="42" s="1"/>
  <c r="F714" i="42" s="1"/>
  <c r="F715" i="42" s="1"/>
  <c r="F716" i="42" s="1"/>
  <c r="F717" i="42" s="1"/>
  <c r="F718" i="42" s="1"/>
  <c r="F719" i="42" s="1"/>
  <c r="F720" i="42" s="1"/>
  <c r="F721" i="42" s="1"/>
  <c r="F722" i="42" s="1"/>
  <c r="F723" i="42" s="1"/>
  <c r="F724" i="42" s="1"/>
  <c r="F725" i="42" s="1"/>
  <c r="F726" i="42" s="1"/>
  <c r="F727" i="42" s="1"/>
  <c r="F728" i="42" s="1"/>
  <c r="F729" i="42" s="1"/>
  <c r="F730" i="42" s="1"/>
  <c r="F731" i="42" s="1"/>
  <c r="F732" i="42" s="1"/>
  <c r="F733" i="42" s="1"/>
  <c r="F734" i="42" s="1"/>
  <c r="F735" i="42" s="1"/>
  <c r="F736" i="42" s="1"/>
  <c r="F737" i="42" s="1"/>
  <c r="F738" i="42" s="1"/>
  <c r="F739" i="42" s="1"/>
  <c r="F740" i="42" s="1"/>
  <c r="F741" i="42" s="1"/>
  <c r="F742" i="42" s="1"/>
  <c r="F743" i="42" s="1"/>
  <c r="F744" i="42" s="1"/>
  <c r="F745" i="42" s="1"/>
  <c r="F746" i="42" s="1"/>
  <c r="F747" i="42" s="1"/>
  <c r="F748" i="42" s="1"/>
  <c r="F749" i="42" s="1"/>
  <c r="F750" i="42" s="1"/>
  <c r="F751" i="42" s="1"/>
  <c r="F752" i="42" s="1"/>
  <c r="F753" i="42" s="1"/>
  <c r="F754" i="42" s="1"/>
  <c r="F755" i="42" s="1"/>
  <c r="F756" i="42" s="1"/>
  <c r="F757" i="42" s="1"/>
  <c r="F758" i="42" s="1"/>
  <c r="F759" i="42" s="1"/>
  <c r="F760" i="42" s="1"/>
  <c r="F761" i="42" s="1"/>
  <c r="F762" i="42" s="1"/>
  <c r="F763" i="42" s="1"/>
  <c r="F764" i="42" s="1"/>
  <c r="F765" i="42" s="1"/>
  <c r="F766" i="42" s="1"/>
  <c r="F767" i="42" s="1"/>
  <c r="F768" i="42" s="1"/>
  <c r="F769" i="42" s="1"/>
  <c r="F770" i="42" s="1"/>
  <c r="F771" i="42" s="1"/>
  <c r="F772" i="42" s="1"/>
  <c r="F773" i="42" s="1"/>
  <c r="F774" i="42" s="1"/>
  <c r="F775" i="42" s="1"/>
  <c r="F776" i="42" s="1"/>
  <c r="F777" i="42" s="1"/>
  <c r="F778" i="42" s="1"/>
  <c r="F779" i="42" s="1"/>
  <c r="F780" i="42" s="1"/>
  <c r="F781" i="42" s="1"/>
  <c r="F782" i="42" s="1"/>
  <c r="F783" i="42" s="1"/>
  <c r="F784" i="42" s="1"/>
  <c r="F785" i="42" s="1"/>
  <c r="F786" i="42" s="1"/>
  <c r="F787" i="42" s="1"/>
  <c r="F788" i="42" s="1"/>
  <c r="F789" i="42" s="1"/>
  <c r="F790" i="42" s="1"/>
  <c r="F791" i="42" s="1"/>
  <c r="F792" i="42" s="1"/>
  <c r="F793" i="42" s="1"/>
  <c r="F794" i="42" s="1"/>
  <c r="F795" i="42" s="1"/>
  <c r="F796" i="42" s="1"/>
  <c r="F797" i="42" s="1"/>
  <c r="F798" i="42" s="1"/>
  <c r="F799" i="42" s="1"/>
  <c r="F800" i="42" s="1"/>
  <c r="F801" i="42" s="1"/>
  <c r="F802" i="42" s="1"/>
  <c r="F803" i="42" s="1"/>
  <c r="F804" i="42" s="1"/>
  <c r="F805" i="42" s="1"/>
  <c r="F806" i="42" s="1"/>
  <c r="F807" i="42" s="1"/>
  <c r="F808" i="42" s="1"/>
  <c r="F809" i="42" s="1"/>
  <c r="F810" i="42" s="1"/>
  <c r="F811" i="42" s="1"/>
  <c r="F812" i="42" s="1"/>
  <c r="F813" i="42" s="1"/>
  <c r="F814" i="42" s="1"/>
  <c r="F815" i="42" s="1"/>
  <c r="F816" i="42" s="1"/>
  <c r="F817" i="42" s="1"/>
  <c r="F818" i="42" s="1"/>
  <c r="F819" i="42" s="1"/>
  <c r="F820" i="42" s="1"/>
  <c r="F821" i="42" s="1"/>
  <c r="F822" i="42" s="1"/>
  <c r="F823" i="42" s="1"/>
  <c r="F824" i="42" s="1"/>
  <c r="F825" i="42" s="1"/>
  <c r="F826" i="42" s="1"/>
  <c r="F827" i="42" s="1"/>
  <c r="F828" i="42" s="1"/>
  <c r="F829" i="42" s="1"/>
  <c r="F830" i="42" s="1"/>
  <c r="F831" i="42" s="1"/>
  <c r="F832" i="42" s="1"/>
  <c r="F833" i="42" s="1"/>
  <c r="F834" i="42" s="1"/>
  <c r="F835" i="42" s="1"/>
  <c r="F836" i="42" s="1"/>
  <c r="F837" i="42" s="1"/>
  <c r="F838" i="42" s="1"/>
  <c r="F839" i="42" s="1"/>
  <c r="F840" i="42" s="1"/>
  <c r="F841" i="42" s="1"/>
  <c r="F842" i="42" s="1"/>
  <c r="F843" i="42" s="1"/>
  <c r="F844" i="42" s="1"/>
  <c r="F845" i="42" s="1"/>
  <c r="F846" i="42" s="1"/>
  <c r="F847" i="42" s="1"/>
  <c r="F848" i="42" s="1"/>
  <c r="F849" i="42" s="1"/>
  <c r="F850" i="42" s="1"/>
  <c r="F851" i="42" s="1"/>
  <c r="F852" i="42" s="1"/>
  <c r="F853" i="42" s="1"/>
  <c r="F854" i="42" s="1"/>
  <c r="F855" i="42" s="1"/>
  <c r="F856" i="42" s="1"/>
  <c r="F857" i="42" s="1"/>
  <c r="F858" i="42" s="1"/>
  <c r="F859" i="42" s="1"/>
  <c r="F860" i="42" s="1"/>
  <c r="F861" i="42" s="1"/>
  <c r="F862" i="42" s="1"/>
  <c r="F863" i="42" s="1"/>
  <c r="F864" i="42" s="1"/>
  <c r="F865" i="42" s="1"/>
  <c r="F866" i="42" s="1"/>
  <c r="F867" i="42" s="1"/>
  <c r="F868" i="42" s="1"/>
  <c r="F869" i="42" s="1"/>
  <c r="F870" i="42" s="1"/>
  <c r="F871" i="42" s="1"/>
  <c r="F872" i="42" s="1"/>
  <c r="F873" i="42" s="1"/>
  <c r="F874" i="42" s="1"/>
  <c r="F875" i="42" s="1"/>
  <c r="F876" i="42" s="1"/>
  <c r="F877" i="42" s="1"/>
  <c r="F878" i="42" s="1"/>
  <c r="F879" i="42" s="1"/>
  <c r="F880" i="42" s="1"/>
  <c r="F881" i="42" s="1"/>
  <c r="F882" i="42" s="1"/>
  <c r="F883" i="42" s="1"/>
  <c r="F884" i="42" s="1"/>
  <c r="F885" i="42" s="1"/>
  <c r="F886" i="42" s="1"/>
  <c r="F887" i="42" s="1"/>
  <c r="F888" i="42" s="1"/>
  <c r="F889" i="42" s="1"/>
  <c r="F890" i="42" s="1"/>
  <c r="F891" i="42" s="1"/>
  <c r="F892" i="42" s="1"/>
  <c r="F893" i="42" s="1"/>
  <c r="F894" i="42" s="1"/>
  <c r="F895" i="42" s="1"/>
  <c r="F896" i="42" s="1"/>
  <c r="F897" i="42" s="1"/>
  <c r="F898" i="42" s="1"/>
  <c r="F899" i="42" s="1"/>
  <c r="F900" i="42" s="1"/>
  <c r="F901" i="42" s="1"/>
  <c r="F902" i="42" s="1"/>
  <c r="F903" i="42" s="1"/>
  <c r="F904" i="42" s="1"/>
  <c r="F905" i="42" s="1"/>
  <c r="F906" i="42" s="1"/>
  <c r="F907" i="42" s="1"/>
  <c r="F908" i="42" s="1"/>
  <c r="F909" i="42" s="1"/>
  <c r="F910" i="42" s="1"/>
  <c r="F911" i="42" s="1"/>
  <c r="F912" i="42" s="1"/>
  <c r="F913" i="42" s="1"/>
  <c r="F914" i="42" s="1"/>
  <c r="F915" i="42" s="1"/>
  <c r="F916" i="42" s="1"/>
  <c r="F917" i="42" s="1"/>
  <c r="F918" i="42" s="1"/>
  <c r="F919" i="42" s="1"/>
  <c r="F920" i="42" s="1"/>
  <c r="F921" i="42" s="1"/>
  <c r="F922" i="42" s="1"/>
  <c r="F923" i="42" s="1"/>
  <c r="F924" i="42" s="1"/>
  <c r="P3" i="42"/>
  <c r="R5" i="42"/>
  <c r="Q8" i="42"/>
  <c r="P11" i="42"/>
  <c r="R13" i="42"/>
  <c r="O8" i="42"/>
  <c r="U8" i="42" s="1"/>
  <c r="N6" i="42"/>
  <c r="Z6" i="42" s="1"/>
  <c r="P6" i="42"/>
  <c r="Q6" i="42"/>
  <c r="O4" i="42"/>
  <c r="U4" i="42" s="1"/>
  <c r="Q9" i="42"/>
  <c r="O2" i="42"/>
  <c r="U2" i="42" s="1"/>
  <c r="Q4" i="42"/>
  <c r="P7" i="42"/>
  <c r="R9" i="42"/>
  <c r="Q12" i="42"/>
  <c r="R3" i="42"/>
  <c r="P12" i="42"/>
  <c r="R4" i="42"/>
  <c r="Q7" i="42"/>
  <c r="P10" i="42"/>
  <c r="R12" i="42"/>
  <c r="R2" i="42"/>
  <c r="Q3" i="42"/>
  <c r="O6" i="42"/>
  <c r="U6" i="42" s="1"/>
  <c r="P9" i="42"/>
  <c r="P4" i="42"/>
  <c r="P5" i="42"/>
  <c r="R7" i="42"/>
  <c r="Q10" i="42"/>
  <c r="P13" i="42"/>
  <c r="Q2" i="42"/>
  <c r="O12" i="42"/>
  <c r="U12" i="42" s="1"/>
  <c r="Q5" i="42"/>
  <c r="P8" i="42"/>
  <c r="R10" i="42"/>
  <c r="Q13" i="42"/>
  <c r="P2" i="42"/>
  <c r="O10" i="42"/>
  <c r="U10" i="42" s="1"/>
  <c r="N10" i="42"/>
  <c r="T10" i="42" s="1"/>
  <c r="R8" i="42"/>
  <c r="Q11" i="42"/>
  <c r="N2" i="42"/>
  <c r="T2" i="42" s="1"/>
  <c r="R11" i="42"/>
  <c r="R6" i="42"/>
  <c r="W8" i="42" l="1"/>
  <c r="X6" i="42"/>
  <c r="O14" i="42"/>
  <c r="U14" i="42" s="1"/>
  <c r="P14" i="42"/>
  <c r="O16" i="42"/>
  <c r="U16" i="42" s="1"/>
  <c r="P19" i="42"/>
  <c r="N14" i="42"/>
  <c r="Z14" i="42" s="1"/>
  <c r="P17" i="42"/>
  <c r="R16" i="42"/>
  <c r="Q16" i="42"/>
  <c r="Q21" i="42"/>
  <c r="R20" i="42"/>
  <c r="R15" i="42"/>
  <c r="R21" i="42"/>
  <c r="P18" i="42"/>
  <c r="Q20" i="42"/>
  <c r="P20" i="42"/>
  <c r="Q14" i="42"/>
  <c r="P21" i="42"/>
  <c r="Q17" i="42"/>
  <c r="P15" i="42"/>
  <c r="O20" i="42"/>
  <c r="U20" i="42" s="1"/>
  <c r="R18" i="42"/>
  <c r="P16" i="42"/>
  <c r="O18" i="42"/>
  <c r="U18" i="42" s="1"/>
  <c r="Q19" i="42"/>
  <c r="Q15" i="42"/>
  <c r="R17" i="42"/>
  <c r="Q18" i="42"/>
  <c r="R14" i="42"/>
  <c r="N18" i="42"/>
  <c r="T18" i="42" s="1"/>
  <c r="R19" i="42"/>
  <c r="F925" i="42"/>
  <c r="F926" i="42" s="1"/>
  <c r="F927" i="42" s="1"/>
  <c r="F928" i="42" s="1"/>
  <c r="F929" i="42" s="1"/>
  <c r="F930" i="42" s="1"/>
  <c r="F931" i="42" s="1"/>
  <c r="F932" i="42" s="1"/>
  <c r="X10" i="42"/>
  <c r="X4" i="42"/>
  <c r="W2" i="42"/>
  <c r="X8" i="42"/>
  <c r="W12" i="42"/>
  <c r="Z2" i="42"/>
  <c r="W6" i="42"/>
  <c r="X12" i="42"/>
  <c r="W4" i="42"/>
  <c r="X2" i="42"/>
  <c r="Z10" i="42"/>
  <c r="W10" i="42"/>
  <c r="T6" i="42"/>
  <c r="AC6" i="42" l="1"/>
  <c r="X14" i="42"/>
  <c r="X16" i="42"/>
  <c r="X18" i="42"/>
  <c r="AD6" i="42"/>
  <c r="X20" i="42"/>
  <c r="W20" i="42"/>
  <c r="W14" i="42"/>
  <c r="W16" i="42"/>
  <c r="W18" i="42"/>
  <c r="AD10" i="42"/>
  <c r="T14" i="42"/>
  <c r="Z18" i="42"/>
  <c r="F933" i="42"/>
  <c r="F934" i="42" s="1"/>
  <c r="F935" i="42" s="1"/>
  <c r="F936" i="42" s="1"/>
  <c r="F937" i="42" s="1"/>
  <c r="F938" i="42" s="1"/>
  <c r="F939" i="42" s="1"/>
  <c r="F940" i="42" s="1"/>
  <c r="F941" i="42" s="1"/>
  <c r="F942" i="42" s="1"/>
  <c r="F943" i="42" s="1"/>
  <c r="F944" i="42" s="1"/>
  <c r="F945" i="42" s="1"/>
  <c r="F946" i="42" s="1"/>
  <c r="AC2" i="42"/>
  <c r="AD2" i="42"/>
  <c r="AC10" i="42"/>
  <c r="AC14" i="42" l="1"/>
  <c r="AD14" i="42"/>
  <c r="AC18" i="42"/>
  <c r="AD18" i="42"/>
  <c r="F947" i="42"/>
  <c r="F948" i="42" s="1"/>
  <c r="F949" i="42" s="1"/>
  <c r="F950" i="42" s="1"/>
  <c r="F951" i="42" s="1"/>
  <c r="F952" i="42" s="1"/>
  <c r="F953" i="42" s="1"/>
  <c r="F954" i="42" s="1"/>
  <c r="F955" i="42" s="1"/>
  <c r="F956" i="42" s="1"/>
  <c r="F957" i="42" s="1"/>
  <c r="F958" i="42" s="1"/>
  <c r="F959" i="42" s="1"/>
  <c r="F960" i="42" s="1"/>
  <c r="F961" i="42" s="1"/>
  <c r="F962" i="42" s="1"/>
  <c r="F963" i="42" s="1"/>
  <c r="F964" i="42" s="1"/>
  <c r="F965" i="42" s="1"/>
  <c r="F966" i="42" s="1"/>
  <c r="F967" i="42" s="1"/>
  <c r="F968" i="42" s="1"/>
  <c r="F969" i="42" s="1"/>
  <c r="F970" i="42" s="1"/>
  <c r="F971" i="42" s="1"/>
  <c r="F972" i="42" s="1"/>
  <c r="F973" i="42" s="1"/>
  <c r="F974" i="42" s="1"/>
  <c r="F975" i="42" s="1"/>
  <c r="F976" i="42" s="1"/>
  <c r="F977" i="42" s="1"/>
  <c r="F978" i="42" s="1"/>
  <c r="F979" i="42" s="1"/>
  <c r="F980" i="42" s="1"/>
  <c r="F981" i="42" s="1"/>
  <c r="F982" i="42" s="1"/>
  <c r="F983" i="42" s="1"/>
  <c r="F984" i="42" s="1"/>
  <c r="F985" i="42" s="1"/>
  <c r="F986" i="42" s="1"/>
  <c r="F987" i="42" s="1"/>
  <c r="F988" i="42" s="1"/>
  <c r="F989" i="42" s="1"/>
  <c r="F990" i="42" s="1"/>
  <c r="F991" i="42" s="1"/>
  <c r="F992" i="42" s="1"/>
  <c r="F993" i="42" s="1"/>
  <c r="F994" i="42" s="1"/>
  <c r="F995" i="42" s="1"/>
  <c r="F996" i="42" s="1"/>
  <c r="F997" i="42" s="1"/>
  <c r="F998" i="42" s="1"/>
  <c r="F999" i="42" s="1"/>
  <c r="F1000" i="42" s="1"/>
  <c r="F1001" i="42" s="1"/>
  <c r="F1002" i="42" s="1"/>
  <c r="F1003" i="42" s="1"/>
  <c r="F1004" i="42" s="1"/>
  <c r="F1005" i="42" s="1"/>
  <c r="F1006" i="42" s="1"/>
  <c r="F1007" i="42" s="1"/>
  <c r="F1008" i="42" s="1"/>
  <c r="F1009" i="42" s="1"/>
  <c r="P22" i="42" l="1"/>
  <c r="N22" i="42"/>
  <c r="Z22" i="42" s="1"/>
  <c r="P23" i="42"/>
  <c r="R22" i="42"/>
  <c r="R23" i="42"/>
  <c r="O22" i="42"/>
  <c r="U22" i="42" s="1"/>
  <c r="Q23" i="42"/>
  <c r="Q22" i="42"/>
  <c r="R24" i="42"/>
  <c r="R25" i="42"/>
  <c r="Q25" i="42"/>
  <c r="P24" i="42"/>
  <c r="P25" i="42"/>
  <c r="Q24" i="42"/>
  <c r="O24" i="42"/>
  <c r="U24" i="42" s="1"/>
  <c r="X24" i="42" l="1"/>
  <c r="X22" i="42"/>
  <c r="T22" i="42"/>
  <c r="W22" i="42"/>
  <c r="W24" i="42"/>
  <c r="AD22" i="42" l="1"/>
  <c r="AM3" i="42" s="1"/>
  <c r="AC22" i="42"/>
  <c r="AM12" i="42" l="1"/>
  <c r="AM10" i="42"/>
  <c r="AM6" i="42"/>
  <c r="AM5" i="42"/>
  <c r="AM7" i="42"/>
  <c r="AM11" i="42"/>
  <c r="AM8" i="42"/>
  <c r="AM9" i="42"/>
  <c r="AL4" i="42"/>
  <c r="AL9" i="42"/>
  <c r="AL10" i="42"/>
  <c r="AL5" i="42"/>
  <c r="AL11" i="42"/>
  <c r="AL8" i="42"/>
  <c r="AL7" i="42"/>
  <c r="AL6" i="42"/>
  <c r="AM13" i="42"/>
  <c r="AM2" i="42"/>
  <c r="AM4" i="42"/>
  <c r="AL12" i="42"/>
  <c r="AL2" i="42"/>
  <c r="AL13" i="42"/>
  <c r="AL3" i="42"/>
</calcChain>
</file>

<file path=xl/sharedStrings.xml><?xml version="1.0" encoding="utf-8"?>
<sst xmlns="http://schemas.openxmlformats.org/spreadsheetml/2006/main" count="812" uniqueCount="403">
  <si>
    <t>Month</t>
  </si>
  <si>
    <t>District</t>
  </si>
  <si>
    <t>Average Temperature (F)</t>
  </si>
  <si>
    <t>CRCP DESIGN PROGRAM BASED ON MECHANISTIC-EMPIRICAL PRINCIPLES</t>
  </si>
  <si>
    <t>Subgrade Type</t>
  </si>
  <si>
    <t>WFS</t>
  </si>
  <si>
    <t>AMA</t>
  </si>
  <si>
    <t>CHS</t>
  </si>
  <si>
    <t>LBB</t>
  </si>
  <si>
    <t>SJT</t>
  </si>
  <si>
    <t>ODA</t>
  </si>
  <si>
    <t>ABL</t>
  </si>
  <si>
    <t>ELP</t>
  </si>
  <si>
    <t>FTW</t>
  </si>
  <si>
    <t>DAL</t>
  </si>
  <si>
    <t>ATL</t>
  </si>
  <si>
    <t>BWD</t>
  </si>
  <si>
    <t>LFK</t>
  </si>
  <si>
    <t>SAT</t>
  </si>
  <si>
    <t>LRD</t>
  </si>
  <si>
    <t>BMT</t>
  </si>
  <si>
    <t>CRP</t>
  </si>
  <si>
    <t>PHR</t>
  </si>
  <si>
    <t>YKM</t>
  </si>
  <si>
    <t>Concrete Stress (E) (psi)</t>
  </si>
  <si>
    <t>Concrete Stress (T) (psi)</t>
  </si>
  <si>
    <t>Harris</t>
  </si>
  <si>
    <t>Developed under TxDOT Research Project 0-5832</t>
  </si>
  <si>
    <t>Temperature Change (F)</t>
  </si>
  <si>
    <t>H</t>
  </si>
  <si>
    <t>DT</t>
  </si>
  <si>
    <t>Thickness of Concrete Layer (in.)</t>
  </si>
  <si>
    <t>Input</t>
  </si>
  <si>
    <t>L Bound</t>
  </si>
  <si>
    <t>U Bound</t>
  </si>
  <si>
    <t>Base Thickness (in.)</t>
  </si>
  <si>
    <t>Modulus of Base Layer (ksi)</t>
  </si>
  <si>
    <t>STR (T)</t>
  </si>
  <si>
    <t>STR (E)</t>
  </si>
  <si>
    <t>Subgrade K-Value (psi/in.)</t>
  </si>
  <si>
    <t>WAC</t>
  </si>
  <si>
    <t>AUS</t>
  </si>
  <si>
    <t>BRY</t>
  </si>
  <si>
    <t>HOU</t>
  </si>
  <si>
    <t>PAR</t>
  </si>
  <si>
    <t>TYL</t>
  </si>
  <si>
    <t>K</t>
  </si>
  <si>
    <t>Average Temperature</t>
  </si>
  <si>
    <t>SP</t>
  </si>
  <si>
    <t>Age
(Year)</t>
  </si>
  <si>
    <t>Age
(Month)</t>
  </si>
  <si>
    <t>Modulus of
Rupture (psi)</t>
  </si>
  <si>
    <t>Stress to Strength
Ratio (psi/psi)</t>
  </si>
  <si>
    <t>Total Concrete
Stress (psi)</t>
  </si>
  <si>
    <t>Concrete
Stress (T) (psi)</t>
  </si>
  <si>
    <t>Concrete
Stress (E) (psi)</t>
  </si>
  <si>
    <t>Modulus of
Elasticity (ksi)</t>
  </si>
  <si>
    <t>Number of Load
Repetitions to Failure</t>
  </si>
  <si>
    <t>Number of Load
Repetitions</t>
  </si>
  <si>
    <t>Pavement
Damage</t>
  </si>
  <si>
    <t>Cumulative
Damage</t>
  </si>
  <si>
    <t>Number of Punchouts
per Mile</t>
  </si>
  <si>
    <t>Gravel</t>
  </si>
  <si>
    <t>A-1-a</t>
  </si>
  <si>
    <t>GW or GP</t>
  </si>
  <si>
    <t>Coarse Sand</t>
  </si>
  <si>
    <t>A-1-b</t>
  </si>
  <si>
    <t>SW</t>
  </si>
  <si>
    <t>Fine Sand</t>
  </si>
  <si>
    <t>A-3</t>
  </si>
  <si>
    <t>A-2-6</t>
  </si>
  <si>
    <t>A-2-7</t>
  </si>
  <si>
    <t>A-4</t>
  </si>
  <si>
    <t>ML or OL</t>
  </si>
  <si>
    <t>Poorly Graded Silt</t>
  </si>
  <si>
    <t>A-5</t>
  </si>
  <si>
    <t>MH</t>
  </si>
  <si>
    <t>Plastic Clay</t>
  </si>
  <si>
    <t>A-6</t>
  </si>
  <si>
    <t>CL</t>
  </si>
  <si>
    <t>Moderately Plastic Elastic Clay</t>
  </si>
  <si>
    <t>A-7-5</t>
  </si>
  <si>
    <t>CL or OL</t>
  </si>
  <si>
    <t>Highly Plastic Elastic Clay</t>
  </si>
  <si>
    <t>A-7-6</t>
  </si>
  <si>
    <t>CH or OH</t>
  </si>
  <si>
    <t>AASHTO</t>
  </si>
  <si>
    <t>Soil Classification System</t>
  </si>
  <si>
    <t>USCS</t>
  </si>
  <si>
    <t>Silty Gravel</t>
  </si>
  <si>
    <t>Silty Sandy Gravel</t>
  </si>
  <si>
    <t>Silty Sand</t>
  </si>
  <si>
    <t>Silty Gravelly Sand</t>
  </si>
  <si>
    <t>Clayey Gravel</t>
  </si>
  <si>
    <t>Clayey Sandy Gravel</t>
  </si>
  <si>
    <t>Clayey Sand</t>
  </si>
  <si>
    <t>Clayey Gravelly Sand</t>
  </si>
  <si>
    <t>Silt</t>
  </si>
  <si>
    <t>A-2-4</t>
  </si>
  <si>
    <t>A-2-5</t>
  </si>
  <si>
    <t>GW</t>
  </si>
  <si>
    <t>GP</t>
  </si>
  <si>
    <t>GM</t>
  </si>
  <si>
    <t>SM</t>
  </si>
  <si>
    <t>GC</t>
  </si>
  <si>
    <t>SC</t>
  </si>
  <si>
    <t>Soil Description</t>
  </si>
  <si>
    <t>Silt / Sand / Gravel Mix</t>
  </si>
  <si>
    <t>Coarse Grained Soils</t>
  </si>
  <si>
    <t>Granular Materials with High Fines</t>
  </si>
  <si>
    <t>Fine Grained Soils</t>
  </si>
  <si>
    <t>ML</t>
  </si>
  <si>
    <t>OL</t>
  </si>
  <si>
    <t>CH</t>
  </si>
  <si>
    <t>OH</t>
  </si>
  <si>
    <t>Composite K (psi/in.)</t>
  </si>
  <si>
    <t xml:space="preserve"> DT: Temperature Change (F)
 H: Thickness of Concrete Layer (in.)
 K: Composite K (psi/in.)
 STR (T): Concrete Stress (T) (psi)
 STR (E): Concrete Stress (E) (psi)</t>
  </si>
  <si>
    <t xml:space="preserve"> District</t>
  </si>
  <si>
    <t xml:space="preserve"> County</t>
  </si>
  <si>
    <t xml:space="preserve"> Highway</t>
  </si>
  <si>
    <t xml:space="preserve"> CSJ</t>
  </si>
  <si>
    <t xml:space="preserve"> Direction</t>
  </si>
  <si>
    <t xml:space="preserve"> Station (Begin)</t>
  </si>
  <si>
    <t xml:space="preserve"> Station (End)</t>
  </si>
  <si>
    <t xml:space="preserve"> A. Project Identification</t>
  </si>
  <si>
    <t xml:space="preserve"> B. Design Parameters</t>
  </si>
  <si>
    <t xml:space="preserve"> Design Life (year)</t>
  </si>
  <si>
    <t xml:space="preserve"> Number of Punchouts per Mile</t>
  </si>
  <si>
    <t xml:space="preserve"> C. Design Traffic</t>
  </si>
  <si>
    <t xml:space="preserve"> D. Concrete Layer Information</t>
  </si>
  <si>
    <t xml:space="preserve"> Thickness of Concrete Layer (in.)</t>
  </si>
  <si>
    <t xml:space="preserve"> 28-Day Modulus of Rupture (psi)</t>
  </si>
  <si>
    <t xml:space="preserve"> Soil Classification System</t>
  </si>
  <si>
    <t xml:space="preserve"> Soil Classification of Subgrade</t>
  </si>
  <si>
    <t xml:space="preserve"> Base Type</t>
  </si>
  <si>
    <t xml:space="preserve"> Base Thickness (in.)</t>
  </si>
  <si>
    <t xml:space="preserve"> Modulus of Base Layer (ksi)</t>
  </si>
  <si>
    <t xml:space="preserve"> Composite K (psi/in.)</t>
  </si>
  <si>
    <t xml:space="preserve"> INPUT DATA</t>
  </si>
  <si>
    <t xml:space="preserve"> CRCP PERFORMANCE</t>
  </si>
  <si>
    <t>Average Maximum (F)</t>
  </si>
  <si>
    <t>Average Minimum (F)</t>
  </si>
  <si>
    <t xml:space="preserve"> Total Number of Lanes in One Direction</t>
  </si>
  <si>
    <t>Borden</t>
  </si>
  <si>
    <t>Callahan</t>
  </si>
  <si>
    <t>Fisher</t>
  </si>
  <si>
    <t>Haskell</t>
  </si>
  <si>
    <t>Howard</t>
  </si>
  <si>
    <t>Jones</t>
  </si>
  <si>
    <t>Kent</t>
  </si>
  <si>
    <t>Mitchell</t>
  </si>
  <si>
    <t>Nolan</t>
  </si>
  <si>
    <t>Scurry</t>
  </si>
  <si>
    <t>Shackelford</t>
  </si>
  <si>
    <t>Stonewall</t>
  </si>
  <si>
    <t>Taylor</t>
  </si>
  <si>
    <t>Armstrong</t>
  </si>
  <si>
    <t>Carson</t>
  </si>
  <si>
    <t>Dallam</t>
  </si>
  <si>
    <t>Deaf Smith</t>
  </si>
  <si>
    <t>Gray</t>
  </si>
  <si>
    <t>Hansford</t>
  </si>
  <si>
    <t>Hartley</t>
  </si>
  <si>
    <t>Hemphill</t>
  </si>
  <si>
    <t>Hutchinson</t>
  </si>
  <si>
    <t>Lipscomb</t>
  </si>
  <si>
    <t>Moore</t>
  </si>
  <si>
    <t>Ochiltree</t>
  </si>
  <si>
    <t>Oldham</t>
  </si>
  <si>
    <t>Potter</t>
  </si>
  <si>
    <t>Randall</t>
  </si>
  <si>
    <t>Roberts</t>
  </si>
  <si>
    <t>Sherman</t>
  </si>
  <si>
    <t>Bowie</t>
  </si>
  <si>
    <t>Camp</t>
  </si>
  <si>
    <t>Cass</t>
  </si>
  <si>
    <t>Harrison</t>
  </si>
  <si>
    <t>Marion</t>
  </si>
  <si>
    <t>Morris</t>
  </si>
  <si>
    <t>Panola</t>
  </si>
  <si>
    <t>Titus</t>
  </si>
  <si>
    <t>Upshur</t>
  </si>
  <si>
    <t>Bastrop</t>
  </si>
  <si>
    <t>Blanco</t>
  </si>
  <si>
    <t>Burnet</t>
  </si>
  <si>
    <t>Caldwell</t>
  </si>
  <si>
    <t>Gillespie</t>
  </si>
  <si>
    <t>Hays</t>
  </si>
  <si>
    <t>Lee</t>
  </si>
  <si>
    <t>Llano</t>
  </si>
  <si>
    <t>Mason</t>
  </si>
  <si>
    <t>Travis</t>
  </si>
  <si>
    <t>Williamson</t>
  </si>
  <si>
    <t>Chambers</t>
  </si>
  <si>
    <t>Hardin</t>
  </si>
  <si>
    <t>Jasper</t>
  </si>
  <si>
    <t>Jefferson</t>
  </si>
  <si>
    <t>Liberty</t>
  </si>
  <si>
    <t>Newton</t>
  </si>
  <si>
    <t>Orange</t>
  </si>
  <si>
    <t>Tyler</t>
  </si>
  <si>
    <t>Brazos</t>
  </si>
  <si>
    <t>Burleson</t>
  </si>
  <si>
    <t>Freestone</t>
  </si>
  <si>
    <t>Grimes</t>
  </si>
  <si>
    <t>Leon</t>
  </si>
  <si>
    <t>Madison</t>
  </si>
  <si>
    <t>Milam</t>
  </si>
  <si>
    <t>Robertson</t>
  </si>
  <si>
    <t>Walker</t>
  </si>
  <si>
    <t>Washington</t>
  </si>
  <si>
    <t>Brown</t>
  </si>
  <si>
    <t>Coleman</t>
  </si>
  <si>
    <t>Comanche</t>
  </si>
  <si>
    <t>Eastland</t>
  </si>
  <si>
    <t>Lampasas</t>
  </si>
  <si>
    <t>McCulloch</t>
  </si>
  <si>
    <t>Mills</t>
  </si>
  <si>
    <t>San Saba</t>
  </si>
  <si>
    <t>Stephens</t>
  </si>
  <si>
    <t>Briscoe</t>
  </si>
  <si>
    <t>Childress</t>
  </si>
  <si>
    <t>Collingsworth</t>
  </si>
  <si>
    <t>Cottle</t>
  </si>
  <si>
    <t>Dickens</t>
  </si>
  <si>
    <t>Donley</t>
  </si>
  <si>
    <t>Foard</t>
  </si>
  <si>
    <t>Hall</t>
  </si>
  <si>
    <t>Hardeman</t>
  </si>
  <si>
    <t>King</t>
  </si>
  <si>
    <t>Knox</t>
  </si>
  <si>
    <t>Motley</t>
  </si>
  <si>
    <t>Wheeler</t>
  </si>
  <si>
    <t>Aransas</t>
  </si>
  <si>
    <t>Bee</t>
  </si>
  <si>
    <t>Goliad</t>
  </si>
  <si>
    <t>Jim Wells</t>
  </si>
  <si>
    <t>Karnes</t>
  </si>
  <si>
    <t>Kleberg</t>
  </si>
  <si>
    <t>Live Oak</t>
  </si>
  <si>
    <t>Nueces</t>
  </si>
  <si>
    <t>Refugio</t>
  </si>
  <si>
    <t>San Patricio</t>
  </si>
  <si>
    <t>Collin</t>
  </si>
  <si>
    <t>Dallas</t>
  </si>
  <si>
    <t>Denton</t>
  </si>
  <si>
    <t>Ellis</t>
  </si>
  <si>
    <t>Kaufman</t>
  </si>
  <si>
    <t>Navarro</t>
  </si>
  <si>
    <t>Rockwall</t>
  </si>
  <si>
    <t>Brewster</t>
  </si>
  <si>
    <t>Culberson</t>
  </si>
  <si>
    <t>El Paso</t>
  </si>
  <si>
    <t>Hudspeth</t>
  </si>
  <si>
    <t>Jeff Davis</t>
  </si>
  <si>
    <t>Presidio</t>
  </si>
  <si>
    <t>Erath</t>
  </si>
  <si>
    <t>Hood</t>
  </si>
  <si>
    <t>Jack</t>
  </si>
  <si>
    <t>Johnson</t>
  </si>
  <si>
    <t>Palo Pinto</t>
  </si>
  <si>
    <t>Parker</t>
  </si>
  <si>
    <t>Somervell</t>
  </si>
  <si>
    <t>Tarrant</t>
  </si>
  <si>
    <t>Wise</t>
  </si>
  <si>
    <t>Brazoria</t>
  </si>
  <si>
    <t>Fort Bend</t>
  </si>
  <si>
    <t>Galveston</t>
  </si>
  <si>
    <t>Montgomery</t>
  </si>
  <si>
    <t>Waller</t>
  </si>
  <si>
    <t>Bailey</t>
  </si>
  <si>
    <t>Castro</t>
  </si>
  <si>
    <t>Cochran</t>
  </si>
  <si>
    <t>Crosby</t>
  </si>
  <si>
    <t>Dawson</t>
  </si>
  <si>
    <t>Floyd</t>
  </si>
  <si>
    <t>Gaines</t>
  </si>
  <si>
    <t>Garza</t>
  </si>
  <si>
    <t>Hale</t>
  </si>
  <si>
    <t>Hockley</t>
  </si>
  <si>
    <t>Lamb</t>
  </si>
  <si>
    <t>Lubbock</t>
  </si>
  <si>
    <t>Lynn</t>
  </si>
  <si>
    <t>Parmer</t>
  </si>
  <si>
    <t>Swisher</t>
  </si>
  <si>
    <t>Terry</t>
  </si>
  <si>
    <t>Yoakum</t>
  </si>
  <si>
    <t>Angelina</t>
  </si>
  <si>
    <t>Houston</t>
  </si>
  <si>
    <t>Nacogdoches</t>
  </si>
  <si>
    <t>Polk</t>
  </si>
  <si>
    <t>Sabine</t>
  </si>
  <si>
    <t>San Augustine</t>
  </si>
  <si>
    <t>San Jacinto</t>
  </si>
  <si>
    <t>Shelby</t>
  </si>
  <si>
    <t>Trinity</t>
  </si>
  <si>
    <t>Dimmit</t>
  </si>
  <si>
    <t>Duval</t>
  </si>
  <si>
    <t>Kinney</t>
  </si>
  <si>
    <t>La Salle</t>
  </si>
  <si>
    <t>Maverick</t>
  </si>
  <si>
    <t>Val Verde</t>
  </si>
  <si>
    <t>Webb</t>
  </si>
  <si>
    <t>Zavala</t>
  </si>
  <si>
    <t>Andrews</t>
  </si>
  <si>
    <t>Crane</t>
  </si>
  <si>
    <t>Ector</t>
  </si>
  <si>
    <t>Loving</t>
  </si>
  <si>
    <t>Martin</t>
  </si>
  <si>
    <t>Midland</t>
  </si>
  <si>
    <t>Pecos</t>
  </si>
  <si>
    <t>Reeves</t>
  </si>
  <si>
    <t>Terrell</t>
  </si>
  <si>
    <t>Upton</t>
  </si>
  <si>
    <t>Ward</t>
  </si>
  <si>
    <t>Winkler</t>
  </si>
  <si>
    <t>Delta</t>
  </si>
  <si>
    <t>Fannin</t>
  </si>
  <si>
    <t>Franklin</t>
  </si>
  <si>
    <t>Grayson</t>
  </si>
  <si>
    <t>Hopkins</t>
  </si>
  <si>
    <t>Hunt</t>
  </si>
  <si>
    <t>Lamar</t>
  </si>
  <si>
    <t>Rains</t>
  </si>
  <si>
    <t>Red River</t>
  </si>
  <si>
    <t>Brooks</t>
  </si>
  <si>
    <t>Cameron</t>
  </si>
  <si>
    <t>Hidalgo</t>
  </si>
  <si>
    <t>Jim Hogg</t>
  </si>
  <si>
    <t>Kenedy</t>
  </si>
  <si>
    <t>Starr</t>
  </si>
  <si>
    <t>Willacy</t>
  </si>
  <si>
    <t>Zapata</t>
  </si>
  <si>
    <t>Atascosa</t>
  </si>
  <si>
    <t>Bandera</t>
  </si>
  <si>
    <t>Bexar</t>
  </si>
  <si>
    <t>Comal</t>
  </si>
  <si>
    <t>Frio</t>
  </si>
  <si>
    <t>Guadalupe</t>
  </si>
  <si>
    <t>Kendall</t>
  </si>
  <si>
    <t>Kerr</t>
  </si>
  <si>
    <t>McMullen</t>
  </si>
  <si>
    <t>Medina</t>
  </si>
  <si>
    <t>Uvalde</t>
  </si>
  <si>
    <t>Wilson</t>
  </si>
  <si>
    <t>Coke</t>
  </si>
  <si>
    <t>Concho</t>
  </si>
  <si>
    <t>Crockett</t>
  </si>
  <si>
    <t>Edwards</t>
  </si>
  <si>
    <t>Glasscock</t>
  </si>
  <si>
    <t>Irion</t>
  </si>
  <si>
    <t>Kimble</t>
  </si>
  <si>
    <t>Menard</t>
  </si>
  <si>
    <t>Reagan</t>
  </si>
  <si>
    <t>Real</t>
  </si>
  <si>
    <t>Runnels</t>
  </si>
  <si>
    <t>Schleicher</t>
  </si>
  <si>
    <t>Sterling</t>
  </si>
  <si>
    <t>Sutton</t>
  </si>
  <si>
    <t>Tom Green</t>
  </si>
  <si>
    <t>Anderson</t>
  </si>
  <si>
    <t>Cherokee</t>
  </si>
  <si>
    <t>Gregg</t>
  </si>
  <si>
    <t>Henderson</t>
  </si>
  <si>
    <t>Rusk</t>
  </si>
  <si>
    <t>Smith</t>
  </si>
  <si>
    <t>Van Zandt</t>
  </si>
  <si>
    <t>Wood</t>
  </si>
  <si>
    <t>Bell</t>
  </si>
  <si>
    <t>Bosque</t>
  </si>
  <si>
    <t>Coryell</t>
  </si>
  <si>
    <t>Falls</t>
  </si>
  <si>
    <t>Hamilton</t>
  </si>
  <si>
    <t>Hill</t>
  </si>
  <si>
    <t>Limestone</t>
  </si>
  <si>
    <t>McLennan</t>
  </si>
  <si>
    <t>Archer</t>
  </si>
  <si>
    <t>Baylor</t>
  </si>
  <si>
    <t>Clay</t>
  </si>
  <si>
    <t>Cooke</t>
  </si>
  <si>
    <t>Montague</t>
  </si>
  <si>
    <t>Throckmorton</t>
  </si>
  <si>
    <t>Wichita</t>
  </si>
  <si>
    <t>Wilbarger</t>
  </si>
  <si>
    <t>Young</t>
  </si>
  <si>
    <t>Austin</t>
  </si>
  <si>
    <t>Calhoun</t>
  </si>
  <si>
    <t>Colorado</t>
  </si>
  <si>
    <t>DeWitt</t>
  </si>
  <si>
    <t>Fayette</t>
  </si>
  <si>
    <t>Gonzales</t>
  </si>
  <si>
    <t>Jackson</t>
  </si>
  <si>
    <t>Lavaca</t>
  </si>
  <si>
    <t>Matagorda</t>
  </si>
  <si>
    <t>Victoria</t>
  </si>
  <si>
    <t>Wharton</t>
  </si>
  <si>
    <t xml:space="preserve"> Total Design Traffic in One Direction (million ESALs)</t>
  </si>
  <si>
    <t>CTB</t>
  </si>
  <si>
    <t xml:space="preserve"> E. Support Layers Information</t>
  </si>
  <si>
    <t xml:space="preserve"> To run the program, follow the steps below.
 1. Provide input values.
 2. Press "Ctrl" + "k."</t>
  </si>
  <si>
    <t>ATB</t>
  </si>
  <si>
    <t>HMA</t>
  </si>
  <si>
    <r>
      <rPr>
        <b/>
        <sz val="10"/>
        <color theme="1"/>
        <rFont val="Arial"/>
        <family val="2"/>
      </rPr>
      <t xml:space="preserve">Version: </t>
    </r>
    <r>
      <rPr>
        <b/>
        <u/>
        <sz val="10"/>
        <color theme="1"/>
        <rFont val="Arial"/>
        <family val="2"/>
      </rPr>
      <t>TxCRCP-ME v07b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</si>
</sst>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_ 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CC"/>
      <name val="Arial"/>
      <family val="2"/>
    </font>
    <font>
      <sz val="10"/>
      <name val="Arial"/>
      <family val="2"/>
    </font>
    <font>
      <sz val="8"/>
      <name val="돋움"/>
      <family val="3"/>
      <charset val="129"/>
    </font>
    <font>
      <sz val="10"/>
      <color indexed="8"/>
      <name val="Arial"/>
      <family val="2"/>
    </font>
    <font>
      <b/>
      <sz val="12.5"/>
      <color theme="1"/>
      <name val="Arial"/>
      <family val="2"/>
    </font>
    <font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91">
    <xf numFmtId="0" fontId="0" fillId="0" borderId="0"/>
    <xf numFmtId="0" fontId="4" fillId="0" borderId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8" borderId="9" applyNumberFormat="0" applyAlignment="0" applyProtection="0"/>
    <xf numFmtId="0" fontId="18" fillId="9" borderId="10" applyNumberFormat="0" applyAlignment="0" applyProtection="0"/>
    <xf numFmtId="0" fontId="19" fillId="9" borderId="9" applyNumberFormat="0" applyAlignment="0" applyProtection="0"/>
    <xf numFmtId="0" fontId="20" fillId="0" borderId="11" applyNumberFormat="0" applyFill="0" applyAlignment="0" applyProtection="0"/>
    <xf numFmtId="0" fontId="21" fillId="10" borderId="12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24" fillId="23" borderId="0" applyNumberFormat="0" applyBorder="0" applyAlignment="0" applyProtection="0"/>
    <xf numFmtId="0" fontId="2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4" fillId="35" borderId="0" applyNumberFormat="0" applyBorder="0" applyAlignment="0" applyProtection="0"/>
    <xf numFmtId="0" fontId="3" fillId="0" borderId="0"/>
    <xf numFmtId="0" fontId="3" fillId="11" borderId="13" applyNumberFormat="0" applyFont="0" applyAlignment="0" applyProtection="0"/>
    <xf numFmtId="0" fontId="2" fillId="0" borderId="0"/>
    <xf numFmtId="0" fontId="2" fillId="11" borderId="1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6" fillId="0" borderId="0"/>
    <xf numFmtId="0" fontId="1" fillId="0" borderId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  <xf numFmtId="0" fontId="1" fillId="0" borderId="0"/>
    <xf numFmtId="0" fontId="1" fillId="0" borderId="0"/>
    <xf numFmtId="0" fontId="1" fillId="11" borderId="13" applyNumberFormat="0" applyFont="0" applyAlignment="0" applyProtection="0"/>
    <xf numFmtId="0" fontId="1" fillId="0" borderId="0"/>
    <xf numFmtId="0" fontId="1" fillId="11" borderId="1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" fillId="0" borderId="0"/>
  </cellStyleXfs>
  <cellXfs count="121">
    <xf numFmtId="0" fontId="0" fillId="0" borderId="0" xfId="0"/>
    <xf numFmtId="0" fontId="5" fillId="0" borderId="1" xfId="1" applyFont="1" applyBorder="1" applyAlignment="1">
      <alignment horizontal="center" vertical="center"/>
    </xf>
    <xf numFmtId="1" fontId="5" fillId="0" borderId="1" xfId="1" applyNumberFormat="1" applyFont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" fontId="6" fillId="2" borderId="1" xfId="1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1" xfId="0" applyFont="1" applyFill="1" applyBorder="1" applyAlignment="1">
      <alignment vertical="center"/>
    </xf>
    <xf numFmtId="49" fontId="6" fillId="4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2" fontId="28" fillId="0" borderId="1" xfId="90" applyNumberFormat="1" applyFont="1" applyBorder="1" applyAlignment="1">
      <alignment horizontal="center" vertical="center"/>
    </xf>
    <xf numFmtId="0" fontId="28" fillId="0" borderId="1" xfId="90" applyFont="1" applyBorder="1" applyAlignment="1">
      <alignment horizontal="center" vertical="center"/>
    </xf>
    <xf numFmtId="164" fontId="28" fillId="0" borderId="1" xfId="90" applyNumberFormat="1" applyFont="1" applyBorder="1" applyAlignment="1">
      <alignment horizontal="center" vertical="center"/>
    </xf>
    <xf numFmtId="0" fontId="5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" fontId="5" fillId="0" borderId="4" xfId="0" applyNumberFormat="1" applyFont="1" applyBorder="1" applyAlignment="1" applyProtection="1">
      <alignment horizontal="center" vertical="center"/>
      <protection locked="0"/>
    </xf>
    <xf numFmtId="2" fontId="5" fillId="0" borderId="5" xfId="0" applyNumberFormat="1" applyFont="1" applyBorder="1" applyAlignment="1" applyProtection="1">
      <alignment horizontal="center" vertical="center"/>
      <protection locked="0"/>
    </xf>
    <xf numFmtId="11" fontId="5" fillId="0" borderId="4" xfId="0" applyNumberFormat="1" applyFont="1" applyBorder="1" applyAlignment="1" applyProtection="1">
      <alignment horizontal="center" vertical="center"/>
      <protection locked="0"/>
    </xf>
    <xf numFmtId="164" fontId="5" fillId="0" borderId="4" xfId="0" applyNumberFormat="1" applyFont="1" applyBorder="1" applyAlignment="1" applyProtection="1">
      <alignment horizontal="center" vertical="center"/>
      <protection locked="0"/>
    </xf>
    <xf numFmtId="165" fontId="5" fillId="0" borderId="4" xfId="0" applyNumberFormat="1" applyFont="1" applyBorder="1" applyAlignment="1" applyProtection="1">
      <alignment horizontal="center" vertical="center"/>
      <protection locked="0"/>
    </xf>
    <xf numFmtId="11" fontId="5" fillId="0" borderId="3" xfId="0" applyNumberFormat="1" applyFont="1" applyBorder="1" applyAlignment="1" applyProtection="1">
      <alignment horizontal="center" vertical="center"/>
      <protection locked="0"/>
    </xf>
    <xf numFmtId="2" fontId="5" fillId="0" borderId="4" xfId="0" applyNumberFormat="1" applyFon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2" fontId="5" fillId="0" borderId="1" xfId="0" applyNumberFormat="1" applyFont="1" applyBorder="1" applyAlignment="1" applyProtection="1">
      <alignment horizontal="center" vertical="center"/>
      <protection locked="0"/>
    </xf>
    <xf numFmtId="11" fontId="5" fillId="0" borderId="1" xfId="0" applyNumberFormat="1" applyFont="1" applyBorder="1" applyAlignment="1" applyProtection="1">
      <alignment horizontal="center" vertical="center"/>
      <protection locked="0"/>
    </xf>
    <xf numFmtId="164" fontId="5" fillId="0" borderId="1" xfId="0" applyNumberFormat="1" applyFont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 wrapText="1"/>
    </xf>
    <xf numFmtId="1" fontId="6" fillId="4" borderId="1" xfId="0" applyNumberFormat="1" applyFont="1" applyFill="1" applyBorder="1" applyAlignment="1" applyProtection="1">
      <alignment horizontal="center" vertical="center" wrapText="1"/>
    </xf>
    <xf numFmtId="11" fontId="6" fillId="4" borderId="1" xfId="0" applyNumberFormat="1" applyFont="1" applyFill="1" applyBorder="1" applyAlignment="1" applyProtection="1">
      <alignment horizontal="center" vertical="center" wrapText="1"/>
    </xf>
    <xf numFmtId="2" fontId="6" fillId="4" borderId="1" xfId="0" applyNumberFormat="1" applyFont="1" applyFill="1" applyBorder="1" applyAlignment="1" applyProtection="1">
      <alignment horizontal="center" vertical="center" wrapText="1"/>
    </xf>
    <xf numFmtId="165" fontId="6" fillId="4" borderId="1" xfId="0" applyNumberFormat="1" applyFont="1" applyFill="1" applyBorder="1" applyAlignment="1" applyProtection="1">
      <alignment horizontal="center" vertical="center" wrapText="1"/>
    </xf>
    <xf numFmtId="0" fontId="30" fillId="0" borderId="0" xfId="0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" fontId="6" fillId="4" borderId="1" xfId="1" applyNumberFormat="1" applyFont="1" applyFill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5" fillId="36" borderId="1" xfId="0" applyFont="1" applyFill="1" applyBorder="1" applyAlignment="1" applyProtection="1">
      <alignment vertical="center"/>
    </xf>
    <xf numFmtId="0" fontId="5" fillId="36" borderId="1" xfId="0" applyFont="1" applyFill="1" applyBorder="1" applyAlignment="1" applyProtection="1">
      <alignment horizontal="center" vertical="center"/>
      <protection locked="0"/>
    </xf>
    <xf numFmtId="3" fontId="5" fillId="36" borderId="1" xfId="0" applyNumberFormat="1" applyFont="1" applyFill="1" applyBorder="1" applyAlignment="1" applyProtection="1">
      <alignment horizontal="center" vertical="center"/>
      <protection locked="0"/>
    </xf>
    <xf numFmtId="1" fontId="5" fillId="36" borderId="1" xfId="0" applyNumberFormat="1" applyFont="1" applyFill="1" applyBorder="1" applyAlignment="1" applyProtection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5" fillId="0" borderId="1" xfId="0" applyFont="1" applyFill="1" applyBorder="1" applyAlignment="1" applyProtection="1">
      <alignment vertical="center"/>
    </xf>
    <xf numFmtId="1" fontId="5" fillId="0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6" borderId="1" xfId="0" applyFont="1" applyFill="1" applyBorder="1" applyAlignment="1">
      <alignment horizontal="center" vertical="center"/>
    </xf>
    <xf numFmtId="0" fontId="5" fillId="0" borderId="0" xfId="0" applyFont="1"/>
    <xf numFmtId="0" fontId="5" fillId="0" borderId="2" xfId="1" applyFont="1" applyFill="1" applyBorder="1" applyAlignment="1">
      <alignment horizontal="center" vertical="center"/>
    </xf>
    <xf numFmtId="0" fontId="5" fillId="36" borderId="2" xfId="1" applyFont="1" applyFill="1" applyBorder="1" applyAlignment="1">
      <alignment horizontal="center" vertical="center"/>
    </xf>
    <xf numFmtId="0" fontId="5" fillId="36" borderId="1" xfId="1" applyFont="1" applyFill="1" applyBorder="1" applyAlignment="1">
      <alignment horizontal="center" vertical="center"/>
    </xf>
    <xf numFmtId="1" fontId="5" fillId="36" borderId="1" xfId="1" applyNumberFormat="1" applyFont="1" applyFill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36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3" fontId="5" fillId="0" borderId="1" xfId="0" applyNumberFormat="1" applyFont="1" applyFill="1" applyBorder="1" applyAlignment="1" applyProtection="1">
      <alignment horizontal="center" vertical="center"/>
    </xf>
    <xf numFmtId="164" fontId="5" fillId="37" borderId="1" xfId="0" applyNumberFormat="1" applyFont="1" applyFill="1" applyBorder="1" applyAlignment="1" applyProtection="1">
      <alignment horizontal="center" vertical="center"/>
    </xf>
    <xf numFmtId="0" fontId="32" fillId="0" borderId="0" xfId="0" applyFont="1" applyAlignment="1" applyProtection="1">
      <alignment vertical="center"/>
    </xf>
    <xf numFmtId="0" fontId="33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left" vertical="center"/>
    </xf>
    <xf numFmtId="0" fontId="5" fillId="0" borderId="21" xfId="0" applyFont="1" applyBorder="1" applyAlignment="1" applyProtection="1">
      <alignment horizontal="left" vertical="center" wrapText="1"/>
    </xf>
    <xf numFmtId="0" fontId="5" fillId="0" borderId="17" xfId="0" applyFont="1" applyBorder="1" applyAlignment="1" applyProtection="1">
      <alignment horizontal="left" vertical="center" wrapText="1"/>
    </xf>
    <xf numFmtId="0" fontId="5" fillId="0" borderId="16" xfId="0" applyFont="1" applyBorder="1" applyAlignment="1" applyProtection="1">
      <alignment horizontal="left" vertical="center" wrapText="1"/>
    </xf>
    <xf numFmtId="0" fontId="5" fillId="0" borderId="24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5" fillId="0" borderId="15" xfId="0" applyFont="1" applyBorder="1" applyAlignment="1" applyProtection="1">
      <alignment horizontal="left" vertical="center" wrapText="1"/>
    </xf>
    <xf numFmtId="0" fontId="5" fillId="0" borderId="3" xfId="0" applyFont="1" applyBorder="1" applyAlignment="1" applyProtection="1">
      <alignment horizontal="left" vertical="center" wrapText="1"/>
    </xf>
    <xf numFmtId="0" fontId="5" fillId="0" borderId="22" xfId="0" applyFont="1" applyBorder="1" applyAlignment="1" applyProtection="1">
      <alignment horizontal="left" vertical="center" wrapText="1"/>
    </xf>
    <xf numFmtId="0" fontId="5" fillId="0" borderId="5" xfId="0" applyFont="1" applyBorder="1" applyAlignment="1" applyProtection="1">
      <alignment horizontal="left" vertical="center" wrapText="1"/>
    </xf>
    <xf numFmtId="0" fontId="29" fillId="0" borderId="0" xfId="0" applyFont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8" fillId="0" borderId="0" xfId="0" applyFont="1" applyBorder="1" applyAlignment="1" applyProtection="1">
      <alignment horizontal="left" vertical="center"/>
    </xf>
    <xf numFmtId="0" fontId="9" fillId="0" borderId="22" xfId="0" applyFont="1" applyFill="1" applyBorder="1" applyAlignment="1" applyProtection="1">
      <alignment horizontal="left" vertical="center"/>
    </xf>
    <xf numFmtId="0" fontId="9" fillId="0" borderId="17" xfId="0" applyFont="1" applyFill="1" applyBorder="1" applyAlignment="1" applyProtection="1">
      <alignment horizontal="left" vertical="center"/>
    </xf>
    <xf numFmtId="0" fontId="9" fillId="0" borderId="23" xfId="0" applyFont="1" applyFill="1" applyBorder="1" applyAlignment="1" applyProtection="1">
      <alignment horizontal="left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9" fillId="36" borderId="2" xfId="0" applyFont="1" applyFill="1" applyBorder="1" applyAlignment="1">
      <alignment horizontal="center" vertical="center"/>
    </xf>
    <xf numFmtId="0" fontId="9" fillId="36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/>
    </xf>
    <xf numFmtId="2" fontId="28" fillId="0" borderId="2" xfId="0" applyNumberFormat="1" applyFont="1" applyBorder="1" applyAlignment="1">
      <alignment horizontal="center" vertical="center"/>
    </xf>
    <xf numFmtId="2" fontId="28" fillId="0" borderId="1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2" fontId="28" fillId="0" borderId="16" xfId="0" applyNumberFormat="1" applyFont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5" xfId="0" applyNumberFormat="1" applyFont="1" applyBorder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/>
    </xf>
    <xf numFmtId="0" fontId="5" fillId="0" borderId="18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</cellXfs>
  <cellStyles count="91">
    <cellStyle name="20% - Accent1" xfId="19" builtinId="30" customBuiltin="1"/>
    <cellStyle name="20% - Accent1 2" xfId="46"/>
    <cellStyle name="20% - Accent1 2 2" xfId="78"/>
    <cellStyle name="20% - Accent1 3" xfId="60"/>
    <cellStyle name="20% - Accent2" xfId="23" builtinId="34" customBuiltin="1"/>
    <cellStyle name="20% - Accent2 2" xfId="48"/>
    <cellStyle name="20% - Accent2 2 2" xfId="80"/>
    <cellStyle name="20% - Accent2 3" xfId="62"/>
    <cellStyle name="20% - Accent3" xfId="27" builtinId="38" customBuiltin="1"/>
    <cellStyle name="20% - Accent3 2" xfId="50"/>
    <cellStyle name="20% - Accent3 2 2" xfId="82"/>
    <cellStyle name="20% - Accent3 3" xfId="64"/>
    <cellStyle name="20% - Accent4" xfId="31" builtinId="42" customBuiltin="1"/>
    <cellStyle name="20% - Accent4 2" xfId="52"/>
    <cellStyle name="20% - Accent4 2 2" xfId="84"/>
    <cellStyle name="20% - Accent4 3" xfId="66"/>
    <cellStyle name="20% - Accent5" xfId="35" builtinId="46" customBuiltin="1"/>
    <cellStyle name="20% - Accent5 2" xfId="54"/>
    <cellStyle name="20% - Accent5 2 2" xfId="86"/>
    <cellStyle name="20% - Accent5 3" xfId="68"/>
    <cellStyle name="20% - Accent6" xfId="39" builtinId="50" customBuiltin="1"/>
    <cellStyle name="20% - Accent6 2" xfId="56"/>
    <cellStyle name="20% - Accent6 2 2" xfId="88"/>
    <cellStyle name="20% - Accent6 3" xfId="70"/>
    <cellStyle name="40% - Accent1" xfId="20" builtinId="31" customBuiltin="1"/>
    <cellStyle name="40% - Accent1 2" xfId="47"/>
    <cellStyle name="40% - Accent1 2 2" xfId="79"/>
    <cellStyle name="40% - Accent1 3" xfId="61"/>
    <cellStyle name="40% - Accent2" xfId="24" builtinId="35" customBuiltin="1"/>
    <cellStyle name="40% - Accent2 2" xfId="49"/>
    <cellStyle name="40% - Accent2 2 2" xfId="81"/>
    <cellStyle name="40% - Accent2 3" xfId="63"/>
    <cellStyle name="40% - Accent3" xfId="28" builtinId="39" customBuiltin="1"/>
    <cellStyle name="40% - Accent3 2" xfId="51"/>
    <cellStyle name="40% - Accent3 2 2" xfId="83"/>
    <cellStyle name="40% - Accent3 3" xfId="65"/>
    <cellStyle name="40% - Accent4" xfId="32" builtinId="43" customBuiltin="1"/>
    <cellStyle name="40% - Accent4 2" xfId="53"/>
    <cellStyle name="40% - Accent4 2 2" xfId="85"/>
    <cellStyle name="40% - Accent4 3" xfId="67"/>
    <cellStyle name="40% - Accent5" xfId="36" builtinId="47" customBuiltin="1"/>
    <cellStyle name="40% - Accent5 2" xfId="55"/>
    <cellStyle name="40% - Accent5 2 2" xfId="87"/>
    <cellStyle name="40% - Accent5 3" xfId="69"/>
    <cellStyle name="40% - Accent6" xfId="40" builtinId="51" customBuiltin="1"/>
    <cellStyle name="40% - Accent6 2" xfId="57"/>
    <cellStyle name="40% - Accent6 2 2" xfId="89"/>
    <cellStyle name="40% - Accent6 3" xfId="7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/>
    <cellStyle name="Normal 2 2" xfId="73"/>
    <cellStyle name="Normal 3" xfId="42"/>
    <cellStyle name="Normal 3 2" xfId="74"/>
    <cellStyle name="Normal 4" xfId="44"/>
    <cellStyle name="Normal 4 2" xfId="76"/>
    <cellStyle name="Normal 5" xfId="58"/>
    <cellStyle name="Normal 5 2" xfId="90"/>
    <cellStyle name="Normal 6" xfId="72"/>
    <cellStyle name="Normal 7" xfId="59"/>
    <cellStyle name="Note 2" xfId="43"/>
    <cellStyle name="Note 2 2" xfId="75"/>
    <cellStyle name="Note 3" xfId="45"/>
    <cellStyle name="Note 3 2" xfId="77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EA0000"/>
      <color rgb="FFFF1515"/>
      <color rgb="FFFF0000"/>
      <color rgb="FFFF5050"/>
      <color rgb="FFF79646"/>
      <color rgb="FF00FF00"/>
      <color rgb="FF66FFFF"/>
      <color rgb="FF00FFFF"/>
      <color rgb="FFFF7C8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Damage vs. Time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59383718957091"/>
          <c:y val="0.10675670182461665"/>
          <c:w val="0.79469180098322001"/>
          <c:h val="0.74759347516652064"/>
        </c:manualLayout>
      </c:layout>
      <c:scatterChart>
        <c:scatterStyle val="lineMarker"/>
        <c:varyColors val="0"/>
        <c:ser>
          <c:idx val="0"/>
          <c:order val="0"/>
          <c:tx>
            <c:strRef>
              <c:f>'Analysis Result'!$L$1</c:f>
              <c:strCache>
                <c:ptCount val="1"/>
                <c:pt idx="0">
                  <c:v>Cumulative
Damage</c:v>
                </c:pt>
              </c:strCache>
            </c:strRef>
          </c:tx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'Analysis Result'!$A$2:$A$361</c:f>
              <c:numCache>
                <c:formatCode>0</c:formatCode>
                <c:ptCount val="3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</c:numCache>
            </c:numRef>
          </c:xVal>
          <c:yVal>
            <c:numRef>
              <c:f>'Analysis Result'!$L$2:$L$361</c:f>
              <c:numCache>
                <c:formatCode>0.00E+00</c:formatCode>
                <c:ptCount val="360"/>
                <c:pt idx="0">
                  <c:v>1.2397962342123509E-2</c:v>
                </c:pt>
                <c:pt idx="1">
                  <c:v>2.3815868696257056E-2</c:v>
                </c:pt>
                <c:pt idx="2">
                  <c:v>3.6525075859496638E-2</c:v>
                </c:pt>
                <c:pt idx="3">
                  <c:v>5.1462169998057299E-2</c:v>
                </c:pt>
                <c:pt idx="4">
                  <c:v>6.8165355955266155E-2</c:v>
                </c:pt>
                <c:pt idx="5">
                  <c:v>8.5287077414314363E-2</c:v>
                </c:pt>
                <c:pt idx="6">
                  <c:v>0.10105077361005428</c:v>
                </c:pt>
                <c:pt idx="7">
                  <c:v>0.1148941207497762</c:v>
                </c:pt>
                <c:pt idx="8">
                  <c:v>0.12725321486990426</c:v>
                </c:pt>
                <c:pt idx="9">
                  <c:v>0.13828044597977604</c:v>
                </c:pt>
                <c:pt idx="10">
                  <c:v>0.14819688740962914</c:v>
                </c:pt>
                <c:pt idx="11">
                  <c:v>0.15758806752290874</c:v>
                </c:pt>
                <c:pt idx="12">
                  <c:v>0.16688026522448529</c:v>
                </c:pt>
                <c:pt idx="13">
                  <c:v>0.17700111493587667</c:v>
                </c:pt>
                <c:pt idx="14">
                  <c:v>0.18879831620660656</c:v>
                </c:pt>
                <c:pt idx="15">
                  <c:v>0.20298470148973818</c:v>
                </c:pt>
                <c:pt idx="16">
                  <c:v>0.21905842190941249</c:v>
                </c:pt>
                <c:pt idx="17">
                  <c:v>0.23567109844240899</c:v>
                </c:pt>
                <c:pt idx="18">
                  <c:v>0.25104950489814343</c:v>
                </c:pt>
                <c:pt idx="19">
                  <c:v>0.26460692792422891</c:v>
                </c:pt>
                <c:pt idx="20">
                  <c:v>0.27674684699056462</c:v>
                </c:pt>
                <c:pt idx="21">
                  <c:v>0.28760374474578521</c:v>
                </c:pt>
                <c:pt idx="22">
                  <c:v>0.29738529296908034</c:v>
                </c:pt>
                <c:pt idx="23">
                  <c:v>0.30666347113697612</c:v>
                </c:pt>
                <c:pt idx="24">
                  <c:v>0.31585638300781932</c:v>
                </c:pt>
                <c:pt idx="25">
                  <c:v>0.32588148194205191</c:v>
                </c:pt>
                <c:pt idx="26">
                  <c:v>0.337579936852058</c:v>
                </c:pt>
                <c:pt idx="27">
                  <c:v>0.35166101238236736</c:v>
                </c:pt>
                <c:pt idx="28">
                  <c:v>0.36762769139047824</c:v>
                </c:pt>
                <c:pt idx="29">
                  <c:v>0.38413967903621371</c:v>
                </c:pt>
                <c:pt idx="30">
                  <c:v>0.39943188928372048</c:v>
                </c:pt>
                <c:pt idx="31">
                  <c:v>0.41291840340957858</c:v>
                </c:pt>
                <c:pt idx="32">
                  <c:v>0.42499896730907571</c:v>
                </c:pt>
                <c:pt idx="33">
                  <c:v>0.43580607994379711</c:v>
                </c:pt>
                <c:pt idx="34">
                  <c:v>0.44554547092311392</c:v>
                </c:pt>
                <c:pt idx="35">
                  <c:v>0.4547861716578086</c:v>
                </c:pt>
                <c:pt idx="36">
                  <c:v>0.46394435754021374</c:v>
                </c:pt>
                <c:pt idx="37">
                  <c:v>0.47393432267439001</c:v>
                </c:pt>
                <c:pt idx="38">
                  <c:v>0.48559493477944377</c:v>
                </c:pt>
                <c:pt idx="39">
                  <c:v>0.49963402095845599</c:v>
                </c:pt>
                <c:pt idx="40">
                  <c:v>0.51555644460289418</c:v>
                </c:pt>
                <c:pt idx="41">
                  <c:v>0.53202539372023572</c:v>
                </c:pt>
                <c:pt idx="42">
                  <c:v>0.54727961139894532</c:v>
                </c:pt>
                <c:pt idx="43">
                  <c:v>0.56073396963976785</c:v>
                </c:pt>
                <c:pt idx="44">
                  <c:v>0.5727868958795741</c:v>
                </c:pt>
                <c:pt idx="45">
                  <c:v>0.58357024840270688</c:v>
                </c:pt>
                <c:pt idx="46">
                  <c:v>0.59328905059233528</c:v>
                </c:pt>
                <c:pt idx="47">
                  <c:v>0.60251104814451761</c:v>
                </c:pt>
                <c:pt idx="48">
                  <c:v>0.61165154832759272</c:v>
                </c:pt>
                <c:pt idx="49">
                  <c:v>0.62162327422650887</c:v>
                </c:pt>
                <c:pt idx="50">
                  <c:v>0.63326388257813049</c:v>
                </c:pt>
                <c:pt idx="51">
                  <c:v>0.64728039091365552</c:v>
                </c:pt>
                <c:pt idx="52">
                  <c:v>0.66317863100090357</c:v>
                </c:pt>
                <c:pt idx="53">
                  <c:v>0.67962369931203659</c:v>
                </c:pt>
                <c:pt idx="54">
                  <c:v>0.69485652839544143</c:v>
                </c:pt>
                <c:pt idx="55">
                  <c:v>0.70829253299291484</c:v>
                </c:pt>
                <c:pt idx="56">
                  <c:v>0.72032947633069588</c:v>
                </c:pt>
                <c:pt idx="57">
                  <c:v>0.73109891559059825</c:v>
                </c:pt>
                <c:pt idx="58">
                  <c:v>0.74080551692225971</c:v>
                </c:pt>
                <c:pt idx="59">
                  <c:v>0.75001630392704433</c:v>
                </c:pt>
                <c:pt idx="60">
                  <c:v>0.75914608712794551</c:v>
                </c:pt>
                <c:pt idx="61">
                  <c:v>0.76910664439468657</c:v>
                </c:pt>
                <c:pt idx="62">
                  <c:v>0.7807348801053019</c:v>
                </c:pt>
                <c:pt idx="63">
                  <c:v>0.79473728858869852</c:v>
                </c:pt>
                <c:pt idx="64">
                  <c:v>0.81062028593701307</c:v>
                </c:pt>
                <c:pt idx="65">
                  <c:v>0.82705016833239542</c:v>
                </c:pt>
                <c:pt idx="66">
                  <c:v>0.84226928004884105</c:v>
                </c:pt>
                <c:pt idx="67">
                  <c:v>0.85569341695137724</c:v>
                </c:pt>
                <c:pt idx="68">
                  <c:v>0.86771994370575078</c:v>
                </c:pt>
                <c:pt idx="69">
                  <c:v>0.87848024602949826</c:v>
                </c:pt>
                <c:pt idx="70">
                  <c:v>0.88817877599057427</c:v>
                </c:pt>
                <c:pt idx="71">
                  <c:v>0.89738209402927005</c:v>
                </c:pt>
                <c:pt idx="72">
                  <c:v>0.90650468804620876</c:v>
                </c:pt>
                <c:pt idx="73">
                  <c:v>0.91645770334981003</c:v>
                </c:pt>
                <c:pt idx="74">
                  <c:v>0.92807753030819429</c:v>
                </c:pt>
                <c:pt idx="75">
                  <c:v>0.94207029653100149</c:v>
                </c:pt>
                <c:pt idx="76">
                  <c:v>0.95794280729358083</c:v>
                </c:pt>
                <c:pt idx="77">
                  <c:v>0.97436218135520847</c:v>
                </c:pt>
                <c:pt idx="78">
                  <c:v>0.98957174745571108</c:v>
                </c:pt>
                <c:pt idx="79">
                  <c:v>1.0029875808004036</c:v>
                </c:pt>
                <c:pt idx="80">
                  <c:v>1.0150067807011285</c:v>
                </c:pt>
                <c:pt idx="81">
                  <c:v>1.0257606232177139</c:v>
                </c:pt>
                <c:pt idx="82">
                  <c:v>1.0354534182426443</c:v>
                </c:pt>
                <c:pt idx="83">
                  <c:v>1.0446514036227217</c:v>
                </c:pt>
                <c:pt idx="84">
                  <c:v>1.0537688405241021</c:v>
                </c:pt>
                <c:pt idx="85">
                  <c:v>1.0637164208040688</c:v>
                </c:pt>
                <c:pt idx="86">
                  <c:v>1.0753301610121229</c:v>
                </c:pt>
                <c:pt idx="87">
                  <c:v>1.0893159172362554</c:v>
                </c:pt>
                <c:pt idx="88">
                  <c:v>1.1051807719193465</c:v>
                </c:pt>
                <c:pt idx="89">
                  <c:v>1.1215924424651467</c:v>
                </c:pt>
                <c:pt idx="90">
                  <c:v>1.1367949828090393</c:v>
                </c:pt>
                <c:pt idx="91">
                  <c:v>1.1502046807674953</c:v>
                </c:pt>
                <c:pt idx="92">
                  <c:v>1.1622184463952725</c:v>
                </c:pt>
                <c:pt idx="93">
                  <c:v>1.1729674799798189</c:v>
                </c:pt>
                <c:pt idx="94">
                  <c:v>1.1826559902747713</c:v>
                </c:pt>
                <c:pt idx="95">
                  <c:v>1.1918499774278362</c:v>
                </c:pt>
                <c:pt idx="96">
                  <c:v>1.2009635344027583</c:v>
                </c:pt>
                <c:pt idx="97">
                  <c:v>1.2109070119095855</c:v>
                </c:pt>
                <c:pt idx="98">
                  <c:v>1.2225161422549378</c:v>
                </c:pt>
                <c:pt idx="99">
                  <c:v>1.2364965723185328</c:v>
                </c:pt>
                <c:pt idx="100">
                  <c:v>1.2523555916984563</c:v>
                </c:pt>
                <c:pt idx="101">
                  <c:v>1.2687613728020848</c:v>
                </c:pt>
                <c:pt idx="102">
                  <c:v>1.2839585258001693</c:v>
                </c:pt>
                <c:pt idx="103">
                  <c:v>1.2973635054024717</c:v>
                </c:pt>
                <c:pt idx="104">
                  <c:v>1.309373079912574</c:v>
                </c:pt>
                <c:pt idx="105">
                  <c:v>1.3201183942948689</c:v>
                </c:pt>
                <c:pt idx="106">
                  <c:v>1.3298035817337748</c:v>
                </c:pt>
                <c:pt idx="107">
                  <c:v>1.3389944599053971</c:v>
                </c:pt>
                <c:pt idx="108">
                  <c:v>1.3481049919657262</c:v>
                </c:pt>
                <c:pt idx="109">
                  <c:v>1.3580452625835882</c:v>
                </c:pt>
                <c:pt idx="110">
                  <c:v>1.3696507805837324</c:v>
                </c:pt>
                <c:pt idx="111">
                  <c:v>1.3836270266783137</c:v>
                </c:pt>
                <c:pt idx="112">
                  <c:v>1.3994814510310039</c:v>
                </c:pt>
                <c:pt idx="113">
                  <c:v>1.4158825834820004</c:v>
                </c:pt>
                <c:pt idx="114">
                  <c:v>1.4310754742751004</c:v>
                </c:pt>
                <c:pt idx="115">
                  <c:v>1.4444767124572755</c:v>
                </c:pt>
                <c:pt idx="116">
                  <c:v>1.4564829562095862</c:v>
                </c:pt>
                <c:pt idx="117">
                  <c:v>1.4672253084086577</c:v>
                </c:pt>
                <c:pt idx="118">
                  <c:v>1.4769078436571714</c:v>
                </c:pt>
                <c:pt idx="119">
                  <c:v>1.4860962351165146</c:v>
                </c:pt>
                <c:pt idx="120">
                  <c:v>1.4952043426984383</c:v>
                </c:pt>
                <c:pt idx="121">
                  <c:v>1.5051420377569971</c:v>
                </c:pt>
                <c:pt idx="122">
                  <c:v>1.516744648764264</c:v>
                </c:pt>
                <c:pt idx="123">
                  <c:v>1.5307175212488058</c:v>
                </c:pt>
                <c:pt idx="124">
                  <c:v>1.5465682334112791</c:v>
                </c:pt>
                <c:pt idx="125">
                  <c:v>1.5629656032533785</c:v>
                </c:pt>
                <c:pt idx="126">
                  <c:v>1.5781550378329081</c:v>
                </c:pt>
                <c:pt idx="127">
                  <c:v>1.591553236583044</c:v>
                </c:pt>
                <c:pt idx="128">
                  <c:v>1.6035567696741164</c:v>
                </c:pt>
                <c:pt idx="129">
                  <c:v>1.6142967069293657</c:v>
                </c:pt>
                <c:pt idx="130">
                  <c:v>1.623977076220779</c:v>
                </c:pt>
                <c:pt idx="131">
                  <c:v>1.6331634334099652</c:v>
                </c:pt>
                <c:pt idx="132">
                  <c:v>1.6422695543139789</c:v>
                </c:pt>
                <c:pt idx="133">
                  <c:v>1.6522051354178708</c:v>
                </c:pt>
                <c:pt idx="134">
                  <c:v>1.6638053565680386</c:v>
                </c:pt>
                <c:pt idx="135">
                  <c:v>1.6777754511599015</c:v>
                </c:pt>
                <c:pt idx="136">
                  <c:v>1.6936231018408912</c:v>
                </c:pt>
                <c:pt idx="137">
                  <c:v>1.7100173638363587</c:v>
                </c:pt>
                <c:pt idx="138">
                  <c:v>1.7252039393210461</c:v>
                </c:pt>
                <c:pt idx="139">
                  <c:v>1.7385996200050617</c:v>
                </c:pt>
                <c:pt idx="140">
                  <c:v>1.7506009041106367</c:v>
                </c:pt>
                <c:pt idx="141">
                  <c:v>1.7613388348377057</c:v>
                </c:pt>
                <c:pt idx="142">
                  <c:v>1.771017401919466</c:v>
                </c:pt>
                <c:pt idx="143">
                  <c:v>1.7802020640984304</c:v>
                </c:pt>
                <c:pt idx="144">
                  <c:v>1.7893065273612567</c:v>
                </c:pt>
                <c:pt idx="145">
                  <c:v>1.7992403422245284</c:v>
                </c:pt>
                <c:pt idx="146">
                  <c:v>1.8108385639320599</c:v>
                </c:pt>
                <c:pt idx="147">
                  <c:v>1.8248063313606762</c:v>
                </c:pt>
                <c:pt idx="148">
                  <c:v>1.840651413962257</c:v>
                </c:pt>
                <c:pt idx="149">
                  <c:v>1.8570430656430719</c:v>
                </c:pt>
                <c:pt idx="150">
                  <c:v>1.8722272367126587</c:v>
                </c:pt>
                <c:pt idx="151">
                  <c:v>1.8856207971451584</c:v>
                </c:pt>
                <c:pt idx="152">
                  <c:v>1.897620185249234</c:v>
                </c:pt>
                <c:pt idx="153">
                  <c:v>1.9083564223347602</c:v>
                </c:pt>
                <c:pt idx="154">
                  <c:v>1.9180334664217065</c:v>
                </c:pt>
                <c:pt idx="155">
                  <c:v>1.9272166945138411</c:v>
                </c:pt>
                <c:pt idx="156">
                  <c:v>1.9363197536803878</c:v>
                </c:pt>
                <c:pt idx="157">
                  <c:v>1.946252070745899</c:v>
                </c:pt>
                <c:pt idx="158">
                  <c:v>1.9578485949805982</c:v>
                </c:pt>
                <c:pt idx="159">
                  <c:v>1.9718143845070835</c:v>
                </c:pt>
                <c:pt idx="160">
                  <c:v>1.9876572820479572</c:v>
                </c:pt>
                <c:pt idx="161">
                  <c:v>2.0040467103265303</c:v>
                </c:pt>
                <c:pt idx="162">
                  <c:v>2.019228831188701</c:v>
                </c:pt>
                <c:pt idx="163">
                  <c:v>2.0326205818133039</c:v>
                </c:pt>
                <c:pt idx="164">
                  <c:v>2.0446183498443213</c:v>
                </c:pt>
                <c:pt idx="165">
                  <c:v>2.0553531382835972</c:v>
                </c:pt>
                <c:pt idx="166">
                  <c:v>2.06502887836792</c:v>
                </c:pt>
                <c:pt idx="167">
                  <c:v>2.0742108773540942</c:v>
                </c:pt>
                <c:pt idx="168">
                  <c:v>2.0833127319305027</c:v>
                </c:pt>
                <c:pt idx="169">
                  <c:v>2.0932437627642431</c:v>
                </c:pt>
                <c:pt idx="170">
                  <c:v>2.1048388278905992</c:v>
                </c:pt>
                <c:pt idx="171">
                  <c:v>2.1188029156385628</c:v>
                </c:pt>
                <c:pt idx="172">
                  <c:v>2.1346439313954937</c:v>
                </c:pt>
                <c:pt idx="173">
                  <c:v>2.1510314430950284</c:v>
                </c:pt>
                <c:pt idx="174">
                  <c:v>2.166211795056745</c:v>
                </c:pt>
                <c:pt idx="175">
                  <c:v>2.1796019827861834</c:v>
                </c:pt>
                <c:pt idx="176">
                  <c:v>2.1915983505237819</c:v>
                </c:pt>
                <c:pt idx="177">
                  <c:v>2.2023318857376921</c:v>
                </c:pt>
                <c:pt idx="178">
                  <c:v>2.212006496746187</c:v>
                </c:pt>
                <c:pt idx="179">
                  <c:v>2.2211874305903123</c:v>
                </c:pt>
                <c:pt idx="180">
                  <c:v>2.2302882403819115</c:v>
                </c:pt>
                <c:pt idx="181">
                  <c:v>2.240218154680921</c:v>
                </c:pt>
                <c:pt idx="182">
                  <c:v>2.2518119521494926</c:v>
                </c:pt>
                <c:pt idx="183">
                  <c:v>2.2657745601932509</c:v>
                </c:pt>
                <c:pt idx="184">
                  <c:v>2.2816139384002385</c:v>
                </c:pt>
                <c:pt idx="185">
                  <c:v>2.2979997809321766</c:v>
                </c:pt>
                <c:pt idx="186">
                  <c:v>2.313178591120606</c:v>
                </c:pt>
                <c:pt idx="187">
                  <c:v>2.3265674155648015</c:v>
                </c:pt>
                <c:pt idx="188">
                  <c:v>2.338562560906436</c:v>
                </c:pt>
                <c:pt idx="189">
                  <c:v>2.349295001271388</c:v>
                </c:pt>
                <c:pt idx="190">
                  <c:v>2.3589686251447279</c:v>
                </c:pt>
                <c:pt idx="191">
                  <c:v>2.3681486270528693</c:v>
                </c:pt>
                <c:pt idx="192">
                  <c:v>2.3772485220426272</c:v>
                </c:pt>
                <c:pt idx="193">
                  <c:v>2.3871774579991381</c:v>
                </c:pt>
                <c:pt idx="194">
                  <c:v>2.3987701438998079</c:v>
                </c:pt>
                <c:pt idx="195">
                  <c:v>2.4127314535067188</c:v>
                </c:pt>
                <c:pt idx="196">
                  <c:v>2.4285693937471731</c:v>
                </c:pt>
                <c:pt idx="197">
                  <c:v>2.4449537695201093</c:v>
                </c:pt>
                <c:pt idx="198">
                  <c:v>2.4601312239566582</c:v>
                </c:pt>
                <c:pt idx="199">
                  <c:v>2.4735188487802815</c:v>
                </c:pt>
                <c:pt idx="200">
                  <c:v>2.4855129177472937</c:v>
                </c:pt>
                <c:pt idx="201">
                  <c:v>2.4962443934017475</c:v>
                </c:pt>
                <c:pt idx="202">
                  <c:v>2.5059171468976338</c:v>
                </c:pt>
                <c:pt idx="203">
                  <c:v>2.5150963265583877</c:v>
                </c:pt>
                <c:pt idx="204">
                  <c:v>2.5241954138928175</c:v>
                </c:pt>
                <c:pt idx="205">
                  <c:v>2.5341234855383914</c:v>
                </c:pt>
                <c:pt idx="206">
                  <c:v>2.5457151888034302</c:v>
                </c:pt>
                <c:pt idx="207">
                  <c:v>2.5596753498547549</c:v>
                </c:pt>
                <c:pt idx="208">
                  <c:v>2.5755120173202894</c:v>
                </c:pt>
                <c:pt idx="209">
                  <c:v>2.5918950940304222</c:v>
                </c:pt>
                <c:pt idx="210">
                  <c:v>2.6070713469855495</c:v>
                </c:pt>
                <c:pt idx="211">
                  <c:v>2.6204579080498713</c:v>
                </c:pt>
                <c:pt idx="212">
                  <c:v>2.6324510219737922</c:v>
                </c:pt>
                <c:pt idx="213">
                  <c:v>2.6431816411546412</c:v>
                </c:pt>
                <c:pt idx="214">
                  <c:v>2.6528536214724157</c:v>
                </c:pt>
                <c:pt idx="215">
                  <c:v>2.6620320702852207</c:v>
                </c:pt>
                <c:pt idx="216">
                  <c:v>2.6711304393278921</c:v>
                </c:pt>
                <c:pt idx="217">
                  <c:v>2.6810577418554011</c:v>
                </c:pt>
                <c:pt idx="218">
                  <c:v>2.6926485702142129</c:v>
                </c:pt>
                <c:pt idx="219">
                  <c:v>2.7066077080556523</c:v>
                </c:pt>
                <c:pt idx="220">
                  <c:v>2.7224432410186297</c:v>
                </c:pt>
                <c:pt idx="221">
                  <c:v>2.7388251591579618</c:v>
                </c:pt>
                <c:pt idx="222">
                  <c:v>2.7540003399880515</c:v>
                </c:pt>
                <c:pt idx="223">
                  <c:v>2.7673859513111023</c:v>
                </c:pt>
                <c:pt idx="224">
                  <c:v>2.7793782121028614</c:v>
                </c:pt>
                <c:pt idx="225">
                  <c:v>2.7901080657989263</c:v>
                </c:pt>
                <c:pt idx="226">
                  <c:v>2.7997793547169092</c:v>
                </c:pt>
                <c:pt idx="227">
                  <c:v>2.8089571496439363</c:v>
                </c:pt>
                <c:pt idx="228">
                  <c:v>2.8180548757043895</c:v>
                </c:pt>
                <c:pt idx="229">
                  <c:v>2.8279814894011093</c:v>
                </c:pt>
                <c:pt idx="230">
                  <c:v>2.8395715337877001</c:v>
                </c:pt>
                <c:pt idx="231">
                  <c:v>2.8535297543075901</c:v>
                </c:pt>
                <c:pt idx="232">
                  <c:v>2.8693642696687132</c:v>
                </c:pt>
                <c:pt idx="233">
                  <c:v>2.8857451481073886</c:v>
                </c:pt>
                <c:pt idx="234">
                  <c:v>2.9009193663454078</c:v>
                </c:pt>
                <c:pt idx="235">
                  <c:v>2.9143041245462924</c:v>
                </c:pt>
                <c:pt idx="236">
                  <c:v>2.9262956186309572</c:v>
                </c:pt>
                <c:pt idx="237">
                  <c:v>2.9370247840628907</c:v>
                </c:pt>
                <c:pt idx="238">
                  <c:v>2.9466954510366614</c:v>
                </c:pt>
                <c:pt idx="239">
                  <c:v>2.9558726574913647</c:v>
                </c:pt>
                <c:pt idx="240">
                  <c:v>2.9649698046253166</c:v>
                </c:pt>
                <c:pt idx="241">
                  <c:v>2.9748957978305106</c:v>
                </c:pt>
                <c:pt idx="242">
                  <c:v>2.9864851357023006</c:v>
                </c:pt>
                <c:pt idx="243">
                  <c:v>3.00044252916063</c:v>
                </c:pt>
                <c:pt idx="244">
                  <c:v>3.016276126637476</c:v>
                </c:pt>
                <c:pt idx="245">
                  <c:v>3.0326560668441092</c:v>
                </c:pt>
                <c:pt idx="246">
                  <c:v>3.0478294160532498</c:v>
                </c:pt>
                <c:pt idx="247">
                  <c:v>3.0612134037208496</c:v>
                </c:pt>
                <c:pt idx="248">
                  <c:v>3.0732042050239015</c:v>
                </c:pt>
                <c:pt idx="249">
                  <c:v>3.0839327482886185</c:v>
                </c:pt>
                <c:pt idx="250">
                  <c:v>3.0936028528084067</c:v>
                </c:pt>
                <c:pt idx="251">
                  <c:v>3.1027795268560765</c:v>
                </c:pt>
                <c:pt idx="252">
                  <c:v>3.1118761500013021</c:v>
                </c:pt>
                <c:pt idx="253">
                  <c:v>3.1218015813649145</c:v>
                </c:pt>
                <c:pt idx="254">
                  <c:v>3.1333902792403827</c:v>
                </c:pt>
                <c:pt idx="255">
                  <c:v>3.1473469232000886</c:v>
                </c:pt>
                <c:pt idx="256">
                  <c:v>3.1631796885374555</c:v>
                </c:pt>
                <c:pt idx="257">
                  <c:v>3.1795587778176717</c:v>
                </c:pt>
                <c:pt idx="258">
                  <c:v>3.1947313385519633</c:v>
                </c:pt>
                <c:pt idx="259">
                  <c:v>3.208114626835989</c:v>
                </c:pt>
                <c:pt idx="260">
                  <c:v>3.2201047990828693</c:v>
                </c:pt>
                <c:pt idx="261">
                  <c:v>3.2308327771921772</c:v>
                </c:pt>
                <c:pt idx="262">
                  <c:v>3.2405023706022593</c:v>
                </c:pt>
                <c:pt idx="263">
                  <c:v>3.2496785606602758</c:v>
                </c:pt>
                <c:pt idx="264">
                  <c:v>3.2587747072887319</c:v>
                </c:pt>
                <c:pt idx="265">
                  <c:v>3.2686996275204288</c:v>
                </c:pt>
                <c:pt idx="266">
                  <c:v>3.2802877429463129</c:v>
                </c:pt>
                <c:pt idx="267">
                  <c:v>3.2942437045481046</c:v>
                </c:pt>
                <c:pt idx="268">
                  <c:v>3.3100757120120727</c:v>
                </c:pt>
                <c:pt idx="269">
                  <c:v>3.3264540260271507</c:v>
                </c:pt>
                <c:pt idx="270">
                  <c:v>3.3416258681363846</c:v>
                </c:pt>
                <c:pt idx="271">
                  <c:v>3.3550085187666925</c:v>
                </c:pt>
                <c:pt idx="272">
                  <c:v>3.3669981172767911</c:v>
                </c:pt>
                <c:pt idx="273">
                  <c:v>3.3777255797494581</c:v>
                </c:pt>
                <c:pt idx="274">
                  <c:v>3.3873947066704639</c:v>
                </c:pt>
                <c:pt idx="275">
                  <c:v>3.3965704548388076</c:v>
                </c:pt>
                <c:pt idx="276">
                  <c:v>3.4056661662507737</c:v>
                </c:pt>
                <c:pt idx="277">
                  <c:v>3.4155906194913714</c:v>
                </c:pt>
                <c:pt idx="278">
                  <c:v>3.427178202586679</c:v>
                </c:pt>
                <c:pt idx="279">
                  <c:v>3.4411335403362515</c:v>
                </c:pt>
                <c:pt idx="280">
                  <c:v>3.4569648546755456</c:v>
                </c:pt>
                <c:pt idx="281">
                  <c:v>3.47334245942502</c:v>
                </c:pt>
                <c:pt idx="282">
                  <c:v>3.4885136438708511</c:v>
                </c:pt>
                <c:pt idx="283">
                  <c:v>3.5018957107500133</c:v>
                </c:pt>
                <c:pt idx="284">
                  <c:v>3.5138847838528604</c:v>
                </c:pt>
                <c:pt idx="285">
                  <c:v>3.5246117739725809</c:v>
                </c:pt>
                <c:pt idx="286">
                  <c:v>3.5342804734263624</c:v>
                </c:pt>
                <c:pt idx="287">
                  <c:v>3.5434558165408481</c:v>
                </c:pt>
                <c:pt idx="288">
                  <c:v>3.5525511288903058</c:v>
                </c:pt>
                <c:pt idx="289">
                  <c:v>3.5624751537993671</c:v>
                </c:pt>
                <c:pt idx="290">
                  <c:v>3.5740622484809403</c:v>
                </c:pt>
                <c:pt idx="291">
                  <c:v>3.5880170136688445</c:v>
                </c:pt>
                <c:pt idx="292">
                  <c:v>3.6038476916744377</c:v>
                </c:pt>
                <c:pt idx="293">
                  <c:v>3.6202246450739746</c:v>
                </c:pt>
                <c:pt idx="294">
                  <c:v>3.6353952253765396</c:v>
                </c:pt>
                <c:pt idx="295">
                  <c:v>3.6487767558495023</c:v>
                </c:pt>
                <c:pt idx="296">
                  <c:v>3.6607653460147747</c:v>
                </c:pt>
                <c:pt idx="297">
                  <c:v>3.6714919018347763</c:v>
                </c:pt>
                <c:pt idx="298">
                  <c:v>3.6811602081434787</c:v>
                </c:pt>
                <c:pt idx="299">
                  <c:v>3.6903351786182785</c:v>
                </c:pt>
                <c:pt idx="300">
                  <c:v>3.6994301237338307</c:v>
                </c:pt>
                <c:pt idx="301">
                  <c:v>3.7093537543611173</c:v>
                </c:pt>
                <c:pt idx="302">
                  <c:v>3.7209403993264392</c:v>
                </c:pt>
                <c:pt idx="303">
                  <c:v>3.7348946371676353</c:v>
                </c:pt>
                <c:pt idx="304">
                  <c:v>3.7507247289254599</c:v>
                </c:pt>
                <c:pt idx="305">
                  <c:v>3.7671010820752597</c:v>
                </c:pt>
                <c:pt idx="306">
                  <c:v>3.7822711054769931</c:v>
                </c:pt>
                <c:pt idx="307">
                  <c:v>3.7956521413533313</c:v>
                </c:pt>
                <c:pt idx="308">
                  <c:v>3.8076402861013801</c:v>
                </c:pt>
                <c:pt idx="309">
                  <c:v>3.8183664412545357</c:v>
                </c:pt>
                <c:pt idx="310">
                  <c:v>3.8280343847661658</c:v>
                </c:pt>
                <c:pt idx="311">
                  <c:v>3.8372090112742603</c:v>
                </c:pt>
                <c:pt idx="312">
                  <c:v>3.8463036173226435</c:v>
                </c:pt>
                <c:pt idx="313">
                  <c:v>3.8562268838130005</c:v>
                </c:pt>
                <c:pt idx="314">
                  <c:v>3.8678131133357478</c:v>
                </c:pt>
                <c:pt idx="315">
                  <c:v>3.8817668638927305</c:v>
                </c:pt>
                <c:pt idx="316">
                  <c:v>3.8975964137992221</c:v>
                </c:pt>
                <c:pt idx="317">
                  <c:v>3.9139722120130394</c:v>
                </c:pt>
                <c:pt idx="318">
                  <c:v>3.9291417204235284</c:v>
                </c:pt>
                <c:pt idx="319">
                  <c:v>3.9425222988079738</c:v>
                </c:pt>
                <c:pt idx="320">
                  <c:v>3.9545100314501118</c:v>
                </c:pt>
                <c:pt idx="321">
                  <c:v>3.965235815808057</c:v>
                </c:pt>
                <c:pt idx="322">
                  <c:v>3.9749034234872331</c:v>
                </c:pt>
                <c:pt idx="323">
                  <c:v>3.9840777315148186</c:v>
                </c:pt>
                <c:pt idx="324">
                  <c:v>3.9931720235418844</c:v>
                </c:pt>
                <c:pt idx="325">
                  <c:v>4.0030949527103576</c:v>
                </c:pt>
                <c:pt idx="326">
                  <c:v>4.0146807972899428</c:v>
                </c:pt>
                <c:pt idx="327">
                  <c:v>4.0286340962269565</c:v>
                </c:pt>
                <c:pt idx="328">
                  <c:v>4.0444631438193426</c:v>
                </c:pt>
                <c:pt idx="329">
                  <c:v>4.0608384274663631</c:v>
                </c:pt>
                <c:pt idx="330">
                  <c:v>4.0760074582358907</c:v>
                </c:pt>
                <c:pt idx="331">
                  <c:v>4.0893876122087267</c:v>
                </c:pt>
                <c:pt idx="332">
                  <c:v>4.1013749624540967</c:v>
                </c:pt>
                <c:pt idx="333">
                  <c:v>4.1121004026679095</c:v>
                </c:pt>
                <c:pt idx="334">
                  <c:v>4.1217676985807756</c:v>
                </c:pt>
                <c:pt idx="335">
                  <c:v>4.1309417108826425</c:v>
                </c:pt>
                <c:pt idx="336">
                  <c:v>4.1400357112579949</c:v>
                </c:pt>
                <c:pt idx="337">
                  <c:v>4.1499583270628282</c:v>
                </c:pt>
                <c:pt idx="338">
                  <c:v>4.1615438139589456</c:v>
                </c:pt>
                <c:pt idx="339">
                  <c:v>4.1754966931630699</c:v>
                </c:pt>
                <c:pt idx="340">
                  <c:v>4.1913252738035345</c:v>
                </c:pt>
                <c:pt idx="341">
                  <c:v>4.2077000790025201</c:v>
                </c:pt>
                <c:pt idx="342">
                  <c:v>4.2228686655602576</c:v>
                </c:pt>
                <c:pt idx="343">
                  <c:v>4.23624842473901</c:v>
                </c:pt>
                <c:pt idx="344">
                  <c:v>4.2482354191958818</c:v>
                </c:pt>
                <c:pt idx="345">
                  <c:v>4.2589605391429828</c:v>
                </c:pt>
                <c:pt idx="346">
                  <c:v>4.2686275448582567</c:v>
                </c:pt>
                <c:pt idx="347">
                  <c:v>4.277801281834634</c:v>
                </c:pt>
                <c:pt idx="348">
                  <c:v>4.2868950106198058</c:v>
                </c:pt>
                <c:pt idx="349">
                  <c:v>4.2968173345543308</c:v>
                </c:pt>
                <c:pt idx="350">
                  <c:v>4.3084024882301071</c:v>
                </c:pt>
                <c:pt idx="351">
                  <c:v>4.3223549763264515</c:v>
                </c:pt>
                <c:pt idx="352">
                  <c:v>4.3381831217699789</c:v>
                </c:pt>
                <c:pt idx="353">
                  <c:v>4.3545574809657301</c:v>
                </c:pt>
                <c:pt idx="354">
                  <c:v>4.3697256533500424</c:v>
                </c:pt>
                <c:pt idx="355">
                  <c:v>4.3831050443564834</c:v>
                </c:pt>
                <c:pt idx="356">
                  <c:v>4.395091706949283</c:v>
                </c:pt>
                <c:pt idx="357">
                  <c:v>4.4058165281054125</c:v>
                </c:pt>
                <c:pt idx="358">
                  <c:v>4.4154832630283849</c:v>
                </c:pt>
                <c:pt idx="359">
                  <c:v>4.4246567430389616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08544"/>
        <c:axId val="307609104"/>
      </c:scatterChart>
      <c:valAx>
        <c:axId val="307608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Time (Month)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9104"/>
        <c:crosses val="autoZero"/>
        <c:crossBetween val="midCat"/>
      </c:valAx>
      <c:valAx>
        <c:axId val="30760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Cumulative Damage (-)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08544"/>
        <c:crosses val="autoZero"/>
        <c:crossBetween val="midCat"/>
      </c:valAx>
      <c:spPr>
        <a:ln w="38100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Cumulative Damage vs. Number of Punchouts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337928275708993"/>
          <c:y val="0.11090018206824456"/>
          <c:w val="0.78169113327780571"/>
          <c:h val="0.732785268913139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'Analysis Result'!$M$1</c:f>
              <c:strCache>
                <c:ptCount val="1"/>
                <c:pt idx="0">
                  <c:v>Number of Punchouts
per Mile</c:v>
                </c:pt>
              </c:strCache>
            </c:strRef>
          </c:tx>
          <c:spPr>
            <a:ln w="28575">
              <a:noFill/>
            </a:ln>
          </c:spPr>
          <c:marker>
            <c:spPr>
              <a:ln>
                <a:solidFill>
                  <a:srgbClr val="1F497D"/>
                </a:solidFill>
              </a:ln>
            </c:spPr>
          </c:marker>
          <c:xVal>
            <c:numRef>
              <c:f>'Analysis Result'!$L$2:$L$361</c:f>
              <c:numCache>
                <c:formatCode>0.00E+00</c:formatCode>
                <c:ptCount val="360"/>
                <c:pt idx="0">
                  <c:v>1.2397962342123509E-2</c:v>
                </c:pt>
                <c:pt idx="1">
                  <c:v>2.3815868696257056E-2</c:v>
                </c:pt>
                <c:pt idx="2">
                  <c:v>3.6525075859496638E-2</c:v>
                </c:pt>
                <c:pt idx="3">
                  <c:v>5.1462169998057299E-2</c:v>
                </c:pt>
                <c:pt idx="4">
                  <c:v>6.8165355955266155E-2</c:v>
                </c:pt>
                <c:pt idx="5">
                  <c:v>8.5287077414314363E-2</c:v>
                </c:pt>
                <c:pt idx="6">
                  <c:v>0.10105077361005428</c:v>
                </c:pt>
                <c:pt idx="7">
                  <c:v>0.1148941207497762</c:v>
                </c:pt>
                <c:pt idx="8">
                  <c:v>0.12725321486990426</c:v>
                </c:pt>
                <c:pt idx="9">
                  <c:v>0.13828044597977604</c:v>
                </c:pt>
                <c:pt idx="10">
                  <c:v>0.14819688740962914</c:v>
                </c:pt>
                <c:pt idx="11">
                  <c:v>0.15758806752290874</c:v>
                </c:pt>
                <c:pt idx="12">
                  <c:v>0.16688026522448529</c:v>
                </c:pt>
                <c:pt idx="13">
                  <c:v>0.17700111493587667</c:v>
                </c:pt>
                <c:pt idx="14">
                  <c:v>0.18879831620660656</c:v>
                </c:pt>
                <c:pt idx="15">
                  <c:v>0.20298470148973818</c:v>
                </c:pt>
                <c:pt idx="16">
                  <c:v>0.21905842190941249</c:v>
                </c:pt>
                <c:pt idx="17">
                  <c:v>0.23567109844240899</c:v>
                </c:pt>
                <c:pt idx="18">
                  <c:v>0.25104950489814343</c:v>
                </c:pt>
                <c:pt idx="19">
                  <c:v>0.26460692792422891</c:v>
                </c:pt>
                <c:pt idx="20">
                  <c:v>0.27674684699056462</c:v>
                </c:pt>
                <c:pt idx="21">
                  <c:v>0.28760374474578521</c:v>
                </c:pt>
                <c:pt idx="22">
                  <c:v>0.29738529296908034</c:v>
                </c:pt>
                <c:pt idx="23">
                  <c:v>0.30666347113697612</c:v>
                </c:pt>
                <c:pt idx="24">
                  <c:v>0.31585638300781932</c:v>
                </c:pt>
                <c:pt idx="25">
                  <c:v>0.32588148194205191</c:v>
                </c:pt>
                <c:pt idx="26">
                  <c:v>0.337579936852058</c:v>
                </c:pt>
                <c:pt idx="27">
                  <c:v>0.35166101238236736</c:v>
                </c:pt>
                <c:pt idx="28">
                  <c:v>0.36762769139047824</c:v>
                </c:pt>
                <c:pt idx="29">
                  <c:v>0.38413967903621371</c:v>
                </c:pt>
                <c:pt idx="30">
                  <c:v>0.39943188928372048</c:v>
                </c:pt>
                <c:pt idx="31">
                  <c:v>0.41291840340957858</c:v>
                </c:pt>
                <c:pt idx="32">
                  <c:v>0.42499896730907571</c:v>
                </c:pt>
                <c:pt idx="33">
                  <c:v>0.43580607994379711</c:v>
                </c:pt>
                <c:pt idx="34">
                  <c:v>0.44554547092311392</c:v>
                </c:pt>
                <c:pt idx="35">
                  <c:v>0.4547861716578086</c:v>
                </c:pt>
                <c:pt idx="36">
                  <c:v>0.46394435754021374</c:v>
                </c:pt>
                <c:pt idx="37">
                  <c:v>0.47393432267439001</c:v>
                </c:pt>
                <c:pt idx="38">
                  <c:v>0.48559493477944377</c:v>
                </c:pt>
                <c:pt idx="39">
                  <c:v>0.49963402095845599</c:v>
                </c:pt>
                <c:pt idx="40">
                  <c:v>0.51555644460289418</c:v>
                </c:pt>
                <c:pt idx="41">
                  <c:v>0.53202539372023572</c:v>
                </c:pt>
                <c:pt idx="42">
                  <c:v>0.54727961139894532</c:v>
                </c:pt>
                <c:pt idx="43">
                  <c:v>0.56073396963976785</c:v>
                </c:pt>
                <c:pt idx="44">
                  <c:v>0.5727868958795741</c:v>
                </c:pt>
                <c:pt idx="45">
                  <c:v>0.58357024840270688</c:v>
                </c:pt>
                <c:pt idx="46">
                  <c:v>0.59328905059233528</c:v>
                </c:pt>
                <c:pt idx="47">
                  <c:v>0.60251104814451761</c:v>
                </c:pt>
                <c:pt idx="48">
                  <c:v>0.61165154832759272</c:v>
                </c:pt>
                <c:pt idx="49">
                  <c:v>0.62162327422650887</c:v>
                </c:pt>
                <c:pt idx="50">
                  <c:v>0.63326388257813049</c:v>
                </c:pt>
                <c:pt idx="51">
                  <c:v>0.64728039091365552</c:v>
                </c:pt>
                <c:pt idx="52">
                  <c:v>0.66317863100090357</c:v>
                </c:pt>
                <c:pt idx="53">
                  <c:v>0.67962369931203659</c:v>
                </c:pt>
                <c:pt idx="54">
                  <c:v>0.69485652839544143</c:v>
                </c:pt>
                <c:pt idx="55">
                  <c:v>0.70829253299291484</c:v>
                </c:pt>
                <c:pt idx="56">
                  <c:v>0.72032947633069588</c:v>
                </c:pt>
                <c:pt idx="57">
                  <c:v>0.73109891559059825</c:v>
                </c:pt>
                <c:pt idx="58">
                  <c:v>0.74080551692225971</c:v>
                </c:pt>
                <c:pt idx="59">
                  <c:v>0.75001630392704433</c:v>
                </c:pt>
                <c:pt idx="60">
                  <c:v>0.75914608712794551</c:v>
                </c:pt>
                <c:pt idx="61">
                  <c:v>0.76910664439468657</c:v>
                </c:pt>
                <c:pt idx="62">
                  <c:v>0.7807348801053019</c:v>
                </c:pt>
                <c:pt idx="63">
                  <c:v>0.79473728858869852</c:v>
                </c:pt>
                <c:pt idx="64">
                  <c:v>0.81062028593701307</c:v>
                </c:pt>
                <c:pt idx="65">
                  <c:v>0.82705016833239542</c:v>
                </c:pt>
                <c:pt idx="66">
                  <c:v>0.84226928004884105</c:v>
                </c:pt>
                <c:pt idx="67">
                  <c:v>0.85569341695137724</c:v>
                </c:pt>
                <c:pt idx="68">
                  <c:v>0.86771994370575078</c:v>
                </c:pt>
                <c:pt idx="69">
                  <c:v>0.87848024602949826</c:v>
                </c:pt>
                <c:pt idx="70">
                  <c:v>0.88817877599057427</c:v>
                </c:pt>
                <c:pt idx="71">
                  <c:v>0.89738209402927005</c:v>
                </c:pt>
                <c:pt idx="72">
                  <c:v>0.90650468804620876</c:v>
                </c:pt>
                <c:pt idx="73">
                  <c:v>0.91645770334981003</c:v>
                </c:pt>
                <c:pt idx="74">
                  <c:v>0.92807753030819429</c:v>
                </c:pt>
                <c:pt idx="75">
                  <c:v>0.94207029653100149</c:v>
                </c:pt>
                <c:pt idx="76">
                  <c:v>0.95794280729358083</c:v>
                </c:pt>
                <c:pt idx="77">
                  <c:v>0.97436218135520847</c:v>
                </c:pt>
                <c:pt idx="78">
                  <c:v>0.98957174745571108</c:v>
                </c:pt>
                <c:pt idx="79">
                  <c:v>1.0029875808004036</c:v>
                </c:pt>
                <c:pt idx="80">
                  <c:v>1.0150067807011285</c:v>
                </c:pt>
                <c:pt idx="81">
                  <c:v>1.0257606232177139</c:v>
                </c:pt>
                <c:pt idx="82">
                  <c:v>1.0354534182426443</c:v>
                </c:pt>
                <c:pt idx="83">
                  <c:v>1.0446514036227217</c:v>
                </c:pt>
                <c:pt idx="84">
                  <c:v>1.0537688405241021</c:v>
                </c:pt>
                <c:pt idx="85">
                  <c:v>1.0637164208040688</c:v>
                </c:pt>
                <c:pt idx="86">
                  <c:v>1.0753301610121229</c:v>
                </c:pt>
                <c:pt idx="87">
                  <c:v>1.0893159172362554</c:v>
                </c:pt>
                <c:pt idx="88">
                  <c:v>1.1051807719193465</c:v>
                </c:pt>
                <c:pt idx="89">
                  <c:v>1.1215924424651467</c:v>
                </c:pt>
                <c:pt idx="90">
                  <c:v>1.1367949828090393</c:v>
                </c:pt>
                <c:pt idx="91">
                  <c:v>1.1502046807674953</c:v>
                </c:pt>
                <c:pt idx="92">
                  <c:v>1.1622184463952725</c:v>
                </c:pt>
                <c:pt idx="93">
                  <c:v>1.1729674799798189</c:v>
                </c:pt>
                <c:pt idx="94">
                  <c:v>1.1826559902747713</c:v>
                </c:pt>
                <c:pt idx="95">
                  <c:v>1.1918499774278362</c:v>
                </c:pt>
                <c:pt idx="96">
                  <c:v>1.2009635344027583</c:v>
                </c:pt>
                <c:pt idx="97">
                  <c:v>1.2109070119095855</c:v>
                </c:pt>
                <c:pt idx="98">
                  <c:v>1.2225161422549378</c:v>
                </c:pt>
                <c:pt idx="99">
                  <c:v>1.2364965723185328</c:v>
                </c:pt>
                <c:pt idx="100">
                  <c:v>1.2523555916984563</c:v>
                </c:pt>
                <c:pt idx="101">
                  <c:v>1.2687613728020848</c:v>
                </c:pt>
                <c:pt idx="102">
                  <c:v>1.2839585258001693</c:v>
                </c:pt>
                <c:pt idx="103">
                  <c:v>1.2973635054024717</c:v>
                </c:pt>
                <c:pt idx="104">
                  <c:v>1.309373079912574</c:v>
                </c:pt>
                <c:pt idx="105">
                  <c:v>1.3201183942948689</c:v>
                </c:pt>
                <c:pt idx="106">
                  <c:v>1.3298035817337748</c:v>
                </c:pt>
                <c:pt idx="107">
                  <c:v>1.3389944599053971</c:v>
                </c:pt>
                <c:pt idx="108">
                  <c:v>1.3481049919657262</c:v>
                </c:pt>
                <c:pt idx="109">
                  <c:v>1.3580452625835882</c:v>
                </c:pt>
                <c:pt idx="110">
                  <c:v>1.3696507805837324</c:v>
                </c:pt>
                <c:pt idx="111">
                  <c:v>1.3836270266783137</c:v>
                </c:pt>
                <c:pt idx="112">
                  <c:v>1.3994814510310039</c:v>
                </c:pt>
                <c:pt idx="113">
                  <c:v>1.4158825834820004</c:v>
                </c:pt>
                <c:pt idx="114">
                  <c:v>1.4310754742751004</c:v>
                </c:pt>
                <c:pt idx="115">
                  <c:v>1.4444767124572755</c:v>
                </c:pt>
                <c:pt idx="116">
                  <c:v>1.4564829562095862</c:v>
                </c:pt>
                <c:pt idx="117">
                  <c:v>1.4672253084086577</c:v>
                </c:pt>
                <c:pt idx="118">
                  <c:v>1.4769078436571714</c:v>
                </c:pt>
                <c:pt idx="119">
                  <c:v>1.4860962351165146</c:v>
                </c:pt>
                <c:pt idx="120">
                  <c:v>1.4952043426984383</c:v>
                </c:pt>
                <c:pt idx="121">
                  <c:v>1.5051420377569971</c:v>
                </c:pt>
                <c:pt idx="122">
                  <c:v>1.516744648764264</c:v>
                </c:pt>
                <c:pt idx="123">
                  <c:v>1.5307175212488058</c:v>
                </c:pt>
                <c:pt idx="124">
                  <c:v>1.5465682334112791</c:v>
                </c:pt>
                <c:pt idx="125">
                  <c:v>1.5629656032533785</c:v>
                </c:pt>
                <c:pt idx="126">
                  <c:v>1.5781550378329081</c:v>
                </c:pt>
                <c:pt idx="127">
                  <c:v>1.591553236583044</c:v>
                </c:pt>
                <c:pt idx="128">
                  <c:v>1.6035567696741164</c:v>
                </c:pt>
                <c:pt idx="129">
                  <c:v>1.6142967069293657</c:v>
                </c:pt>
                <c:pt idx="130">
                  <c:v>1.623977076220779</c:v>
                </c:pt>
                <c:pt idx="131">
                  <c:v>1.6331634334099652</c:v>
                </c:pt>
                <c:pt idx="132">
                  <c:v>1.6422695543139789</c:v>
                </c:pt>
                <c:pt idx="133">
                  <c:v>1.6522051354178708</c:v>
                </c:pt>
                <c:pt idx="134">
                  <c:v>1.6638053565680386</c:v>
                </c:pt>
                <c:pt idx="135">
                  <c:v>1.6777754511599015</c:v>
                </c:pt>
                <c:pt idx="136">
                  <c:v>1.6936231018408912</c:v>
                </c:pt>
                <c:pt idx="137">
                  <c:v>1.7100173638363587</c:v>
                </c:pt>
                <c:pt idx="138">
                  <c:v>1.7252039393210461</c:v>
                </c:pt>
                <c:pt idx="139">
                  <c:v>1.7385996200050617</c:v>
                </c:pt>
                <c:pt idx="140">
                  <c:v>1.7506009041106367</c:v>
                </c:pt>
                <c:pt idx="141">
                  <c:v>1.7613388348377057</c:v>
                </c:pt>
                <c:pt idx="142">
                  <c:v>1.771017401919466</c:v>
                </c:pt>
                <c:pt idx="143">
                  <c:v>1.7802020640984304</c:v>
                </c:pt>
                <c:pt idx="144">
                  <c:v>1.7893065273612567</c:v>
                </c:pt>
                <c:pt idx="145">
                  <c:v>1.7992403422245284</c:v>
                </c:pt>
                <c:pt idx="146">
                  <c:v>1.8108385639320599</c:v>
                </c:pt>
                <c:pt idx="147">
                  <c:v>1.8248063313606762</c:v>
                </c:pt>
                <c:pt idx="148">
                  <c:v>1.840651413962257</c:v>
                </c:pt>
                <c:pt idx="149">
                  <c:v>1.8570430656430719</c:v>
                </c:pt>
                <c:pt idx="150">
                  <c:v>1.8722272367126587</c:v>
                </c:pt>
                <c:pt idx="151">
                  <c:v>1.8856207971451584</c:v>
                </c:pt>
                <c:pt idx="152">
                  <c:v>1.897620185249234</c:v>
                </c:pt>
                <c:pt idx="153">
                  <c:v>1.9083564223347602</c:v>
                </c:pt>
                <c:pt idx="154">
                  <c:v>1.9180334664217065</c:v>
                </c:pt>
                <c:pt idx="155">
                  <c:v>1.9272166945138411</c:v>
                </c:pt>
                <c:pt idx="156">
                  <c:v>1.9363197536803878</c:v>
                </c:pt>
                <c:pt idx="157">
                  <c:v>1.946252070745899</c:v>
                </c:pt>
                <c:pt idx="158">
                  <c:v>1.9578485949805982</c:v>
                </c:pt>
                <c:pt idx="159">
                  <c:v>1.9718143845070835</c:v>
                </c:pt>
                <c:pt idx="160">
                  <c:v>1.9876572820479572</c:v>
                </c:pt>
                <c:pt idx="161">
                  <c:v>2.0040467103265303</c:v>
                </c:pt>
                <c:pt idx="162">
                  <c:v>2.019228831188701</c:v>
                </c:pt>
                <c:pt idx="163">
                  <c:v>2.0326205818133039</c:v>
                </c:pt>
                <c:pt idx="164">
                  <c:v>2.0446183498443213</c:v>
                </c:pt>
                <c:pt idx="165">
                  <c:v>2.0553531382835972</c:v>
                </c:pt>
                <c:pt idx="166">
                  <c:v>2.06502887836792</c:v>
                </c:pt>
                <c:pt idx="167">
                  <c:v>2.0742108773540942</c:v>
                </c:pt>
                <c:pt idx="168">
                  <c:v>2.0833127319305027</c:v>
                </c:pt>
                <c:pt idx="169">
                  <c:v>2.0932437627642431</c:v>
                </c:pt>
                <c:pt idx="170">
                  <c:v>2.1048388278905992</c:v>
                </c:pt>
                <c:pt idx="171">
                  <c:v>2.1188029156385628</c:v>
                </c:pt>
                <c:pt idx="172">
                  <c:v>2.1346439313954937</c:v>
                </c:pt>
                <c:pt idx="173">
                  <c:v>2.1510314430950284</c:v>
                </c:pt>
                <c:pt idx="174">
                  <c:v>2.166211795056745</c:v>
                </c:pt>
                <c:pt idx="175">
                  <c:v>2.1796019827861834</c:v>
                </c:pt>
                <c:pt idx="176">
                  <c:v>2.1915983505237819</c:v>
                </c:pt>
                <c:pt idx="177">
                  <c:v>2.2023318857376921</c:v>
                </c:pt>
                <c:pt idx="178">
                  <c:v>2.212006496746187</c:v>
                </c:pt>
                <c:pt idx="179">
                  <c:v>2.2211874305903123</c:v>
                </c:pt>
                <c:pt idx="180">
                  <c:v>2.2302882403819115</c:v>
                </c:pt>
                <c:pt idx="181">
                  <c:v>2.240218154680921</c:v>
                </c:pt>
                <c:pt idx="182">
                  <c:v>2.2518119521494926</c:v>
                </c:pt>
                <c:pt idx="183">
                  <c:v>2.2657745601932509</c:v>
                </c:pt>
                <c:pt idx="184">
                  <c:v>2.2816139384002385</c:v>
                </c:pt>
                <c:pt idx="185">
                  <c:v>2.2979997809321766</c:v>
                </c:pt>
                <c:pt idx="186">
                  <c:v>2.313178591120606</c:v>
                </c:pt>
                <c:pt idx="187">
                  <c:v>2.3265674155648015</c:v>
                </c:pt>
                <c:pt idx="188">
                  <c:v>2.338562560906436</c:v>
                </c:pt>
                <c:pt idx="189">
                  <c:v>2.349295001271388</c:v>
                </c:pt>
                <c:pt idx="190">
                  <c:v>2.3589686251447279</c:v>
                </c:pt>
                <c:pt idx="191">
                  <c:v>2.3681486270528693</c:v>
                </c:pt>
                <c:pt idx="192">
                  <c:v>2.3772485220426272</c:v>
                </c:pt>
                <c:pt idx="193">
                  <c:v>2.3871774579991381</c:v>
                </c:pt>
                <c:pt idx="194">
                  <c:v>2.3987701438998079</c:v>
                </c:pt>
                <c:pt idx="195">
                  <c:v>2.4127314535067188</c:v>
                </c:pt>
                <c:pt idx="196">
                  <c:v>2.4285693937471731</c:v>
                </c:pt>
                <c:pt idx="197">
                  <c:v>2.4449537695201093</c:v>
                </c:pt>
                <c:pt idx="198">
                  <c:v>2.4601312239566582</c:v>
                </c:pt>
                <c:pt idx="199">
                  <c:v>2.4735188487802815</c:v>
                </c:pt>
                <c:pt idx="200">
                  <c:v>2.4855129177472937</c:v>
                </c:pt>
                <c:pt idx="201">
                  <c:v>2.4962443934017475</c:v>
                </c:pt>
                <c:pt idx="202">
                  <c:v>2.5059171468976338</c:v>
                </c:pt>
                <c:pt idx="203">
                  <c:v>2.5150963265583877</c:v>
                </c:pt>
                <c:pt idx="204">
                  <c:v>2.5241954138928175</c:v>
                </c:pt>
                <c:pt idx="205">
                  <c:v>2.5341234855383914</c:v>
                </c:pt>
                <c:pt idx="206">
                  <c:v>2.5457151888034302</c:v>
                </c:pt>
                <c:pt idx="207">
                  <c:v>2.5596753498547549</c:v>
                </c:pt>
                <c:pt idx="208">
                  <c:v>2.5755120173202894</c:v>
                </c:pt>
                <c:pt idx="209">
                  <c:v>2.5918950940304222</c:v>
                </c:pt>
                <c:pt idx="210">
                  <c:v>2.6070713469855495</c:v>
                </c:pt>
                <c:pt idx="211">
                  <c:v>2.6204579080498713</c:v>
                </c:pt>
                <c:pt idx="212">
                  <c:v>2.6324510219737922</c:v>
                </c:pt>
                <c:pt idx="213">
                  <c:v>2.6431816411546412</c:v>
                </c:pt>
                <c:pt idx="214">
                  <c:v>2.6528536214724157</c:v>
                </c:pt>
                <c:pt idx="215">
                  <c:v>2.6620320702852207</c:v>
                </c:pt>
                <c:pt idx="216">
                  <c:v>2.6711304393278921</c:v>
                </c:pt>
                <c:pt idx="217">
                  <c:v>2.6810577418554011</c:v>
                </c:pt>
                <c:pt idx="218">
                  <c:v>2.6926485702142129</c:v>
                </c:pt>
                <c:pt idx="219">
                  <c:v>2.7066077080556523</c:v>
                </c:pt>
                <c:pt idx="220">
                  <c:v>2.7224432410186297</c:v>
                </c:pt>
                <c:pt idx="221">
                  <c:v>2.7388251591579618</c:v>
                </c:pt>
                <c:pt idx="222">
                  <c:v>2.7540003399880515</c:v>
                </c:pt>
                <c:pt idx="223">
                  <c:v>2.7673859513111023</c:v>
                </c:pt>
                <c:pt idx="224">
                  <c:v>2.7793782121028614</c:v>
                </c:pt>
                <c:pt idx="225">
                  <c:v>2.7901080657989263</c:v>
                </c:pt>
                <c:pt idx="226">
                  <c:v>2.7997793547169092</c:v>
                </c:pt>
                <c:pt idx="227">
                  <c:v>2.8089571496439363</c:v>
                </c:pt>
                <c:pt idx="228">
                  <c:v>2.8180548757043895</c:v>
                </c:pt>
                <c:pt idx="229">
                  <c:v>2.8279814894011093</c:v>
                </c:pt>
                <c:pt idx="230">
                  <c:v>2.8395715337877001</c:v>
                </c:pt>
                <c:pt idx="231">
                  <c:v>2.8535297543075901</c:v>
                </c:pt>
                <c:pt idx="232">
                  <c:v>2.8693642696687132</c:v>
                </c:pt>
                <c:pt idx="233">
                  <c:v>2.8857451481073886</c:v>
                </c:pt>
                <c:pt idx="234">
                  <c:v>2.9009193663454078</c:v>
                </c:pt>
                <c:pt idx="235">
                  <c:v>2.9143041245462924</c:v>
                </c:pt>
                <c:pt idx="236">
                  <c:v>2.9262956186309572</c:v>
                </c:pt>
                <c:pt idx="237">
                  <c:v>2.9370247840628907</c:v>
                </c:pt>
                <c:pt idx="238">
                  <c:v>2.9466954510366614</c:v>
                </c:pt>
                <c:pt idx="239">
                  <c:v>2.9558726574913647</c:v>
                </c:pt>
                <c:pt idx="240">
                  <c:v>2.9649698046253166</c:v>
                </c:pt>
                <c:pt idx="241">
                  <c:v>2.9748957978305106</c:v>
                </c:pt>
                <c:pt idx="242">
                  <c:v>2.9864851357023006</c:v>
                </c:pt>
                <c:pt idx="243">
                  <c:v>3.00044252916063</c:v>
                </c:pt>
                <c:pt idx="244">
                  <c:v>3.016276126637476</c:v>
                </c:pt>
                <c:pt idx="245">
                  <c:v>3.0326560668441092</c:v>
                </c:pt>
                <c:pt idx="246">
                  <c:v>3.0478294160532498</c:v>
                </c:pt>
                <c:pt idx="247">
                  <c:v>3.0612134037208496</c:v>
                </c:pt>
                <c:pt idx="248">
                  <c:v>3.0732042050239015</c:v>
                </c:pt>
                <c:pt idx="249">
                  <c:v>3.0839327482886185</c:v>
                </c:pt>
                <c:pt idx="250">
                  <c:v>3.0936028528084067</c:v>
                </c:pt>
                <c:pt idx="251">
                  <c:v>3.1027795268560765</c:v>
                </c:pt>
                <c:pt idx="252">
                  <c:v>3.1118761500013021</c:v>
                </c:pt>
                <c:pt idx="253">
                  <c:v>3.1218015813649145</c:v>
                </c:pt>
                <c:pt idx="254">
                  <c:v>3.1333902792403827</c:v>
                </c:pt>
                <c:pt idx="255">
                  <c:v>3.1473469232000886</c:v>
                </c:pt>
                <c:pt idx="256">
                  <c:v>3.1631796885374555</c:v>
                </c:pt>
                <c:pt idx="257">
                  <c:v>3.1795587778176717</c:v>
                </c:pt>
                <c:pt idx="258">
                  <c:v>3.1947313385519633</c:v>
                </c:pt>
                <c:pt idx="259">
                  <c:v>3.208114626835989</c:v>
                </c:pt>
                <c:pt idx="260">
                  <c:v>3.2201047990828693</c:v>
                </c:pt>
                <c:pt idx="261">
                  <c:v>3.2308327771921772</c:v>
                </c:pt>
                <c:pt idx="262">
                  <c:v>3.2405023706022593</c:v>
                </c:pt>
                <c:pt idx="263">
                  <c:v>3.2496785606602758</c:v>
                </c:pt>
                <c:pt idx="264">
                  <c:v>3.2587747072887319</c:v>
                </c:pt>
                <c:pt idx="265">
                  <c:v>3.2686996275204288</c:v>
                </c:pt>
                <c:pt idx="266">
                  <c:v>3.2802877429463129</c:v>
                </c:pt>
                <c:pt idx="267">
                  <c:v>3.2942437045481046</c:v>
                </c:pt>
                <c:pt idx="268">
                  <c:v>3.3100757120120727</c:v>
                </c:pt>
                <c:pt idx="269">
                  <c:v>3.3264540260271507</c:v>
                </c:pt>
                <c:pt idx="270">
                  <c:v>3.3416258681363846</c:v>
                </c:pt>
                <c:pt idx="271">
                  <c:v>3.3550085187666925</c:v>
                </c:pt>
                <c:pt idx="272">
                  <c:v>3.3669981172767911</c:v>
                </c:pt>
                <c:pt idx="273">
                  <c:v>3.3777255797494581</c:v>
                </c:pt>
                <c:pt idx="274">
                  <c:v>3.3873947066704639</c:v>
                </c:pt>
                <c:pt idx="275">
                  <c:v>3.3965704548388076</c:v>
                </c:pt>
                <c:pt idx="276">
                  <c:v>3.4056661662507737</c:v>
                </c:pt>
                <c:pt idx="277">
                  <c:v>3.4155906194913714</c:v>
                </c:pt>
                <c:pt idx="278">
                  <c:v>3.427178202586679</c:v>
                </c:pt>
                <c:pt idx="279">
                  <c:v>3.4411335403362515</c:v>
                </c:pt>
                <c:pt idx="280">
                  <c:v>3.4569648546755456</c:v>
                </c:pt>
                <c:pt idx="281">
                  <c:v>3.47334245942502</c:v>
                </c:pt>
                <c:pt idx="282">
                  <c:v>3.4885136438708511</c:v>
                </c:pt>
                <c:pt idx="283">
                  <c:v>3.5018957107500133</c:v>
                </c:pt>
                <c:pt idx="284">
                  <c:v>3.5138847838528604</c:v>
                </c:pt>
                <c:pt idx="285">
                  <c:v>3.5246117739725809</c:v>
                </c:pt>
                <c:pt idx="286">
                  <c:v>3.5342804734263624</c:v>
                </c:pt>
                <c:pt idx="287">
                  <c:v>3.5434558165408481</c:v>
                </c:pt>
                <c:pt idx="288">
                  <c:v>3.5525511288903058</c:v>
                </c:pt>
                <c:pt idx="289">
                  <c:v>3.5624751537993671</c:v>
                </c:pt>
                <c:pt idx="290">
                  <c:v>3.5740622484809403</c:v>
                </c:pt>
                <c:pt idx="291">
                  <c:v>3.5880170136688445</c:v>
                </c:pt>
                <c:pt idx="292">
                  <c:v>3.6038476916744377</c:v>
                </c:pt>
                <c:pt idx="293">
                  <c:v>3.6202246450739746</c:v>
                </c:pt>
                <c:pt idx="294">
                  <c:v>3.6353952253765396</c:v>
                </c:pt>
                <c:pt idx="295">
                  <c:v>3.6487767558495023</c:v>
                </c:pt>
                <c:pt idx="296">
                  <c:v>3.6607653460147747</c:v>
                </c:pt>
                <c:pt idx="297">
                  <c:v>3.6714919018347763</c:v>
                </c:pt>
                <c:pt idx="298">
                  <c:v>3.6811602081434787</c:v>
                </c:pt>
                <c:pt idx="299">
                  <c:v>3.6903351786182785</c:v>
                </c:pt>
                <c:pt idx="300">
                  <c:v>3.6994301237338307</c:v>
                </c:pt>
                <c:pt idx="301">
                  <c:v>3.7093537543611173</c:v>
                </c:pt>
                <c:pt idx="302">
                  <c:v>3.7209403993264392</c:v>
                </c:pt>
                <c:pt idx="303">
                  <c:v>3.7348946371676353</c:v>
                </c:pt>
                <c:pt idx="304">
                  <c:v>3.7507247289254599</c:v>
                </c:pt>
                <c:pt idx="305">
                  <c:v>3.7671010820752597</c:v>
                </c:pt>
                <c:pt idx="306">
                  <c:v>3.7822711054769931</c:v>
                </c:pt>
                <c:pt idx="307">
                  <c:v>3.7956521413533313</c:v>
                </c:pt>
                <c:pt idx="308">
                  <c:v>3.8076402861013801</c:v>
                </c:pt>
                <c:pt idx="309">
                  <c:v>3.8183664412545357</c:v>
                </c:pt>
                <c:pt idx="310">
                  <c:v>3.8280343847661658</c:v>
                </c:pt>
                <c:pt idx="311">
                  <c:v>3.8372090112742603</c:v>
                </c:pt>
                <c:pt idx="312">
                  <c:v>3.8463036173226435</c:v>
                </c:pt>
                <c:pt idx="313">
                  <c:v>3.8562268838130005</c:v>
                </c:pt>
                <c:pt idx="314">
                  <c:v>3.8678131133357478</c:v>
                </c:pt>
                <c:pt idx="315">
                  <c:v>3.8817668638927305</c:v>
                </c:pt>
                <c:pt idx="316">
                  <c:v>3.8975964137992221</c:v>
                </c:pt>
                <c:pt idx="317">
                  <c:v>3.9139722120130394</c:v>
                </c:pt>
                <c:pt idx="318">
                  <c:v>3.9291417204235284</c:v>
                </c:pt>
                <c:pt idx="319">
                  <c:v>3.9425222988079738</c:v>
                </c:pt>
                <c:pt idx="320">
                  <c:v>3.9545100314501118</c:v>
                </c:pt>
                <c:pt idx="321">
                  <c:v>3.965235815808057</c:v>
                </c:pt>
                <c:pt idx="322">
                  <c:v>3.9749034234872331</c:v>
                </c:pt>
                <c:pt idx="323">
                  <c:v>3.9840777315148186</c:v>
                </c:pt>
                <c:pt idx="324">
                  <c:v>3.9931720235418844</c:v>
                </c:pt>
                <c:pt idx="325">
                  <c:v>4.0030949527103576</c:v>
                </c:pt>
                <c:pt idx="326">
                  <c:v>4.0146807972899428</c:v>
                </c:pt>
                <c:pt idx="327">
                  <c:v>4.0286340962269565</c:v>
                </c:pt>
                <c:pt idx="328">
                  <c:v>4.0444631438193426</c:v>
                </c:pt>
                <c:pt idx="329">
                  <c:v>4.0608384274663631</c:v>
                </c:pt>
                <c:pt idx="330">
                  <c:v>4.0760074582358907</c:v>
                </c:pt>
                <c:pt idx="331">
                  <c:v>4.0893876122087267</c:v>
                </c:pt>
                <c:pt idx="332">
                  <c:v>4.1013749624540967</c:v>
                </c:pt>
                <c:pt idx="333">
                  <c:v>4.1121004026679095</c:v>
                </c:pt>
                <c:pt idx="334">
                  <c:v>4.1217676985807756</c:v>
                </c:pt>
                <c:pt idx="335">
                  <c:v>4.1309417108826425</c:v>
                </c:pt>
                <c:pt idx="336">
                  <c:v>4.1400357112579949</c:v>
                </c:pt>
                <c:pt idx="337">
                  <c:v>4.1499583270628282</c:v>
                </c:pt>
                <c:pt idx="338">
                  <c:v>4.1615438139589456</c:v>
                </c:pt>
                <c:pt idx="339">
                  <c:v>4.1754966931630699</c:v>
                </c:pt>
                <c:pt idx="340">
                  <c:v>4.1913252738035345</c:v>
                </c:pt>
                <c:pt idx="341">
                  <c:v>4.2077000790025201</c:v>
                </c:pt>
                <c:pt idx="342">
                  <c:v>4.2228686655602576</c:v>
                </c:pt>
                <c:pt idx="343">
                  <c:v>4.23624842473901</c:v>
                </c:pt>
                <c:pt idx="344">
                  <c:v>4.2482354191958818</c:v>
                </c:pt>
                <c:pt idx="345">
                  <c:v>4.2589605391429828</c:v>
                </c:pt>
                <c:pt idx="346">
                  <c:v>4.2686275448582567</c:v>
                </c:pt>
                <c:pt idx="347">
                  <c:v>4.277801281834634</c:v>
                </c:pt>
                <c:pt idx="348">
                  <c:v>4.2868950106198058</c:v>
                </c:pt>
                <c:pt idx="349">
                  <c:v>4.2968173345543308</c:v>
                </c:pt>
                <c:pt idx="350">
                  <c:v>4.3084024882301071</c:v>
                </c:pt>
                <c:pt idx="351">
                  <c:v>4.3223549763264515</c:v>
                </c:pt>
                <c:pt idx="352">
                  <c:v>4.3381831217699789</c:v>
                </c:pt>
                <c:pt idx="353">
                  <c:v>4.3545574809657301</c:v>
                </c:pt>
                <c:pt idx="354">
                  <c:v>4.3697256533500424</c:v>
                </c:pt>
                <c:pt idx="355">
                  <c:v>4.3831050443564834</c:v>
                </c:pt>
                <c:pt idx="356">
                  <c:v>4.395091706949283</c:v>
                </c:pt>
                <c:pt idx="357">
                  <c:v>4.4058165281054125</c:v>
                </c:pt>
                <c:pt idx="358">
                  <c:v>4.4154832630283849</c:v>
                </c:pt>
                <c:pt idx="359">
                  <c:v>4.4246567430389616</c:v>
                </c:pt>
              </c:numCache>
            </c:numRef>
          </c:xVal>
          <c:yVal>
            <c:numRef>
              <c:f>'Analysis Result'!$M$2:$M$361</c:f>
              <c:numCache>
                <c:formatCode>0.00</c:formatCode>
                <c:ptCount val="360"/>
                <c:pt idx="0">
                  <c:v>3.0299277420393404E-2</c:v>
                </c:pt>
                <c:pt idx="1">
                  <c:v>6.2025812589270868E-2</c:v>
                </c:pt>
                <c:pt idx="2">
                  <c:v>9.9087349511094519E-2</c:v>
                </c:pt>
                <c:pt idx="3">
                  <c:v>0.14413443533031461</c:v>
                </c:pt>
                <c:pt idx="4">
                  <c:v>0.19582038109483474</c:v>
                </c:pt>
                <c:pt idx="5">
                  <c:v>0.24983828920234608</c:v>
                </c:pt>
                <c:pt idx="6">
                  <c:v>0.30026896922417046</c:v>
                </c:pt>
                <c:pt idx="7">
                  <c:v>0.34498782912779791</c:v>
                </c:pt>
                <c:pt idx="8">
                  <c:v>0.38518925184777475</c:v>
                </c:pt>
                <c:pt idx="9">
                  <c:v>0.42124302103054007</c:v>
                </c:pt>
                <c:pt idx="10">
                  <c:v>0.45379187914262298</c:v>
                </c:pt>
                <c:pt idx="11">
                  <c:v>0.4847124090572914</c:v>
                </c:pt>
                <c:pt idx="12">
                  <c:v>0.51538678169755314</c:v>
                </c:pt>
                <c:pt idx="13">
                  <c:v>0.54887474448907292</c:v>
                </c:pt>
                <c:pt idx="14">
                  <c:v>0.58799685956973657</c:v>
                </c:pt>
                <c:pt idx="15">
                  <c:v>0.63514413344809439</c:v>
                </c:pt>
                <c:pt idx="16">
                  <c:v>0.68866811428267949</c:v>
                </c:pt>
                <c:pt idx="17">
                  <c:v>0.74407022446921034</c:v>
                </c:pt>
                <c:pt idx="18">
                  <c:v>0.79540502549891412</c:v>
                </c:pt>
                <c:pt idx="19">
                  <c:v>0.84068242076799926</c:v>
                </c:pt>
                <c:pt idx="20">
                  <c:v>0.88123134544612236</c:v>
                </c:pt>
                <c:pt idx="21">
                  <c:v>0.91749191020629672</c:v>
                </c:pt>
                <c:pt idx="22">
                  <c:v>0.95015372667036135</c:v>
                </c:pt>
                <c:pt idx="23">
                  <c:v>0.98112477386332075</c:v>
                </c:pt>
                <c:pt idx="24">
                  <c:v>1.0117985689895173</c:v>
                </c:pt>
                <c:pt idx="25">
                  <c:v>1.0452314806016747</c:v>
                </c:pt>
                <c:pt idx="26">
                  <c:v>1.0842172387346527</c:v>
                </c:pt>
                <c:pt idx="27">
                  <c:v>1.1310969028224431</c:v>
                </c:pt>
                <c:pt idx="28">
                  <c:v>1.1841833776564488</c:v>
                </c:pt>
                <c:pt idx="29">
                  <c:v>1.2389926733734562</c:v>
                </c:pt>
                <c:pt idx="30">
                  <c:v>1.2896618966822166</c:v>
                </c:pt>
                <c:pt idx="31">
                  <c:v>1.3342688841406904</c:v>
                </c:pt>
                <c:pt idx="32">
                  <c:v>1.3741583172057099</c:v>
                </c:pt>
                <c:pt idx="33">
                  <c:v>1.409786112075577</c:v>
                </c:pt>
                <c:pt idx="34">
                  <c:v>1.4418460955794732</c:v>
                </c:pt>
                <c:pt idx="35">
                  <c:v>1.4722210957285344</c:v>
                </c:pt>
                <c:pt idx="36">
                  <c:v>1.5022819086467378</c:v>
                </c:pt>
                <c:pt idx="37">
                  <c:v>1.535022822523129</c:v>
                </c:pt>
                <c:pt idx="38">
                  <c:v>1.5731710657915616</c:v>
                </c:pt>
                <c:pt idx="39">
                  <c:v>1.6190004993539295</c:v>
                </c:pt>
                <c:pt idx="40">
                  <c:v>1.6708414050771165</c:v>
                </c:pt>
                <c:pt idx="41">
                  <c:v>1.7243042226275238</c:v>
                </c:pt>
                <c:pt idx="42">
                  <c:v>1.7736766748619774</c:v>
                </c:pt>
                <c:pt idx="43">
                  <c:v>1.8171033887223436</c:v>
                </c:pt>
                <c:pt idx="44">
                  <c:v>1.8559090598006001</c:v>
                </c:pt>
                <c:pt idx="45">
                  <c:v>1.890547714830928</c:v>
                </c:pt>
                <c:pt idx="46">
                  <c:v>1.9217015852456074</c:v>
                </c:pt>
                <c:pt idx="47">
                  <c:v>1.9512051133359423</c:v>
                </c:pt>
                <c:pt idx="48">
                  <c:v>1.9803917734833403</c:v>
                </c:pt>
                <c:pt idx="49">
                  <c:v>2.0121682624006225</c:v>
                </c:pt>
                <c:pt idx="50">
                  <c:v>2.0491770854600011</c:v>
                </c:pt>
                <c:pt idx="51">
                  <c:v>2.0936155606883431</c:v>
                </c:pt>
                <c:pt idx="52">
                  <c:v>2.1438540305140776</c:v>
                </c:pt>
                <c:pt idx="53">
                  <c:v>2.1956327091454275</c:v>
                </c:pt>
                <c:pt idx="54">
                  <c:v>2.243422310858934</c:v>
                </c:pt>
                <c:pt idx="55">
                  <c:v>2.2854359714869483</c:v>
                </c:pt>
                <c:pt idx="56">
                  <c:v>2.3229634843343883</c:v>
                </c:pt>
                <c:pt idx="57">
                  <c:v>2.3564495287214107</c:v>
                </c:pt>
                <c:pt idx="58">
                  <c:v>2.3865577898612838</c:v>
                </c:pt>
                <c:pt idx="59">
                  <c:v>2.4150637919047258</c:v>
                </c:pt>
                <c:pt idx="60">
                  <c:v>2.4432570331937478</c:v>
                </c:pt>
                <c:pt idx="61">
                  <c:v>2.4739449953780621</c:v>
                </c:pt>
                <c:pt idx="62">
                  <c:v>2.5096772175054975</c:v>
                </c:pt>
                <c:pt idx="63">
                  <c:v>2.5525703826343875</c:v>
                </c:pt>
                <c:pt idx="64">
                  <c:v>2.6010454697751841</c:v>
                </c:pt>
                <c:pt idx="65">
                  <c:v>2.6509887559219973</c:v>
                </c:pt>
                <c:pt idx="66">
                  <c:v>2.6970685544503765</c:v>
                </c:pt>
                <c:pt idx="67">
                  <c:v>2.737567017960167</c:v>
                </c:pt>
                <c:pt idx="68">
                  <c:v>2.7737321176368139</c:v>
                </c:pt>
                <c:pt idx="69">
                  <c:v>2.8059956180371515</c:v>
                </c:pt>
                <c:pt idx="70">
                  <c:v>2.8349993848393353</c:v>
                </c:pt>
                <c:pt idx="71">
                  <c:v>2.8624553638446089</c:v>
                </c:pt>
                <c:pt idx="72">
                  <c:v>2.8896062108953706</c:v>
                </c:pt>
                <c:pt idx="73">
                  <c:v>2.919155463118456</c:v>
                </c:pt>
                <c:pt idx="74">
                  <c:v>2.9535566449224073</c:v>
                </c:pt>
                <c:pt idx="75">
                  <c:v>2.994844772861152</c:v>
                </c:pt>
                <c:pt idx="76">
                  <c:v>3.0414963531974535</c:v>
                </c:pt>
                <c:pt idx="77">
                  <c:v>3.089550332558598</c:v>
                </c:pt>
                <c:pt idx="78">
                  <c:v>3.1338776080172144</c:v>
                </c:pt>
                <c:pt idx="79">
                  <c:v>3.1728286514824826</c:v>
                </c:pt>
                <c:pt idx="80">
                  <c:v>3.2076065367230546</c:v>
                </c:pt>
                <c:pt idx="81">
                  <c:v>3.2386283853867015</c:v>
                </c:pt>
                <c:pt idx="82">
                  <c:v>3.2665127990000462</c:v>
                </c:pt>
                <c:pt idx="83">
                  <c:v>3.2929065928200552</c:v>
                </c:pt>
                <c:pt idx="84">
                  <c:v>3.3190047501595452</c:v>
                </c:pt>
                <c:pt idx="85">
                  <c:v>3.3474059281895472</c:v>
                </c:pt>
                <c:pt idx="86">
                  <c:v>3.3804675166628244</c:v>
                </c:pt>
                <c:pt idx="87">
                  <c:v>3.4201436490154205</c:v>
                </c:pt>
                <c:pt idx="88">
                  <c:v>3.464968210969952</c:v>
                </c:pt>
                <c:pt idx="89">
                  <c:v>3.5111340307882135</c:v>
                </c:pt>
                <c:pt idx="90">
                  <c:v>3.5537140393091482</c:v>
                </c:pt>
                <c:pt idx="91">
                  <c:v>3.5911254877637471</c:v>
                </c:pt>
                <c:pt idx="92">
                  <c:v>3.6245255565792167</c:v>
                </c:pt>
                <c:pt idx="93">
                  <c:v>3.654315979629378</c:v>
                </c:pt>
                <c:pt idx="94">
                  <c:v>3.6810916560166835</c:v>
                </c:pt>
                <c:pt idx="95">
                  <c:v>3.706434487628314</c:v>
                </c:pt>
                <c:pt idx="96">
                  <c:v>3.7314921235541747</c:v>
                </c:pt>
                <c:pt idx="97">
                  <c:v>3.7587596081777059</c:v>
                </c:pt>
                <c:pt idx="98">
                  <c:v>3.790499795389374</c:v>
                </c:pt>
                <c:pt idx="99">
                  <c:v>3.8285878073701372</c:v>
                </c:pt>
                <c:pt idx="100">
                  <c:v>3.8716150195479777</c:v>
                </c:pt>
                <c:pt idx="101">
                  <c:v>3.9159262001237174</c:v>
                </c:pt>
                <c:pt idx="102">
                  <c:v>3.9567924836926718</c:v>
                </c:pt>
                <c:pt idx="103">
                  <c:v>3.9926958234365526</c:v>
                </c:pt>
                <c:pt idx="104">
                  <c:v>4.0247477087233294</c:v>
                </c:pt>
                <c:pt idx="105">
                  <c:v>4.0533343050923349</c:v>
                </c:pt>
                <c:pt idx="106">
                  <c:v>4.0790269562914157</c:v>
                </c:pt>
                <c:pt idx="107">
                  <c:v>4.1033439105787171</c:v>
                </c:pt>
                <c:pt idx="108">
                  <c:v>4.1273865110654375</c:v>
                </c:pt>
                <c:pt idx="109">
                  <c:v>4.153548761287075</c:v>
                </c:pt>
                <c:pt idx="110">
                  <c:v>4.1840015976436318</c:v>
                </c:pt>
                <c:pt idx="111">
                  <c:v>4.2205436492353412</c:v>
                </c:pt>
                <c:pt idx="112">
                  <c:v>4.2618228573668695</c:v>
                </c:pt>
                <c:pt idx="113">
                  <c:v>4.3043321131441719</c:v>
                </c:pt>
                <c:pt idx="114">
                  <c:v>4.3435349744109093</c:v>
                </c:pt>
                <c:pt idx="115">
                  <c:v>4.377975698685546</c:v>
                </c:pt>
                <c:pt idx="116">
                  <c:v>4.4087209974610033</c:v>
                </c:pt>
                <c:pt idx="117">
                  <c:v>4.4361416238355513</c:v>
                </c:pt>
                <c:pt idx="118">
                  <c:v>4.4607858621804688</c:v>
                </c:pt>
                <c:pt idx="119">
                  <c:v>4.4841101841304063</c:v>
                </c:pt>
                <c:pt idx="120">
                  <c:v>4.5071710622589638</c:v>
                </c:pt>
                <c:pt idx="121">
                  <c:v>4.5322647968764667</c:v>
                </c:pt>
                <c:pt idx="122">
                  <c:v>4.5614736182301856</c:v>
                </c:pt>
                <c:pt idx="123">
                  <c:v>4.5965225482799266</c:v>
                </c:pt>
                <c:pt idx="124">
                  <c:v>4.6361145516884115</c:v>
                </c:pt>
                <c:pt idx="125">
                  <c:v>4.6768857229814218</c:v>
                </c:pt>
                <c:pt idx="126">
                  <c:v>4.7144851337743754</c:v>
                </c:pt>
                <c:pt idx="127">
                  <c:v>4.7475167767855035</c:v>
                </c:pt>
                <c:pt idx="128">
                  <c:v>4.7770039212385385</c:v>
                </c:pt>
                <c:pt idx="129">
                  <c:v>4.803302267001099</c:v>
                </c:pt>
                <c:pt idx="130">
                  <c:v>4.8269377425947315</c:v>
                </c:pt>
                <c:pt idx="131">
                  <c:v>4.8493072756708404</c:v>
                </c:pt>
                <c:pt idx="132">
                  <c:v>4.8714241358134691</c:v>
                </c:pt>
                <c:pt idx="133">
                  <c:v>4.8954906860291931</c:v>
                </c:pt>
                <c:pt idx="134">
                  <c:v>4.9235039849228883</c:v>
                </c:pt>
                <c:pt idx="135">
                  <c:v>4.9571185212809397</c:v>
                </c:pt>
                <c:pt idx="136">
                  <c:v>4.9950903778693405</c:v>
                </c:pt>
                <c:pt idx="137">
                  <c:v>5.0341933165855242</c:v>
                </c:pt>
                <c:pt idx="138">
                  <c:v>5.0702544081606638</c:v>
                </c:pt>
                <c:pt idx="139">
                  <c:v>5.1019347405748929</c:v>
                </c:pt>
                <c:pt idx="140">
                  <c:v>5.1302157199978291</c:v>
                </c:pt>
                <c:pt idx="141">
                  <c:v>5.1554384738277799</c:v>
                </c:pt>
                <c:pt idx="142">
                  <c:v>5.1781073976149106</c:v>
                </c:pt>
                <c:pt idx="143">
                  <c:v>5.1995622969549675</c:v>
                </c:pt>
                <c:pt idx="144">
                  <c:v>5.2207750263031283</c:v>
                </c:pt>
                <c:pt idx="145">
                  <c:v>5.2438579887144243</c:v>
                </c:pt>
                <c:pt idx="146">
                  <c:v>5.270726754303773</c:v>
                </c:pt>
                <c:pt idx="147">
                  <c:v>5.3029684230103245</c:v>
                </c:pt>
                <c:pt idx="148">
                  <c:v>5.3393900907001317</c:v>
                </c:pt>
                <c:pt idx="149">
                  <c:v>5.376897347299467</c:v>
                </c:pt>
                <c:pt idx="150">
                  <c:v>5.4114874833766793</c:v>
                </c:pt>
                <c:pt idx="151">
                  <c:v>5.441876039200646</c:v>
                </c:pt>
                <c:pt idx="152">
                  <c:v>5.4690042664399501</c:v>
                </c:pt>
                <c:pt idx="153">
                  <c:v>5.4931992703659764</c:v>
                </c:pt>
                <c:pt idx="154">
                  <c:v>5.5149447991783438</c:v>
                </c:pt>
                <c:pt idx="155">
                  <c:v>5.535526039690283</c:v>
                </c:pt>
                <c:pt idx="156">
                  <c:v>5.5558752666962956</c:v>
                </c:pt>
                <c:pt idx="157">
                  <c:v>5.5780189705420771</c:v>
                </c:pt>
                <c:pt idx="158">
                  <c:v>5.603794950392019</c:v>
                </c:pt>
                <c:pt idx="159">
                  <c:v>5.6347260545828215</c:v>
                </c:pt>
                <c:pt idx="160">
                  <c:v>5.66966819330771</c:v>
                </c:pt>
                <c:pt idx="161">
                  <c:v>5.7056528467585483</c:v>
                </c:pt>
                <c:pt idx="162">
                  <c:v>5.7388397049772069</c:v>
                </c:pt>
                <c:pt idx="163">
                  <c:v>5.7679961596549232</c:v>
                </c:pt>
                <c:pt idx="164">
                  <c:v>5.7940250714428867</c:v>
                </c:pt>
                <c:pt idx="165">
                  <c:v>5.8172401096203368</c:v>
                </c:pt>
                <c:pt idx="166">
                  <c:v>5.8381052864361944</c:v>
                </c:pt>
                <c:pt idx="167">
                  <c:v>5.8578536838052484</c:v>
                </c:pt>
                <c:pt idx="168">
                  <c:v>5.8773798322741246</c:v>
                </c:pt>
                <c:pt idx="169">
                  <c:v>5.8986283337664425</c:v>
                </c:pt>
                <c:pt idx="170">
                  <c:v>5.9233628934886919</c:v>
                </c:pt>
                <c:pt idx="171">
                  <c:v>5.9530451875998631</c:v>
                </c:pt>
                <c:pt idx="172">
                  <c:v>5.986577717743601</c:v>
                </c:pt>
                <c:pt idx="173">
                  <c:v>6.0211119527633619</c:v>
                </c:pt>
                <c:pt idx="174">
                  <c:v>6.0529622674068309</c:v>
                </c:pt>
                <c:pt idx="175">
                  <c:v>6.0809453755553475</c:v>
                </c:pt>
                <c:pt idx="176">
                  <c:v>6.1059275163833115</c:v>
                </c:pt>
                <c:pt idx="177">
                  <c:v>6.1282095228478912</c:v>
                </c:pt>
                <c:pt idx="178">
                  <c:v>6.1482365841100544</c:v>
                </c:pt>
                <c:pt idx="179">
                  <c:v>6.1671921553432405</c:v>
                </c:pt>
                <c:pt idx="180">
                  <c:v>6.185934827030346</c:v>
                </c:pt>
                <c:pt idx="181">
                  <c:v>6.2063312534415802</c:v>
                </c:pt>
                <c:pt idx="182">
                  <c:v>6.2300746335795516</c:v>
                </c:pt>
                <c:pt idx="183">
                  <c:v>6.2585684603365941</c:v>
                </c:pt>
                <c:pt idx="184">
                  <c:v>6.2907596256871141</c:v>
                </c:pt>
                <c:pt idx="185">
                  <c:v>6.3239138095123373</c:v>
                </c:pt>
                <c:pt idx="186">
                  <c:v>6.3544925572299613</c:v>
                </c:pt>
                <c:pt idx="187">
                  <c:v>6.3813594660004958</c:v>
                </c:pt>
                <c:pt idx="188">
                  <c:v>6.4053458970547528</c:v>
                </c:pt>
                <c:pt idx="189">
                  <c:v>6.4267404455099246</c:v>
                </c:pt>
                <c:pt idx="190">
                  <c:v>6.445970375805623</c:v>
                </c:pt>
                <c:pt idx="191">
                  <c:v>6.4641719288091464</c:v>
                </c:pt>
                <c:pt idx="192">
                  <c:v>6.4821695078018884</c:v>
                </c:pt>
                <c:pt idx="193">
                  <c:v>6.5017556378844903</c:v>
                </c:pt>
                <c:pt idx="194">
                  <c:v>6.5245564794837998</c:v>
                </c:pt>
                <c:pt idx="195">
                  <c:v>6.5519202202803788</c:v>
                </c:pt>
                <c:pt idx="196">
                  <c:v>6.5828359931326625</c:v>
                </c:pt>
                <c:pt idx="197">
                  <c:v>6.614678091594322</c:v>
                </c:pt>
                <c:pt idx="198">
                  <c:v>6.6440479784899891</c:v>
                </c:pt>
                <c:pt idx="199">
                  <c:v>6.6698537968000862</c:v>
                </c:pt>
                <c:pt idx="200">
                  <c:v>6.692893726566842</c:v>
                </c:pt>
                <c:pt idx="201">
                  <c:v>6.713444712672163</c:v>
                </c:pt>
                <c:pt idx="202">
                  <c:v>6.7319169683761642</c:v>
                </c:pt>
                <c:pt idx="203">
                  <c:v>6.7494018480756512</c:v>
                </c:pt>
                <c:pt idx="204">
                  <c:v>6.7666912568505593</c:v>
                </c:pt>
                <c:pt idx="205">
                  <c:v>6.7855072629729936</c:v>
                </c:pt>
                <c:pt idx="206">
                  <c:v>6.8074123171247862</c:v>
                </c:pt>
                <c:pt idx="207">
                  <c:v>6.8337020571533458</c:v>
                </c:pt>
                <c:pt idx="208">
                  <c:v>6.863405778093604</c:v>
                </c:pt>
                <c:pt idx="209">
                  <c:v>6.8940010046597386</c:v>
                </c:pt>
                <c:pt idx="210">
                  <c:v>6.9222221604973315</c:v>
                </c:pt>
                <c:pt idx="211">
                  <c:v>6.9470197042543367</c:v>
                </c:pt>
                <c:pt idx="212">
                  <c:v>6.9691602716898977</c:v>
                </c:pt>
                <c:pt idx="213">
                  <c:v>6.9889097279087142</c:v>
                </c:pt>
                <c:pt idx="214">
                  <c:v>7.0066620772261903</c:v>
                </c:pt>
                <c:pt idx="215">
                  <c:v>7.0234660195669942</c:v>
                </c:pt>
                <c:pt idx="216">
                  <c:v>7.0400825796038706</c:v>
                </c:pt>
                <c:pt idx="217">
                  <c:v>7.0581668813976126</c:v>
                </c:pt>
                <c:pt idx="218">
                  <c:v>7.0792208456818297</c:v>
                </c:pt>
                <c:pt idx="219">
                  <c:v>7.1044901872543882</c:v>
                </c:pt>
                <c:pt idx="220">
                  <c:v>7.1330423669628757</c:v>
                </c:pt>
                <c:pt idx="221">
                  <c:v>7.1624529926935017</c:v>
                </c:pt>
                <c:pt idx="222">
                  <c:v>7.1895828082191588</c:v>
                </c:pt>
                <c:pt idx="223">
                  <c:v>7.2134224671909601</c:v>
                </c:pt>
                <c:pt idx="224">
                  <c:v>7.2347086303696306</c:v>
                </c:pt>
                <c:pt idx="225">
                  <c:v>7.253696632476327</c:v>
                </c:pt>
                <c:pt idx="226">
                  <c:v>7.2707650759784279</c:v>
                </c:pt>
                <c:pt idx="227">
                  <c:v>7.2869221365303725</c:v>
                </c:pt>
                <c:pt idx="228">
                  <c:v>7.3028995012342577</c:v>
                </c:pt>
                <c:pt idx="229">
                  <c:v>7.3202886963584008</c:v>
                </c:pt>
                <c:pt idx="230">
                  <c:v>7.340534139048037</c:v>
                </c:pt>
                <c:pt idx="231">
                  <c:v>7.3648341174025456</c:v>
                </c:pt>
                <c:pt idx="232">
                  <c:v>7.3922923505032445</c:v>
                </c:pt>
                <c:pt idx="233">
                  <c:v>7.4205776252785052</c:v>
                </c:pt>
                <c:pt idx="234">
                  <c:v>7.4466706884956126</c:v>
                </c:pt>
                <c:pt idx="235">
                  <c:v>7.4696003772723252</c:v>
                </c:pt>
                <c:pt idx="236">
                  <c:v>7.4900748749299195</c:v>
                </c:pt>
                <c:pt idx="237">
                  <c:v>7.5083395118459784</c:v>
                </c:pt>
                <c:pt idx="238">
                  <c:v>7.5247582586030912</c:v>
                </c:pt>
                <c:pt idx="239">
                  <c:v>7.540300792680898</c:v>
                </c:pt>
                <c:pt idx="240">
                  <c:v>7.5556709302190228</c:v>
                </c:pt>
                <c:pt idx="241">
                  <c:v>7.5723997783436987</c:v>
                </c:pt>
                <c:pt idx="242">
                  <c:v>7.5918771231514217</c:v>
                </c:pt>
                <c:pt idx="243">
                  <c:v>7.6152561929271112</c:v>
                </c:pt>
                <c:pt idx="244">
                  <c:v>7.6416751490549029</c:v>
                </c:pt>
                <c:pt idx="245">
                  <c:v>7.6688912994328691</c:v>
                </c:pt>
                <c:pt idx="246">
                  <c:v>7.6939993999670504</c:v>
                </c:pt>
                <c:pt idx="247">
                  <c:v>7.7160645667386243</c:v>
                </c:pt>
                <c:pt idx="248">
                  <c:v>7.735767929894747</c:v>
                </c:pt>
                <c:pt idx="249">
                  <c:v>7.753345316997696</c:v>
                </c:pt>
                <c:pt idx="250">
                  <c:v>7.7691467988503158</c:v>
                </c:pt>
                <c:pt idx="251">
                  <c:v>7.784105476946781</c:v>
                </c:pt>
                <c:pt idx="252">
                  <c:v>7.7988986872772541</c:v>
                </c:pt>
                <c:pt idx="253">
                  <c:v>7.8150001304959504</c:v>
                </c:pt>
                <c:pt idx="254">
                  <c:v>7.8337476827290597</c:v>
                </c:pt>
                <c:pt idx="255">
                  <c:v>7.8562517527275419</c:v>
                </c:pt>
                <c:pt idx="256">
                  <c:v>7.881683220287564</c:v>
                </c:pt>
                <c:pt idx="257">
                  <c:v>7.9078834995727982</c:v>
                </c:pt>
                <c:pt idx="258">
                  <c:v>7.9320556793520858</c:v>
                </c:pt>
                <c:pt idx="259">
                  <c:v>7.9532993539482302</c:v>
                </c:pt>
                <c:pt idx="260">
                  <c:v>7.9722699514843578</c:v>
                </c:pt>
                <c:pt idx="261">
                  <c:v>7.9891942733506367</c:v>
                </c:pt>
                <c:pt idx="262">
                  <c:v>8.0044091849666401</c:v>
                </c:pt>
                <c:pt idx="263">
                  <c:v>8.0188130320317192</c:v>
                </c:pt>
                <c:pt idx="264">
                  <c:v>8.0330579869922971</c:v>
                </c:pt>
                <c:pt idx="265">
                  <c:v>8.0485631947716705</c:v>
                </c:pt>
                <c:pt idx="266">
                  <c:v>8.0666171953377361</c:v>
                </c:pt>
                <c:pt idx="267">
                  <c:v>8.0882896957013681</c:v>
                </c:pt>
                <c:pt idx="268">
                  <c:v>8.1127826609224023</c:v>
                </c:pt>
                <c:pt idx="269">
                  <c:v>8.138017434110699</c:v>
                </c:pt>
                <c:pt idx="270">
                  <c:v>8.1613000688930999</c:v>
                </c:pt>
                <c:pt idx="271">
                  <c:v>8.1817629368985916</c:v>
                </c:pt>
                <c:pt idx="272">
                  <c:v>8.2000370436273329</c:v>
                </c:pt>
                <c:pt idx="273">
                  <c:v>8.2163406162225119</c:v>
                </c:pt>
                <c:pt idx="274">
                  <c:v>8.2309979721521387</c:v>
                </c:pt>
                <c:pt idx="275">
                  <c:v>8.2448744225564514</c:v>
                </c:pt>
                <c:pt idx="276">
                  <c:v>8.2585982210885209</c:v>
                </c:pt>
                <c:pt idx="277">
                  <c:v>8.2735366512879658</c:v>
                </c:pt>
                <c:pt idx="278">
                  <c:v>8.2909313488943788</c:v>
                </c:pt>
                <c:pt idx="279">
                  <c:v>8.3118133193956059</c:v>
                </c:pt>
                <c:pt idx="280">
                  <c:v>8.335414068276533</c:v>
                </c:pt>
                <c:pt idx="281">
                  <c:v>8.3597309195154565</c:v>
                </c:pt>
                <c:pt idx="282">
                  <c:v>8.3821678202307073</c:v>
                </c:pt>
                <c:pt idx="283">
                  <c:v>8.4018883137671523</c:v>
                </c:pt>
                <c:pt idx="284">
                  <c:v>8.4195001928109097</c:v>
                </c:pt>
                <c:pt idx="285">
                  <c:v>8.4352135379991129</c:v>
                </c:pt>
                <c:pt idx="286">
                  <c:v>8.4493407404537759</c:v>
                </c:pt>
                <c:pt idx="287">
                  <c:v>8.462715702809767</c:v>
                </c:pt>
                <c:pt idx="288">
                  <c:v>8.4759439356593393</c:v>
                </c:pt>
                <c:pt idx="289">
                  <c:v>8.4903434055740981</c:v>
                </c:pt>
                <c:pt idx="290">
                  <c:v>8.5071111402256818</c:v>
                </c:pt>
                <c:pt idx="291">
                  <c:v>8.5272413315927178</c:v>
                </c:pt>
                <c:pt idx="292">
                  <c:v>8.5499935658848756</c:v>
                </c:pt>
                <c:pt idx="293">
                  <c:v>8.5734374196209888</c:v>
                </c:pt>
                <c:pt idx="294">
                  <c:v>8.5950699456452408</c:v>
                </c:pt>
                <c:pt idx="295">
                  <c:v>8.6140843440983357</c:v>
                </c:pt>
                <c:pt idx="296">
                  <c:v>8.6310663377331114</c:v>
                </c:pt>
                <c:pt idx="297">
                  <c:v>8.6462182650144328</c:v>
                </c:pt>
                <c:pt idx="298">
                  <c:v>8.6598411778885911</c:v>
                </c:pt>
                <c:pt idx="299">
                  <c:v>8.6727391055683736</c:v>
                </c:pt>
                <c:pt idx="300">
                  <c:v>8.6854959254238384</c:v>
                </c:pt>
                <c:pt idx="301">
                  <c:v>8.6993826885347136</c:v>
                </c:pt>
                <c:pt idx="302">
                  <c:v>8.715553981406444</c:v>
                </c:pt>
                <c:pt idx="303">
                  <c:v>8.7349689639216574</c:v>
                </c:pt>
                <c:pt idx="304">
                  <c:v>8.7569139248260033</c:v>
                </c:pt>
                <c:pt idx="305">
                  <c:v>8.7795271743396146</c:v>
                </c:pt>
                <c:pt idx="306">
                  <c:v>8.8003943530817299</c:v>
                </c:pt>
                <c:pt idx="307">
                  <c:v>8.8187368889818512</c:v>
                </c:pt>
                <c:pt idx="308">
                  <c:v>8.8351195137806968</c:v>
                </c:pt>
                <c:pt idx="309">
                  <c:v>8.849737205628891</c:v>
                </c:pt>
                <c:pt idx="310">
                  <c:v>8.8628802315733246</c:v>
                </c:pt>
                <c:pt idx="311">
                  <c:v>8.8753241959601734</c:v>
                </c:pt>
                <c:pt idx="312">
                  <c:v>8.8876323901506638</c:v>
                </c:pt>
                <c:pt idx="313">
                  <c:v>8.9010312155082172</c:v>
                </c:pt>
                <c:pt idx="314">
                  <c:v>8.9166348616907918</c:v>
                </c:pt>
                <c:pt idx="315">
                  <c:v>8.9353691369632777</c:v>
                </c:pt>
                <c:pt idx="316">
                  <c:v>8.9565457320499622</c:v>
                </c:pt>
                <c:pt idx="317">
                  <c:v>8.9783683709034232</c:v>
                </c:pt>
                <c:pt idx="318">
                  <c:v>8.9985070197134025</c:v>
                </c:pt>
                <c:pt idx="319">
                  <c:v>9.0162099863710665</c:v>
                </c:pt>
                <c:pt idx="320">
                  <c:v>9.032022029694982</c:v>
                </c:pt>
                <c:pt idx="321">
                  <c:v>9.0461311279261789</c:v>
                </c:pt>
                <c:pt idx="322">
                  <c:v>9.0588172862136354</c:v>
                </c:pt>
                <c:pt idx="323">
                  <c:v>9.0708290505911684</c:v>
                </c:pt>
                <c:pt idx="324">
                  <c:v>9.0827101143121212</c:v>
                </c:pt>
                <c:pt idx="325">
                  <c:v>9.0956443663845814</c:v>
                </c:pt>
                <c:pt idx="326">
                  <c:v>9.1107075280298364</c:v>
                </c:pt>
                <c:pt idx="327">
                  <c:v>9.1287936410503079</c:v>
                </c:pt>
                <c:pt idx="328">
                  <c:v>9.1492385712342159</c:v>
                </c:pt>
                <c:pt idx="329">
                  <c:v>9.1703083244840862</c:v>
                </c:pt>
                <c:pt idx="330">
                  <c:v>9.1897531720786674</c:v>
                </c:pt>
                <c:pt idx="331">
                  <c:v>9.2068470305883654</c:v>
                </c:pt>
                <c:pt idx="332">
                  <c:v>9.2221156463540925</c:v>
                </c:pt>
                <c:pt idx="333">
                  <c:v>9.2357403377264689</c:v>
                </c:pt>
                <c:pt idx="334">
                  <c:v>9.24799134132852</c:v>
                </c:pt>
                <c:pt idx="335">
                  <c:v>9.259591433941921</c:v>
                </c:pt>
                <c:pt idx="336">
                  <c:v>9.2710656425872831</c:v>
                </c:pt>
                <c:pt idx="337">
                  <c:v>9.283557360057106</c:v>
                </c:pt>
                <c:pt idx="338">
                  <c:v>9.29810565819899</c:v>
                </c:pt>
                <c:pt idx="339">
                  <c:v>9.3155743076634536</c:v>
                </c:pt>
                <c:pt idx="340">
                  <c:v>9.3353221920344183</c:v>
                </c:pt>
                <c:pt idx="341">
                  <c:v>9.3556746450222708</c:v>
                </c:pt>
                <c:pt idx="342">
                  <c:v>9.3744584504855819</c:v>
                </c:pt>
                <c:pt idx="343">
                  <c:v>9.390971934448995</c:v>
                </c:pt>
                <c:pt idx="344">
                  <c:v>9.4057227367456075</c:v>
                </c:pt>
                <c:pt idx="345">
                  <c:v>9.4188858365506505</c:v>
                </c:pt>
                <c:pt idx="346">
                  <c:v>9.4307221673389225</c:v>
                </c:pt>
                <c:pt idx="347">
                  <c:v>9.4419299526222655</c:v>
                </c:pt>
                <c:pt idx="348">
                  <c:v>9.4530164322497399</c:v>
                </c:pt>
                <c:pt idx="349">
                  <c:v>9.4650864047219283</c:v>
                </c:pt>
                <c:pt idx="350">
                  <c:v>9.4791440085949858</c:v>
                </c:pt>
                <c:pt idx="351">
                  <c:v>9.4960241541242905</c:v>
                </c:pt>
                <c:pt idx="352">
                  <c:v>9.5151076511351551</c:v>
                </c:pt>
                <c:pt idx="353">
                  <c:v>9.5347763743755305</c:v>
                </c:pt>
                <c:pt idx="354">
                  <c:v>9.5529300424225809</c:v>
                </c:pt>
                <c:pt idx="355">
                  <c:v>9.568890259280515</c:v>
                </c:pt>
                <c:pt idx="356">
                  <c:v>9.5831474128757783</c:v>
                </c:pt>
                <c:pt idx="357">
                  <c:v>9.5958704456911779</c:v>
                </c:pt>
                <c:pt idx="358">
                  <c:v>9.6073114270369473</c:v>
                </c:pt>
                <c:pt idx="359">
                  <c:v>9.618145174336254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11344"/>
        <c:axId val="314102704"/>
      </c:scatterChart>
      <c:valAx>
        <c:axId val="307611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Cumulative Damage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14102704"/>
        <c:crosses val="autoZero"/>
        <c:crossBetween val="midCat"/>
      </c:valAx>
      <c:valAx>
        <c:axId val="31410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Number of Punchouts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07611344"/>
        <c:crosses val="autoZero"/>
        <c:crossBetween val="midCat"/>
      </c:valAx>
      <c:spPr>
        <a:ln w="28575">
          <a:solidFill>
            <a:sysClr val="windowText" lastClr="000000"/>
          </a:solidFill>
        </a:ln>
      </c:spPr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Time vs.</a:t>
            </a:r>
            <a:r>
              <a:rPr lang="en-US" sz="2400" baseline="0"/>
              <a:t> </a:t>
            </a:r>
            <a:r>
              <a:rPr lang="en-US" sz="2400"/>
              <a:t>Number of Punchouts</a:t>
            </a:r>
          </a:p>
        </c:rich>
      </c:tx>
      <c:layout>
        <c:manualLayout>
          <c:xMode val="edge"/>
          <c:yMode val="edge"/>
          <c:x val="0.32230594388763439"/>
          <c:y val="2.090090125673662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005331339554868"/>
          <c:y val="0.11028352319415798"/>
          <c:w val="0.79065014930262256"/>
          <c:h val="0.74895219832223359"/>
        </c:manualLayout>
      </c:layout>
      <c:scatterChart>
        <c:scatterStyle val="lineMarker"/>
        <c:varyColors val="0"/>
        <c:ser>
          <c:idx val="0"/>
          <c:order val="0"/>
          <c:tx>
            <c:strRef>
              <c:f>'Analysis Result'!$M$1</c:f>
              <c:strCache>
                <c:ptCount val="1"/>
                <c:pt idx="0">
                  <c:v>Number of Punchouts
per Mile</c:v>
                </c:pt>
              </c:strCache>
            </c:strRef>
          </c:tx>
          <c:spPr>
            <a:ln w="28575">
              <a:noFill/>
            </a:ln>
          </c:spPr>
          <c:marker>
            <c:spPr>
              <a:ln>
                <a:solidFill>
                  <a:schemeClr val="tx2"/>
                </a:solidFill>
              </a:ln>
            </c:spPr>
          </c:marker>
          <c:xVal>
            <c:numRef>
              <c:f>'Analysis Result'!$A$2:$A$1000</c:f>
              <c:numCache>
                <c:formatCode>0</c:formatCode>
                <c:ptCount val="9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</c:numCache>
            </c:numRef>
          </c:xVal>
          <c:yVal>
            <c:numRef>
              <c:f>'Analysis Result'!$M$2:$M$1000</c:f>
              <c:numCache>
                <c:formatCode>0.00</c:formatCode>
                <c:ptCount val="999"/>
                <c:pt idx="0">
                  <c:v>3.0299277420393404E-2</c:v>
                </c:pt>
                <c:pt idx="1">
                  <c:v>6.2025812589270868E-2</c:v>
                </c:pt>
                <c:pt idx="2">
                  <c:v>9.9087349511094519E-2</c:v>
                </c:pt>
                <c:pt idx="3">
                  <c:v>0.14413443533031461</c:v>
                </c:pt>
                <c:pt idx="4">
                  <c:v>0.19582038109483474</c:v>
                </c:pt>
                <c:pt idx="5">
                  <c:v>0.24983828920234608</c:v>
                </c:pt>
                <c:pt idx="6">
                  <c:v>0.30026896922417046</c:v>
                </c:pt>
                <c:pt idx="7">
                  <c:v>0.34498782912779791</c:v>
                </c:pt>
                <c:pt idx="8">
                  <c:v>0.38518925184777475</c:v>
                </c:pt>
                <c:pt idx="9">
                  <c:v>0.42124302103054007</c:v>
                </c:pt>
                <c:pt idx="10">
                  <c:v>0.45379187914262298</c:v>
                </c:pt>
                <c:pt idx="11">
                  <c:v>0.4847124090572914</c:v>
                </c:pt>
                <c:pt idx="12">
                  <c:v>0.51538678169755314</c:v>
                </c:pt>
                <c:pt idx="13">
                  <c:v>0.54887474448907292</c:v>
                </c:pt>
                <c:pt idx="14">
                  <c:v>0.58799685956973657</c:v>
                </c:pt>
                <c:pt idx="15">
                  <c:v>0.63514413344809439</c:v>
                </c:pt>
                <c:pt idx="16">
                  <c:v>0.68866811428267949</c:v>
                </c:pt>
                <c:pt idx="17">
                  <c:v>0.74407022446921034</c:v>
                </c:pt>
                <c:pt idx="18">
                  <c:v>0.79540502549891412</c:v>
                </c:pt>
                <c:pt idx="19">
                  <c:v>0.84068242076799926</c:v>
                </c:pt>
                <c:pt idx="20">
                  <c:v>0.88123134544612236</c:v>
                </c:pt>
                <c:pt idx="21">
                  <c:v>0.91749191020629672</c:v>
                </c:pt>
                <c:pt idx="22">
                  <c:v>0.95015372667036135</c:v>
                </c:pt>
                <c:pt idx="23">
                  <c:v>0.98112477386332075</c:v>
                </c:pt>
                <c:pt idx="24">
                  <c:v>1.0117985689895173</c:v>
                </c:pt>
                <c:pt idx="25">
                  <c:v>1.0452314806016747</c:v>
                </c:pt>
                <c:pt idx="26">
                  <c:v>1.0842172387346527</c:v>
                </c:pt>
                <c:pt idx="27">
                  <c:v>1.1310969028224431</c:v>
                </c:pt>
                <c:pt idx="28">
                  <c:v>1.1841833776564488</c:v>
                </c:pt>
                <c:pt idx="29">
                  <c:v>1.2389926733734562</c:v>
                </c:pt>
                <c:pt idx="30">
                  <c:v>1.2896618966822166</c:v>
                </c:pt>
                <c:pt idx="31">
                  <c:v>1.3342688841406904</c:v>
                </c:pt>
                <c:pt idx="32">
                  <c:v>1.3741583172057099</c:v>
                </c:pt>
                <c:pt idx="33">
                  <c:v>1.409786112075577</c:v>
                </c:pt>
                <c:pt idx="34">
                  <c:v>1.4418460955794732</c:v>
                </c:pt>
                <c:pt idx="35">
                  <c:v>1.4722210957285344</c:v>
                </c:pt>
                <c:pt idx="36">
                  <c:v>1.5022819086467378</c:v>
                </c:pt>
                <c:pt idx="37">
                  <c:v>1.535022822523129</c:v>
                </c:pt>
                <c:pt idx="38">
                  <c:v>1.5731710657915616</c:v>
                </c:pt>
                <c:pt idx="39">
                  <c:v>1.6190004993539295</c:v>
                </c:pt>
                <c:pt idx="40">
                  <c:v>1.6708414050771165</c:v>
                </c:pt>
                <c:pt idx="41">
                  <c:v>1.7243042226275238</c:v>
                </c:pt>
                <c:pt idx="42">
                  <c:v>1.7736766748619774</c:v>
                </c:pt>
                <c:pt idx="43">
                  <c:v>1.8171033887223436</c:v>
                </c:pt>
                <c:pt idx="44">
                  <c:v>1.8559090598006001</c:v>
                </c:pt>
                <c:pt idx="45">
                  <c:v>1.890547714830928</c:v>
                </c:pt>
                <c:pt idx="46">
                  <c:v>1.9217015852456074</c:v>
                </c:pt>
                <c:pt idx="47">
                  <c:v>1.9512051133359423</c:v>
                </c:pt>
                <c:pt idx="48">
                  <c:v>1.9803917734833403</c:v>
                </c:pt>
                <c:pt idx="49">
                  <c:v>2.0121682624006225</c:v>
                </c:pt>
                <c:pt idx="50">
                  <c:v>2.0491770854600011</c:v>
                </c:pt>
                <c:pt idx="51">
                  <c:v>2.0936155606883431</c:v>
                </c:pt>
                <c:pt idx="52">
                  <c:v>2.1438540305140776</c:v>
                </c:pt>
                <c:pt idx="53">
                  <c:v>2.1956327091454275</c:v>
                </c:pt>
                <c:pt idx="54">
                  <c:v>2.243422310858934</c:v>
                </c:pt>
                <c:pt idx="55">
                  <c:v>2.2854359714869483</c:v>
                </c:pt>
                <c:pt idx="56">
                  <c:v>2.3229634843343883</c:v>
                </c:pt>
                <c:pt idx="57">
                  <c:v>2.3564495287214107</c:v>
                </c:pt>
                <c:pt idx="58">
                  <c:v>2.3865577898612838</c:v>
                </c:pt>
                <c:pt idx="59">
                  <c:v>2.4150637919047258</c:v>
                </c:pt>
                <c:pt idx="60">
                  <c:v>2.4432570331937478</c:v>
                </c:pt>
                <c:pt idx="61">
                  <c:v>2.4739449953780621</c:v>
                </c:pt>
                <c:pt idx="62">
                  <c:v>2.5096772175054975</c:v>
                </c:pt>
                <c:pt idx="63">
                  <c:v>2.5525703826343875</c:v>
                </c:pt>
                <c:pt idx="64">
                  <c:v>2.6010454697751841</c:v>
                </c:pt>
                <c:pt idx="65">
                  <c:v>2.6509887559219973</c:v>
                </c:pt>
                <c:pt idx="66">
                  <c:v>2.6970685544503765</c:v>
                </c:pt>
                <c:pt idx="67">
                  <c:v>2.737567017960167</c:v>
                </c:pt>
                <c:pt idx="68">
                  <c:v>2.7737321176368139</c:v>
                </c:pt>
                <c:pt idx="69">
                  <c:v>2.8059956180371515</c:v>
                </c:pt>
                <c:pt idx="70">
                  <c:v>2.8349993848393353</c:v>
                </c:pt>
                <c:pt idx="71">
                  <c:v>2.8624553638446089</c:v>
                </c:pt>
                <c:pt idx="72">
                  <c:v>2.8896062108953706</c:v>
                </c:pt>
                <c:pt idx="73">
                  <c:v>2.919155463118456</c:v>
                </c:pt>
                <c:pt idx="74">
                  <c:v>2.9535566449224073</c:v>
                </c:pt>
                <c:pt idx="75">
                  <c:v>2.994844772861152</c:v>
                </c:pt>
                <c:pt idx="76">
                  <c:v>3.0414963531974535</c:v>
                </c:pt>
                <c:pt idx="77">
                  <c:v>3.089550332558598</c:v>
                </c:pt>
                <c:pt idx="78">
                  <c:v>3.1338776080172144</c:v>
                </c:pt>
                <c:pt idx="79">
                  <c:v>3.1728286514824826</c:v>
                </c:pt>
                <c:pt idx="80">
                  <c:v>3.2076065367230546</c:v>
                </c:pt>
                <c:pt idx="81">
                  <c:v>3.2386283853867015</c:v>
                </c:pt>
                <c:pt idx="82">
                  <c:v>3.2665127990000462</c:v>
                </c:pt>
                <c:pt idx="83">
                  <c:v>3.2929065928200552</c:v>
                </c:pt>
                <c:pt idx="84">
                  <c:v>3.3190047501595452</c:v>
                </c:pt>
                <c:pt idx="85">
                  <c:v>3.3474059281895472</c:v>
                </c:pt>
                <c:pt idx="86">
                  <c:v>3.3804675166628244</c:v>
                </c:pt>
                <c:pt idx="87">
                  <c:v>3.4201436490154205</c:v>
                </c:pt>
                <c:pt idx="88">
                  <c:v>3.464968210969952</c:v>
                </c:pt>
                <c:pt idx="89">
                  <c:v>3.5111340307882135</c:v>
                </c:pt>
                <c:pt idx="90">
                  <c:v>3.5537140393091482</c:v>
                </c:pt>
                <c:pt idx="91">
                  <c:v>3.5911254877637471</c:v>
                </c:pt>
                <c:pt idx="92">
                  <c:v>3.6245255565792167</c:v>
                </c:pt>
                <c:pt idx="93">
                  <c:v>3.654315979629378</c:v>
                </c:pt>
                <c:pt idx="94">
                  <c:v>3.6810916560166835</c:v>
                </c:pt>
                <c:pt idx="95">
                  <c:v>3.706434487628314</c:v>
                </c:pt>
                <c:pt idx="96">
                  <c:v>3.7314921235541747</c:v>
                </c:pt>
                <c:pt idx="97">
                  <c:v>3.7587596081777059</c:v>
                </c:pt>
                <c:pt idx="98">
                  <c:v>3.790499795389374</c:v>
                </c:pt>
                <c:pt idx="99">
                  <c:v>3.8285878073701372</c:v>
                </c:pt>
                <c:pt idx="100">
                  <c:v>3.8716150195479777</c:v>
                </c:pt>
                <c:pt idx="101">
                  <c:v>3.9159262001237174</c:v>
                </c:pt>
                <c:pt idx="102">
                  <c:v>3.9567924836926718</c:v>
                </c:pt>
                <c:pt idx="103">
                  <c:v>3.9926958234365526</c:v>
                </c:pt>
                <c:pt idx="104">
                  <c:v>4.0247477087233294</c:v>
                </c:pt>
                <c:pt idx="105">
                  <c:v>4.0533343050923349</c:v>
                </c:pt>
                <c:pt idx="106">
                  <c:v>4.0790269562914157</c:v>
                </c:pt>
                <c:pt idx="107">
                  <c:v>4.1033439105787171</c:v>
                </c:pt>
                <c:pt idx="108">
                  <c:v>4.1273865110654375</c:v>
                </c:pt>
                <c:pt idx="109">
                  <c:v>4.153548761287075</c:v>
                </c:pt>
                <c:pt idx="110">
                  <c:v>4.1840015976436318</c:v>
                </c:pt>
                <c:pt idx="111">
                  <c:v>4.2205436492353412</c:v>
                </c:pt>
                <c:pt idx="112">
                  <c:v>4.2618228573668695</c:v>
                </c:pt>
                <c:pt idx="113">
                  <c:v>4.3043321131441719</c:v>
                </c:pt>
                <c:pt idx="114">
                  <c:v>4.3435349744109093</c:v>
                </c:pt>
                <c:pt idx="115">
                  <c:v>4.377975698685546</c:v>
                </c:pt>
                <c:pt idx="116">
                  <c:v>4.4087209974610033</c:v>
                </c:pt>
                <c:pt idx="117">
                  <c:v>4.4361416238355513</c:v>
                </c:pt>
                <c:pt idx="118">
                  <c:v>4.4607858621804688</c:v>
                </c:pt>
                <c:pt idx="119">
                  <c:v>4.4841101841304063</c:v>
                </c:pt>
                <c:pt idx="120">
                  <c:v>4.5071710622589638</c:v>
                </c:pt>
                <c:pt idx="121">
                  <c:v>4.5322647968764667</c:v>
                </c:pt>
                <c:pt idx="122">
                  <c:v>4.5614736182301856</c:v>
                </c:pt>
                <c:pt idx="123">
                  <c:v>4.5965225482799266</c:v>
                </c:pt>
                <c:pt idx="124">
                  <c:v>4.6361145516884115</c:v>
                </c:pt>
                <c:pt idx="125">
                  <c:v>4.6768857229814218</c:v>
                </c:pt>
                <c:pt idx="126">
                  <c:v>4.7144851337743754</c:v>
                </c:pt>
                <c:pt idx="127">
                  <c:v>4.7475167767855035</c:v>
                </c:pt>
                <c:pt idx="128">
                  <c:v>4.7770039212385385</c:v>
                </c:pt>
                <c:pt idx="129">
                  <c:v>4.803302267001099</c:v>
                </c:pt>
                <c:pt idx="130">
                  <c:v>4.8269377425947315</c:v>
                </c:pt>
                <c:pt idx="131">
                  <c:v>4.8493072756708404</c:v>
                </c:pt>
                <c:pt idx="132">
                  <c:v>4.8714241358134691</c:v>
                </c:pt>
                <c:pt idx="133">
                  <c:v>4.8954906860291931</c:v>
                </c:pt>
                <c:pt idx="134">
                  <c:v>4.9235039849228883</c:v>
                </c:pt>
                <c:pt idx="135">
                  <c:v>4.9571185212809397</c:v>
                </c:pt>
                <c:pt idx="136">
                  <c:v>4.9950903778693405</c:v>
                </c:pt>
                <c:pt idx="137">
                  <c:v>5.0341933165855242</c:v>
                </c:pt>
                <c:pt idx="138">
                  <c:v>5.0702544081606638</c:v>
                </c:pt>
                <c:pt idx="139">
                  <c:v>5.1019347405748929</c:v>
                </c:pt>
                <c:pt idx="140">
                  <c:v>5.1302157199978291</c:v>
                </c:pt>
                <c:pt idx="141">
                  <c:v>5.1554384738277799</c:v>
                </c:pt>
                <c:pt idx="142">
                  <c:v>5.1781073976149106</c:v>
                </c:pt>
                <c:pt idx="143">
                  <c:v>5.1995622969549675</c:v>
                </c:pt>
                <c:pt idx="144">
                  <c:v>5.2207750263031283</c:v>
                </c:pt>
                <c:pt idx="145">
                  <c:v>5.2438579887144243</c:v>
                </c:pt>
                <c:pt idx="146">
                  <c:v>5.270726754303773</c:v>
                </c:pt>
                <c:pt idx="147">
                  <c:v>5.3029684230103245</c:v>
                </c:pt>
                <c:pt idx="148">
                  <c:v>5.3393900907001317</c:v>
                </c:pt>
                <c:pt idx="149">
                  <c:v>5.376897347299467</c:v>
                </c:pt>
                <c:pt idx="150">
                  <c:v>5.4114874833766793</c:v>
                </c:pt>
                <c:pt idx="151">
                  <c:v>5.441876039200646</c:v>
                </c:pt>
                <c:pt idx="152">
                  <c:v>5.4690042664399501</c:v>
                </c:pt>
                <c:pt idx="153">
                  <c:v>5.4931992703659764</c:v>
                </c:pt>
                <c:pt idx="154">
                  <c:v>5.5149447991783438</c:v>
                </c:pt>
                <c:pt idx="155">
                  <c:v>5.535526039690283</c:v>
                </c:pt>
                <c:pt idx="156">
                  <c:v>5.5558752666962956</c:v>
                </c:pt>
                <c:pt idx="157">
                  <c:v>5.5780189705420771</c:v>
                </c:pt>
                <c:pt idx="158">
                  <c:v>5.603794950392019</c:v>
                </c:pt>
                <c:pt idx="159">
                  <c:v>5.6347260545828215</c:v>
                </c:pt>
                <c:pt idx="160">
                  <c:v>5.66966819330771</c:v>
                </c:pt>
                <c:pt idx="161">
                  <c:v>5.7056528467585483</c:v>
                </c:pt>
                <c:pt idx="162">
                  <c:v>5.7388397049772069</c:v>
                </c:pt>
                <c:pt idx="163">
                  <c:v>5.7679961596549232</c:v>
                </c:pt>
                <c:pt idx="164">
                  <c:v>5.7940250714428867</c:v>
                </c:pt>
                <c:pt idx="165">
                  <c:v>5.8172401096203368</c:v>
                </c:pt>
                <c:pt idx="166">
                  <c:v>5.8381052864361944</c:v>
                </c:pt>
                <c:pt idx="167">
                  <c:v>5.8578536838052484</c:v>
                </c:pt>
                <c:pt idx="168">
                  <c:v>5.8773798322741246</c:v>
                </c:pt>
                <c:pt idx="169">
                  <c:v>5.8986283337664425</c:v>
                </c:pt>
                <c:pt idx="170">
                  <c:v>5.9233628934886919</c:v>
                </c:pt>
                <c:pt idx="171">
                  <c:v>5.9530451875998631</c:v>
                </c:pt>
                <c:pt idx="172">
                  <c:v>5.986577717743601</c:v>
                </c:pt>
                <c:pt idx="173">
                  <c:v>6.0211119527633619</c:v>
                </c:pt>
                <c:pt idx="174">
                  <c:v>6.0529622674068309</c:v>
                </c:pt>
                <c:pt idx="175">
                  <c:v>6.0809453755553475</c:v>
                </c:pt>
                <c:pt idx="176">
                  <c:v>6.1059275163833115</c:v>
                </c:pt>
                <c:pt idx="177">
                  <c:v>6.1282095228478912</c:v>
                </c:pt>
                <c:pt idx="178">
                  <c:v>6.1482365841100544</c:v>
                </c:pt>
                <c:pt idx="179">
                  <c:v>6.1671921553432405</c:v>
                </c:pt>
                <c:pt idx="180">
                  <c:v>6.185934827030346</c:v>
                </c:pt>
                <c:pt idx="181">
                  <c:v>6.2063312534415802</c:v>
                </c:pt>
                <c:pt idx="182">
                  <c:v>6.2300746335795516</c:v>
                </c:pt>
                <c:pt idx="183">
                  <c:v>6.2585684603365941</c:v>
                </c:pt>
                <c:pt idx="184">
                  <c:v>6.2907596256871141</c:v>
                </c:pt>
                <c:pt idx="185">
                  <c:v>6.3239138095123373</c:v>
                </c:pt>
                <c:pt idx="186">
                  <c:v>6.3544925572299613</c:v>
                </c:pt>
                <c:pt idx="187">
                  <c:v>6.3813594660004958</c:v>
                </c:pt>
                <c:pt idx="188">
                  <c:v>6.4053458970547528</c:v>
                </c:pt>
                <c:pt idx="189">
                  <c:v>6.4267404455099246</c:v>
                </c:pt>
                <c:pt idx="190">
                  <c:v>6.445970375805623</c:v>
                </c:pt>
                <c:pt idx="191">
                  <c:v>6.4641719288091464</c:v>
                </c:pt>
                <c:pt idx="192">
                  <c:v>6.4821695078018884</c:v>
                </c:pt>
                <c:pt idx="193">
                  <c:v>6.5017556378844903</c:v>
                </c:pt>
                <c:pt idx="194">
                  <c:v>6.5245564794837998</c:v>
                </c:pt>
                <c:pt idx="195">
                  <c:v>6.5519202202803788</c:v>
                </c:pt>
                <c:pt idx="196">
                  <c:v>6.5828359931326625</c:v>
                </c:pt>
                <c:pt idx="197">
                  <c:v>6.614678091594322</c:v>
                </c:pt>
                <c:pt idx="198">
                  <c:v>6.6440479784899891</c:v>
                </c:pt>
                <c:pt idx="199">
                  <c:v>6.6698537968000862</c:v>
                </c:pt>
                <c:pt idx="200">
                  <c:v>6.692893726566842</c:v>
                </c:pt>
                <c:pt idx="201">
                  <c:v>6.713444712672163</c:v>
                </c:pt>
                <c:pt idx="202">
                  <c:v>6.7319169683761642</c:v>
                </c:pt>
                <c:pt idx="203">
                  <c:v>6.7494018480756512</c:v>
                </c:pt>
                <c:pt idx="204">
                  <c:v>6.7666912568505593</c:v>
                </c:pt>
                <c:pt idx="205">
                  <c:v>6.7855072629729936</c:v>
                </c:pt>
                <c:pt idx="206">
                  <c:v>6.8074123171247862</c:v>
                </c:pt>
                <c:pt idx="207">
                  <c:v>6.8337020571533458</c:v>
                </c:pt>
                <c:pt idx="208">
                  <c:v>6.863405778093604</c:v>
                </c:pt>
                <c:pt idx="209">
                  <c:v>6.8940010046597386</c:v>
                </c:pt>
                <c:pt idx="210">
                  <c:v>6.9222221604973315</c:v>
                </c:pt>
                <c:pt idx="211">
                  <c:v>6.9470197042543367</c:v>
                </c:pt>
                <c:pt idx="212">
                  <c:v>6.9691602716898977</c:v>
                </c:pt>
                <c:pt idx="213">
                  <c:v>6.9889097279087142</c:v>
                </c:pt>
                <c:pt idx="214">
                  <c:v>7.0066620772261903</c:v>
                </c:pt>
                <c:pt idx="215">
                  <c:v>7.0234660195669942</c:v>
                </c:pt>
                <c:pt idx="216">
                  <c:v>7.0400825796038706</c:v>
                </c:pt>
                <c:pt idx="217">
                  <c:v>7.0581668813976126</c:v>
                </c:pt>
                <c:pt idx="218">
                  <c:v>7.0792208456818297</c:v>
                </c:pt>
                <c:pt idx="219">
                  <c:v>7.1044901872543882</c:v>
                </c:pt>
                <c:pt idx="220">
                  <c:v>7.1330423669628757</c:v>
                </c:pt>
                <c:pt idx="221">
                  <c:v>7.1624529926935017</c:v>
                </c:pt>
                <c:pt idx="222">
                  <c:v>7.1895828082191588</c:v>
                </c:pt>
                <c:pt idx="223">
                  <c:v>7.2134224671909601</c:v>
                </c:pt>
                <c:pt idx="224">
                  <c:v>7.2347086303696306</c:v>
                </c:pt>
                <c:pt idx="225">
                  <c:v>7.253696632476327</c:v>
                </c:pt>
                <c:pt idx="226">
                  <c:v>7.2707650759784279</c:v>
                </c:pt>
                <c:pt idx="227">
                  <c:v>7.2869221365303725</c:v>
                </c:pt>
                <c:pt idx="228">
                  <c:v>7.3028995012342577</c:v>
                </c:pt>
                <c:pt idx="229">
                  <c:v>7.3202886963584008</c:v>
                </c:pt>
                <c:pt idx="230">
                  <c:v>7.340534139048037</c:v>
                </c:pt>
                <c:pt idx="231">
                  <c:v>7.3648341174025456</c:v>
                </c:pt>
                <c:pt idx="232">
                  <c:v>7.3922923505032445</c:v>
                </c:pt>
                <c:pt idx="233">
                  <c:v>7.4205776252785052</c:v>
                </c:pt>
                <c:pt idx="234">
                  <c:v>7.4466706884956126</c:v>
                </c:pt>
                <c:pt idx="235">
                  <c:v>7.4696003772723252</c:v>
                </c:pt>
                <c:pt idx="236">
                  <c:v>7.4900748749299195</c:v>
                </c:pt>
                <c:pt idx="237">
                  <c:v>7.5083395118459784</c:v>
                </c:pt>
                <c:pt idx="238">
                  <c:v>7.5247582586030912</c:v>
                </c:pt>
                <c:pt idx="239">
                  <c:v>7.540300792680898</c:v>
                </c:pt>
                <c:pt idx="240">
                  <c:v>7.5556709302190228</c:v>
                </c:pt>
                <c:pt idx="241">
                  <c:v>7.5723997783436987</c:v>
                </c:pt>
                <c:pt idx="242">
                  <c:v>7.5918771231514217</c:v>
                </c:pt>
                <c:pt idx="243">
                  <c:v>7.6152561929271112</c:v>
                </c:pt>
                <c:pt idx="244">
                  <c:v>7.6416751490549029</c:v>
                </c:pt>
                <c:pt idx="245">
                  <c:v>7.6688912994328691</c:v>
                </c:pt>
                <c:pt idx="246">
                  <c:v>7.6939993999670504</c:v>
                </c:pt>
                <c:pt idx="247">
                  <c:v>7.7160645667386243</c:v>
                </c:pt>
                <c:pt idx="248">
                  <c:v>7.735767929894747</c:v>
                </c:pt>
                <c:pt idx="249">
                  <c:v>7.753345316997696</c:v>
                </c:pt>
                <c:pt idx="250">
                  <c:v>7.7691467988503158</c:v>
                </c:pt>
                <c:pt idx="251">
                  <c:v>7.784105476946781</c:v>
                </c:pt>
                <c:pt idx="252">
                  <c:v>7.7988986872772541</c:v>
                </c:pt>
                <c:pt idx="253">
                  <c:v>7.8150001304959504</c:v>
                </c:pt>
                <c:pt idx="254">
                  <c:v>7.8337476827290597</c:v>
                </c:pt>
                <c:pt idx="255">
                  <c:v>7.8562517527275419</c:v>
                </c:pt>
                <c:pt idx="256">
                  <c:v>7.881683220287564</c:v>
                </c:pt>
                <c:pt idx="257">
                  <c:v>7.9078834995727982</c:v>
                </c:pt>
                <c:pt idx="258">
                  <c:v>7.9320556793520858</c:v>
                </c:pt>
                <c:pt idx="259">
                  <c:v>7.9532993539482302</c:v>
                </c:pt>
                <c:pt idx="260">
                  <c:v>7.9722699514843578</c:v>
                </c:pt>
                <c:pt idx="261">
                  <c:v>7.9891942733506367</c:v>
                </c:pt>
                <c:pt idx="262">
                  <c:v>8.0044091849666401</c:v>
                </c:pt>
                <c:pt idx="263">
                  <c:v>8.0188130320317192</c:v>
                </c:pt>
                <c:pt idx="264">
                  <c:v>8.0330579869922971</c:v>
                </c:pt>
                <c:pt idx="265">
                  <c:v>8.0485631947716705</c:v>
                </c:pt>
                <c:pt idx="266">
                  <c:v>8.0666171953377361</c:v>
                </c:pt>
                <c:pt idx="267">
                  <c:v>8.0882896957013681</c:v>
                </c:pt>
                <c:pt idx="268">
                  <c:v>8.1127826609224023</c:v>
                </c:pt>
                <c:pt idx="269">
                  <c:v>8.138017434110699</c:v>
                </c:pt>
                <c:pt idx="270">
                  <c:v>8.1613000688930999</c:v>
                </c:pt>
                <c:pt idx="271">
                  <c:v>8.1817629368985916</c:v>
                </c:pt>
                <c:pt idx="272">
                  <c:v>8.2000370436273329</c:v>
                </c:pt>
                <c:pt idx="273">
                  <c:v>8.2163406162225119</c:v>
                </c:pt>
                <c:pt idx="274">
                  <c:v>8.2309979721521387</c:v>
                </c:pt>
                <c:pt idx="275">
                  <c:v>8.2448744225564514</c:v>
                </c:pt>
                <c:pt idx="276">
                  <c:v>8.2585982210885209</c:v>
                </c:pt>
                <c:pt idx="277">
                  <c:v>8.2735366512879658</c:v>
                </c:pt>
                <c:pt idx="278">
                  <c:v>8.2909313488943788</c:v>
                </c:pt>
                <c:pt idx="279">
                  <c:v>8.3118133193956059</c:v>
                </c:pt>
                <c:pt idx="280">
                  <c:v>8.335414068276533</c:v>
                </c:pt>
                <c:pt idx="281">
                  <c:v>8.3597309195154565</c:v>
                </c:pt>
                <c:pt idx="282">
                  <c:v>8.3821678202307073</c:v>
                </c:pt>
                <c:pt idx="283">
                  <c:v>8.4018883137671523</c:v>
                </c:pt>
                <c:pt idx="284">
                  <c:v>8.4195001928109097</c:v>
                </c:pt>
                <c:pt idx="285">
                  <c:v>8.4352135379991129</c:v>
                </c:pt>
                <c:pt idx="286">
                  <c:v>8.4493407404537759</c:v>
                </c:pt>
                <c:pt idx="287">
                  <c:v>8.462715702809767</c:v>
                </c:pt>
                <c:pt idx="288">
                  <c:v>8.4759439356593393</c:v>
                </c:pt>
                <c:pt idx="289">
                  <c:v>8.4903434055740981</c:v>
                </c:pt>
                <c:pt idx="290">
                  <c:v>8.5071111402256818</c:v>
                </c:pt>
                <c:pt idx="291">
                  <c:v>8.5272413315927178</c:v>
                </c:pt>
                <c:pt idx="292">
                  <c:v>8.5499935658848756</c:v>
                </c:pt>
                <c:pt idx="293">
                  <c:v>8.5734374196209888</c:v>
                </c:pt>
                <c:pt idx="294">
                  <c:v>8.5950699456452408</c:v>
                </c:pt>
                <c:pt idx="295">
                  <c:v>8.6140843440983357</c:v>
                </c:pt>
                <c:pt idx="296">
                  <c:v>8.6310663377331114</c:v>
                </c:pt>
                <c:pt idx="297">
                  <c:v>8.6462182650144328</c:v>
                </c:pt>
                <c:pt idx="298">
                  <c:v>8.6598411778885911</c:v>
                </c:pt>
                <c:pt idx="299">
                  <c:v>8.6727391055683736</c:v>
                </c:pt>
                <c:pt idx="300">
                  <c:v>8.6854959254238384</c:v>
                </c:pt>
                <c:pt idx="301">
                  <c:v>8.6993826885347136</c:v>
                </c:pt>
                <c:pt idx="302">
                  <c:v>8.715553981406444</c:v>
                </c:pt>
                <c:pt idx="303">
                  <c:v>8.7349689639216574</c:v>
                </c:pt>
                <c:pt idx="304">
                  <c:v>8.7569139248260033</c:v>
                </c:pt>
                <c:pt idx="305">
                  <c:v>8.7795271743396146</c:v>
                </c:pt>
                <c:pt idx="306">
                  <c:v>8.8003943530817299</c:v>
                </c:pt>
                <c:pt idx="307">
                  <c:v>8.8187368889818512</c:v>
                </c:pt>
                <c:pt idx="308">
                  <c:v>8.8351195137806968</c:v>
                </c:pt>
                <c:pt idx="309">
                  <c:v>8.849737205628891</c:v>
                </c:pt>
                <c:pt idx="310">
                  <c:v>8.8628802315733246</c:v>
                </c:pt>
                <c:pt idx="311">
                  <c:v>8.8753241959601734</c:v>
                </c:pt>
                <c:pt idx="312">
                  <c:v>8.8876323901506638</c:v>
                </c:pt>
                <c:pt idx="313">
                  <c:v>8.9010312155082172</c:v>
                </c:pt>
                <c:pt idx="314">
                  <c:v>8.9166348616907918</c:v>
                </c:pt>
                <c:pt idx="315">
                  <c:v>8.9353691369632777</c:v>
                </c:pt>
                <c:pt idx="316">
                  <c:v>8.9565457320499622</c:v>
                </c:pt>
                <c:pt idx="317">
                  <c:v>8.9783683709034232</c:v>
                </c:pt>
                <c:pt idx="318">
                  <c:v>8.9985070197134025</c:v>
                </c:pt>
                <c:pt idx="319">
                  <c:v>9.0162099863710665</c:v>
                </c:pt>
                <c:pt idx="320">
                  <c:v>9.032022029694982</c:v>
                </c:pt>
                <c:pt idx="321">
                  <c:v>9.0461311279261789</c:v>
                </c:pt>
                <c:pt idx="322">
                  <c:v>9.0588172862136354</c:v>
                </c:pt>
                <c:pt idx="323">
                  <c:v>9.0708290505911684</c:v>
                </c:pt>
                <c:pt idx="324">
                  <c:v>9.0827101143121212</c:v>
                </c:pt>
                <c:pt idx="325">
                  <c:v>9.0956443663845814</c:v>
                </c:pt>
                <c:pt idx="326">
                  <c:v>9.1107075280298364</c:v>
                </c:pt>
                <c:pt idx="327">
                  <c:v>9.1287936410503079</c:v>
                </c:pt>
                <c:pt idx="328">
                  <c:v>9.1492385712342159</c:v>
                </c:pt>
                <c:pt idx="329">
                  <c:v>9.1703083244840862</c:v>
                </c:pt>
                <c:pt idx="330">
                  <c:v>9.1897531720786674</c:v>
                </c:pt>
                <c:pt idx="331">
                  <c:v>9.2068470305883654</c:v>
                </c:pt>
                <c:pt idx="332">
                  <c:v>9.2221156463540925</c:v>
                </c:pt>
                <c:pt idx="333">
                  <c:v>9.2357403377264689</c:v>
                </c:pt>
                <c:pt idx="334">
                  <c:v>9.24799134132852</c:v>
                </c:pt>
                <c:pt idx="335">
                  <c:v>9.259591433941921</c:v>
                </c:pt>
                <c:pt idx="336">
                  <c:v>9.2710656425872831</c:v>
                </c:pt>
                <c:pt idx="337">
                  <c:v>9.283557360057106</c:v>
                </c:pt>
                <c:pt idx="338">
                  <c:v>9.29810565819899</c:v>
                </c:pt>
                <c:pt idx="339">
                  <c:v>9.3155743076634536</c:v>
                </c:pt>
                <c:pt idx="340">
                  <c:v>9.3353221920344183</c:v>
                </c:pt>
                <c:pt idx="341">
                  <c:v>9.3556746450222708</c:v>
                </c:pt>
                <c:pt idx="342">
                  <c:v>9.3744584504855819</c:v>
                </c:pt>
                <c:pt idx="343">
                  <c:v>9.390971934448995</c:v>
                </c:pt>
                <c:pt idx="344">
                  <c:v>9.4057227367456075</c:v>
                </c:pt>
                <c:pt idx="345">
                  <c:v>9.4188858365506505</c:v>
                </c:pt>
                <c:pt idx="346">
                  <c:v>9.4307221673389225</c:v>
                </c:pt>
                <c:pt idx="347">
                  <c:v>9.4419299526222655</c:v>
                </c:pt>
                <c:pt idx="348">
                  <c:v>9.4530164322497399</c:v>
                </c:pt>
                <c:pt idx="349">
                  <c:v>9.4650864047219283</c:v>
                </c:pt>
                <c:pt idx="350">
                  <c:v>9.4791440085949858</c:v>
                </c:pt>
                <c:pt idx="351">
                  <c:v>9.4960241541242905</c:v>
                </c:pt>
                <c:pt idx="352">
                  <c:v>9.5151076511351551</c:v>
                </c:pt>
                <c:pt idx="353">
                  <c:v>9.5347763743755305</c:v>
                </c:pt>
                <c:pt idx="354">
                  <c:v>9.5529300424225809</c:v>
                </c:pt>
                <c:pt idx="355">
                  <c:v>9.568890259280515</c:v>
                </c:pt>
                <c:pt idx="356">
                  <c:v>9.5831474128757783</c:v>
                </c:pt>
                <c:pt idx="357">
                  <c:v>9.5958704456911779</c:v>
                </c:pt>
                <c:pt idx="358">
                  <c:v>9.6073114270369473</c:v>
                </c:pt>
                <c:pt idx="359">
                  <c:v>9.618145174336254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104944"/>
        <c:axId val="314105504"/>
      </c:scatterChart>
      <c:valAx>
        <c:axId val="314104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US" sz="2000"/>
                  <a:t>Time [months]</a:t>
                </a:r>
              </a:p>
            </c:rich>
          </c:tx>
          <c:overlay val="0"/>
        </c:title>
        <c:numFmt formatCode="0" sourceLinked="1"/>
        <c:majorTickMark val="in"/>
        <c:minorTickMark val="none"/>
        <c:tickLblPos val="nextTo"/>
        <c:crossAx val="314105504"/>
        <c:crosses val="autoZero"/>
        <c:crossBetween val="midCat"/>
      </c:valAx>
      <c:valAx>
        <c:axId val="31410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/>
                  <a:t>Number of Punchouts per Mile</a:t>
                </a:r>
              </a:p>
            </c:rich>
          </c:tx>
          <c:overlay val="0"/>
        </c:title>
        <c:numFmt formatCode="#,##0.0" sourceLinked="0"/>
        <c:majorTickMark val="in"/>
        <c:minorTickMark val="none"/>
        <c:tickLblPos val="nextTo"/>
        <c:crossAx val="314104944"/>
        <c:crosses val="autoZero"/>
        <c:crossBetween val="midCat"/>
      </c:valAx>
      <c:spPr>
        <a:noFill/>
        <a:ln w="28575"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4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5">
    <tabColor theme="0" tint="-0.14999847407452621"/>
  </sheetPr>
  <sheetViews>
    <sheetView zoomScale="8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6">
    <tabColor rgb="FFFFFF66"/>
  </sheetPr>
  <sheetViews>
    <sheetView zoomScale="95" workbookViewId="0"/>
  </sheetViews>
  <sheetProtection password="DE07" content="1" objects="1"/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602134</xdr:colOff>
      <xdr:row>1</xdr:row>
      <xdr:rowOff>90793</xdr:rowOff>
    </xdr:from>
    <xdr:to>
      <xdr:col>15</xdr:col>
      <xdr:colOff>602132</xdr:colOff>
      <xdr:row>33</xdr:row>
      <xdr:rowOff>95512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44818" y="572056"/>
          <a:ext cx="6116051" cy="513819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9525</xdr:rowOff>
        </xdr:from>
        <xdr:to>
          <xdr:col>6</xdr:col>
          <xdr:colOff>0</xdr:colOff>
          <xdr:row>25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Input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B1:G41"/>
  <sheetViews>
    <sheetView tabSelected="1" zoomScale="95" zoomScaleNormal="95" workbookViewId="0">
      <selection activeCell="F7" sqref="F7"/>
    </sheetView>
  </sheetViews>
  <sheetFormatPr defaultColWidth="9.140625" defaultRowHeight="12.75" x14ac:dyDescent="0.2"/>
  <cols>
    <col min="1" max="1" width="4.7109375" style="29" customWidth="1"/>
    <col min="2" max="2" width="50.7109375" style="29" customWidth="1"/>
    <col min="3" max="3" width="12.7109375" style="29" customWidth="1"/>
    <col min="4" max="4" width="8.7109375" style="29" customWidth="1"/>
    <col min="5" max="5" width="32.7109375" style="29" customWidth="1"/>
    <col min="6" max="6" width="12.7109375" style="29" customWidth="1"/>
    <col min="7" max="16384" width="9.140625" style="29"/>
  </cols>
  <sheetData>
    <row r="1" spans="2:7" ht="18.75" customHeight="1" x14ac:dyDescent="0.2">
      <c r="B1" s="89" t="s">
        <v>3</v>
      </c>
      <c r="C1" s="89"/>
      <c r="D1" s="89"/>
      <c r="E1" s="89"/>
      <c r="F1" s="89"/>
      <c r="G1" s="30"/>
    </row>
    <row r="2" spans="2:7" ht="12.75" customHeight="1" x14ac:dyDescent="0.2">
      <c r="B2" s="90" t="s">
        <v>27</v>
      </c>
      <c r="C2" s="91"/>
      <c r="D2" s="91"/>
      <c r="E2" s="91"/>
      <c r="F2" s="91"/>
      <c r="G2" s="30"/>
    </row>
    <row r="3" spans="2:7" ht="12.75" customHeight="1" x14ac:dyDescent="0.2">
      <c r="B3" s="78" t="s">
        <v>402</v>
      </c>
      <c r="C3" s="78"/>
      <c r="D3" s="78"/>
      <c r="E3" s="78"/>
      <c r="F3" s="78"/>
      <c r="G3" s="30"/>
    </row>
    <row r="4" spans="2:7" ht="12.75" customHeight="1" x14ac:dyDescent="0.2">
      <c r="B4" s="79"/>
      <c r="C4" s="79"/>
      <c r="D4" s="32"/>
      <c r="E4" s="79"/>
      <c r="F4" s="79"/>
      <c r="G4" s="30"/>
    </row>
    <row r="5" spans="2:7" ht="12.75" customHeight="1" x14ac:dyDescent="0.2">
      <c r="B5" s="92" t="s">
        <v>124</v>
      </c>
      <c r="C5" s="92"/>
      <c r="D5" s="32"/>
      <c r="E5" s="92" t="s">
        <v>129</v>
      </c>
      <c r="F5" s="92"/>
      <c r="G5" s="30"/>
    </row>
    <row r="6" spans="2:7" ht="12.75" customHeight="1" x14ac:dyDescent="0.2">
      <c r="B6" s="79"/>
      <c r="C6" s="79"/>
      <c r="D6" s="32"/>
      <c r="E6" s="93"/>
      <c r="F6" s="93"/>
      <c r="G6" s="30"/>
    </row>
    <row r="7" spans="2:7" ht="12.75" customHeight="1" x14ac:dyDescent="0.2">
      <c r="B7" s="57" t="s">
        <v>117</v>
      </c>
      <c r="C7" s="58"/>
      <c r="D7" s="32"/>
      <c r="E7" s="57" t="s">
        <v>130</v>
      </c>
      <c r="F7" s="58"/>
      <c r="G7" s="30"/>
    </row>
    <row r="8" spans="2:7" ht="12.75" customHeight="1" x14ac:dyDescent="0.2">
      <c r="B8" s="57" t="s">
        <v>118</v>
      </c>
      <c r="C8" s="58"/>
      <c r="D8" s="32"/>
      <c r="E8" s="57" t="s">
        <v>131</v>
      </c>
      <c r="F8" s="58">
        <v>570</v>
      </c>
      <c r="G8" s="30"/>
    </row>
    <row r="9" spans="2:7" ht="12.75" customHeight="1" x14ac:dyDescent="0.2">
      <c r="B9" s="57" t="s">
        <v>119</v>
      </c>
      <c r="C9" s="58"/>
      <c r="D9" s="32"/>
      <c r="E9" s="94"/>
      <c r="F9" s="94"/>
    </row>
    <row r="10" spans="2:7" ht="12.75" customHeight="1" x14ac:dyDescent="0.2">
      <c r="B10" s="57" t="s">
        <v>120</v>
      </c>
      <c r="C10" s="58"/>
      <c r="D10" s="32"/>
      <c r="E10" s="79"/>
      <c r="F10" s="79"/>
    </row>
    <row r="11" spans="2:7" ht="12.75" customHeight="1" x14ac:dyDescent="0.2">
      <c r="B11" s="57" t="s">
        <v>121</v>
      </c>
      <c r="C11" s="58"/>
      <c r="D11" s="32"/>
      <c r="E11" s="92" t="s">
        <v>398</v>
      </c>
      <c r="F11" s="92"/>
    </row>
    <row r="12" spans="2:7" ht="12.75" customHeight="1" x14ac:dyDescent="0.2">
      <c r="B12" s="57" t="s">
        <v>122</v>
      </c>
      <c r="C12" s="58"/>
      <c r="D12" s="32"/>
      <c r="E12" s="93"/>
      <c r="F12" s="93"/>
    </row>
    <row r="13" spans="2:7" ht="12.75" customHeight="1" x14ac:dyDescent="0.2">
      <c r="B13" s="57" t="s">
        <v>123</v>
      </c>
      <c r="C13" s="58"/>
      <c r="D13" s="32"/>
      <c r="E13" s="57" t="s">
        <v>132</v>
      </c>
      <c r="F13" s="73" t="s">
        <v>88</v>
      </c>
    </row>
    <row r="14" spans="2:7" ht="12.75" customHeight="1" x14ac:dyDescent="0.2">
      <c r="B14" s="79"/>
      <c r="C14" s="79"/>
      <c r="D14" s="32"/>
      <c r="E14" s="57" t="s">
        <v>133</v>
      </c>
      <c r="F14" s="58"/>
    </row>
    <row r="15" spans="2:7" ht="12.75" customHeight="1" x14ac:dyDescent="0.2">
      <c r="B15" s="79"/>
      <c r="C15" s="79"/>
      <c r="D15" s="32"/>
      <c r="E15" s="57" t="s">
        <v>134</v>
      </c>
      <c r="F15" s="58" t="s">
        <v>397</v>
      </c>
    </row>
    <row r="16" spans="2:7" ht="12.75" customHeight="1" x14ac:dyDescent="0.2">
      <c r="B16" s="92" t="s">
        <v>125</v>
      </c>
      <c r="C16" s="92"/>
      <c r="D16" s="32"/>
      <c r="E16" s="57" t="s">
        <v>135</v>
      </c>
      <c r="F16" s="58">
        <v>6</v>
      </c>
    </row>
    <row r="17" spans="2:7" ht="12.75" customHeight="1" x14ac:dyDescent="0.2">
      <c r="B17" s="79"/>
      <c r="C17" s="79"/>
      <c r="D17" s="32"/>
      <c r="E17" s="57" t="s">
        <v>136</v>
      </c>
      <c r="F17" s="58"/>
      <c r="G17" s="77"/>
    </row>
    <row r="18" spans="2:7" ht="12.75" customHeight="1" x14ac:dyDescent="0.2">
      <c r="B18" s="57" t="s">
        <v>126</v>
      </c>
      <c r="C18" s="58">
        <v>30</v>
      </c>
      <c r="D18" s="32"/>
      <c r="E18" s="95"/>
      <c r="F18" s="95"/>
    </row>
    <row r="19" spans="2:7" ht="12.75" customHeight="1" x14ac:dyDescent="0.2">
      <c r="B19" s="57" t="s">
        <v>127</v>
      </c>
      <c r="C19" s="58">
        <v>10</v>
      </c>
      <c r="D19" s="32"/>
      <c r="E19" s="57" t="s">
        <v>137</v>
      </c>
      <c r="F19" s="60">
        <f>'Composite K'!E2</f>
        <v>0</v>
      </c>
      <c r="G19" s="77"/>
    </row>
    <row r="20" spans="2:7" ht="12.75" customHeight="1" x14ac:dyDescent="0.2">
      <c r="B20" s="79"/>
      <c r="C20" s="79"/>
      <c r="D20" s="32"/>
      <c r="E20" s="94"/>
      <c r="F20" s="94"/>
    </row>
    <row r="21" spans="2:7" ht="12.75" customHeight="1" x14ac:dyDescent="0.2">
      <c r="B21" s="79"/>
      <c r="C21" s="79"/>
      <c r="D21" s="32"/>
      <c r="E21" s="79"/>
      <c r="F21" s="79"/>
    </row>
    <row r="22" spans="2:7" ht="12.75" customHeight="1" x14ac:dyDescent="0.2">
      <c r="B22" s="92" t="s">
        <v>128</v>
      </c>
      <c r="C22" s="92"/>
      <c r="D22" s="32"/>
      <c r="E22" s="79"/>
      <c r="F22" s="79"/>
    </row>
    <row r="23" spans="2:7" ht="12.75" customHeight="1" x14ac:dyDescent="0.2">
      <c r="B23" s="79"/>
      <c r="C23" s="79"/>
      <c r="D23" s="32"/>
      <c r="E23" s="79"/>
      <c r="F23" s="79"/>
    </row>
    <row r="24" spans="2:7" ht="12.75" customHeight="1" x14ac:dyDescent="0.2">
      <c r="B24" s="57" t="s">
        <v>142</v>
      </c>
      <c r="C24" s="59"/>
      <c r="D24" s="32"/>
      <c r="E24" s="79"/>
      <c r="F24" s="79"/>
    </row>
    <row r="25" spans="2:7" ht="12.75" customHeight="1" x14ac:dyDescent="0.2">
      <c r="B25" s="57" t="s">
        <v>396</v>
      </c>
      <c r="C25" s="59"/>
      <c r="D25" s="32"/>
      <c r="E25" s="79"/>
      <c r="F25" s="79"/>
    </row>
    <row r="26" spans="2:7" ht="12.75" customHeight="1" x14ac:dyDescent="0.2">
      <c r="B26" s="79"/>
      <c r="C26" s="79"/>
      <c r="D26" s="32"/>
      <c r="E26" s="79"/>
      <c r="F26" s="79"/>
    </row>
    <row r="27" spans="2:7" ht="12.75" customHeight="1" x14ac:dyDescent="0.2">
      <c r="B27" s="79"/>
      <c r="C27" s="79"/>
      <c r="D27" s="32"/>
      <c r="E27" s="79"/>
      <c r="F27" s="79"/>
    </row>
    <row r="28" spans="2:7" ht="12.75" customHeight="1" x14ac:dyDescent="0.2">
      <c r="B28" s="80" t="s">
        <v>399</v>
      </c>
      <c r="C28" s="81"/>
      <c r="D28" s="81"/>
      <c r="E28" s="81"/>
      <c r="F28" s="82"/>
    </row>
    <row r="29" spans="2:7" ht="12.75" customHeight="1" x14ac:dyDescent="0.2">
      <c r="B29" s="83"/>
      <c r="C29" s="84"/>
      <c r="D29" s="84"/>
      <c r="E29" s="84"/>
      <c r="F29" s="85"/>
    </row>
    <row r="30" spans="2:7" ht="12.75" customHeight="1" x14ac:dyDescent="0.2">
      <c r="B30" s="83"/>
      <c r="C30" s="84"/>
      <c r="D30" s="84"/>
      <c r="E30" s="84"/>
      <c r="F30" s="85"/>
    </row>
    <row r="31" spans="2:7" x14ac:dyDescent="0.2">
      <c r="B31" s="86"/>
      <c r="C31" s="87"/>
      <c r="D31" s="87"/>
      <c r="E31" s="87"/>
      <c r="F31" s="88"/>
    </row>
    <row r="32" spans="2:7" x14ac:dyDescent="0.2">
      <c r="B32" s="31"/>
      <c r="C32" s="32"/>
      <c r="D32" s="32"/>
      <c r="E32" s="31"/>
      <c r="F32" s="32"/>
    </row>
    <row r="33" spans="2:6" x14ac:dyDescent="0.2">
      <c r="B33" s="31"/>
      <c r="C33" s="32"/>
      <c r="D33" s="32"/>
      <c r="E33" s="31"/>
      <c r="F33" s="32"/>
    </row>
    <row r="34" spans="2:6" x14ac:dyDescent="0.2">
      <c r="B34" s="31"/>
      <c r="C34" s="32"/>
      <c r="D34" s="32"/>
      <c r="E34" s="31"/>
      <c r="F34" s="32"/>
    </row>
    <row r="35" spans="2:6" x14ac:dyDescent="0.2">
      <c r="B35" s="31"/>
      <c r="C35" s="32"/>
      <c r="D35" s="32"/>
      <c r="E35" s="31"/>
      <c r="F35" s="32"/>
    </row>
    <row r="36" spans="2:6" x14ac:dyDescent="0.2">
      <c r="B36" s="31"/>
      <c r="C36" s="32"/>
      <c r="D36" s="32"/>
      <c r="E36" s="31"/>
      <c r="F36" s="32"/>
    </row>
    <row r="37" spans="2:6" x14ac:dyDescent="0.2">
      <c r="B37" s="31"/>
      <c r="C37" s="32"/>
      <c r="D37" s="32"/>
      <c r="E37" s="31"/>
      <c r="F37" s="32"/>
    </row>
    <row r="38" spans="2:6" x14ac:dyDescent="0.2">
      <c r="B38" s="31"/>
      <c r="C38" s="32"/>
      <c r="D38" s="32"/>
      <c r="E38" s="31"/>
      <c r="F38" s="32"/>
    </row>
    <row r="39" spans="2:6" x14ac:dyDescent="0.2">
      <c r="B39" s="31"/>
      <c r="C39" s="32"/>
      <c r="D39" s="32"/>
      <c r="E39" s="31"/>
      <c r="F39" s="32"/>
    </row>
    <row r="40" spans="2:6" x14ac:dyDescent="0.2">
      <c r="B40" s="31"/>
      <c r="C40" s="32"/>
      <c r="D40" s="32"/>
      <c r="E40" s="31"/>
      <c r="F40" s="32"/>
    </row>
    <row r="41" spans="2:6" x14ac:dyDescent="0.2">
      <c r="B41" s="31"/>
      <c r="C41" s="32"/>
      <c r="D41" s="32"/>
      <c r="E41" s="31"/>
      <c r="F41" s="32"/>
    </row>
  </sheetData>
  <sheetProtection password="DE07" sheet="1" objects="1" scenarios="1"/>
  <mergeCells count="33">
    <mergeCell ref="E22:F22"/>
    <mergeCell ref="E4:F4"/>
    <mergeCell ref="B28:F31"/>
    <mergeCell ref="B1:F1"/>
    <mergeCell ref="B2:F2"/>
    <mergeCell ref="B22:C22"/>
    <mergeCell ref="B16:C16"/>
    <mergeCell ref="B5:C5"/>
    <mergeCell ref="E5:F5"/>
    <mergeCell ref="E11:F11"/>
    <mergeCell ref="E6:F6"/>
    <mergeCell ref="E12:F12"/>
    <mergeCell ref="E9:F9"/>
    <mergeCell ref="E10:F10"/>
    <mergeCell ref="E18:F18"/>
    <mergeCell ref="E20:F20"/>
    <mergeCell ref="E21:F21"/>
    <mergeCell ref="B3:F3"/>
    <mergeCell ref="B26:C26"/>
    <mergeCell ref="E26:F26"/>
    <mergeCell ref="B27:C27"/>
    <mergeCell ref="B14:C14"/>
    <mergeCell ref="B15:C15"/>
    <mergeCell ref="B17:C17"/>
    <mergeCell ref="B20:C20"/>
    <mergeCell ref="B21:C21"/>
    <mergeCell ref="E24:F24"/>
    <mergeCell ref="E25:F25"/>
    <mergeCell ref="E27:F27"/>
    <mergeCell ref="B4:C4"/>
    <mergeCell ref="B6:C6"/>
    <mergeCell ref="B23:C23"/>
    <mergeCell ref="E23:F23"/>
  </mergeCells>
  <phoneticPr fontId="27" type="noConversion"/>
  <dataValidations count="6">
    <dataValidation type="decimal" allowBlank="1" showErrorMessage="1" errorTitle="Thickness of Concrete Layer" error="Out of Range - Please Enter a Value between 7 and 15." sqref="F7">
      <formula1>7</formula1>
      <formula2>15</formula2>
    </dataValidation>
    <dataValidation type="list" allowBlank="1" showErrorMessage="1" errorTitle="Soil Classification of Subgrade" error="Please Select from Drop-Down List." sqref="F14">
      <formula1>INDIRECT(F13)</formula1>
    </dataValidation>
    <dataValidation type="decimal" allowBlank="1" showErrorMessage="1" errorTitle="Base Thickness" error="Out of Range – Please Enter a Value between 2 and 6." sqref="F16">
      <formula1>2</formula1>
      <formula2>6</formula2>
    </dataValidation>
    <dataValidation type="decimal" allowBlank="1" showErrorMessage="1" errorTitle="Modulus of Base Layer" error="Out of Range – Please Enter a Value between 50 and 500." sqref="F17">
      <formula1>50</formula1>
      <formula2>500</formula2>
    </dataValidation>
    <dataValidation type="list" allowBlank="1" showErrorMessage="1" errorTitle="District" error="Please Select from Drop-Down List." sqref="C7">
      <formula1>District</formula1>
    </dataValidation>
    <dataValidation type="list" allowBlank="1" showErrorMessage="1" errorTitle="County" error="Please Select from Drop-Down List" sqref="C8">
      <formula1>INDIRECT(C7)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ase Type" error="Please Select from Drop-Down List.">
          <x14:formula1>
            <xm:f>'K-Table'!$C$1193:$C$1195</xm:f>
          </x14:formula1>
          <xm:sqref>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F605"/>
  <sheetViews>
    <sheetView zoomScale="95" zoomScaleNormal="95" workbookViewId="0">
      <pane ySplit="1" topLeftCell="A2" activePane="bottomLeft" state="frozen"/>
      <selection pane="bottomLeft" activeCell="C33" sqref="C33"/>
    </sheetView>
  </sheetViews>
  <sheetFormatPr defaultColWidth="9.140625" defaultRowHeight="12.75" x14ac:dyDescent="0.2"/>
  <cols>
    <col min="1" max="4" width="25.7109375" style="9" customWidth="1"/>
    <col min="5" max="5" width="26.7109375" style="9" customWidth="1"/>
    <col min="6" max="6" width="9.140625" style="9" customWidth="1"/>
    <col min="7" max="16384" width="9.140625" style="9"/>
  </cols>
  <sheetData>
    <row r="1" spans="1:6" ht="38.25" customHeight="1" x14ac:dyDescent="0.2">
      <c r="A1" s="5" t="s">
        <v>1</v>
      </c>
      <c r="B1" s="5" t="s">
        <v>0</v>
      </c>
      <c r="C1" s="5" t="s">
        <v>140</v>
      </c>
      <c r="D1" s="5" t="s">
        <v>141</v>
      </c>
      <c r="E1" s="6" t="s">
        <v>2</v>
      </c>
    </row>
    <row r="2" spans="1:6" x14ac:dyDescent="0.2">
      <c r="A2" s="3" t="s">
        <v>6</v>
      </c>
      <c r="B2" s="1">
        <v>1</v>
      </c>
      <c r="C2" s="1">
        <v>49</v>
      </c>
      <c r="D2" s="1">
        <v>23</v>
      </c>
      <c r="E2" s="2">
        <f>AVERAGE(C2:D2)</f>
        <v>36</v>
      </c>
      <c r="F2" s="55"/>
    </row>
    <row r="3" spans="1:6" x14ac:dyDescent="0.2">
      <c r="A3" s="3" t="s">
        <v>6</v>
      </c>
      <c r="B3" s="1">
        <v>2</v>
      </c>
      <c r="C3" s="1">
        <v>54</v>
      </c>
      <c r="D3" s="1">
        <v>27</v>
      </c>
      <c r="E3" s="2">
        <f t="shared" ref="E3:E66" si="0">AVERAGE(C3:D3)</f>
        <v>40.5</v>
      </c>
    </row>
    <row r="4" spans="1:6" x14ac:dyDescent="0.2">
      <c r="A4" s="3" t="s">
        <v>6</v>
      </c>
      <c r="B4" s="1">
        <v>3</v>
      </c>
      <c r="C4" s="1">
        <v>62</v>
      </c>
      <c r="D4" s="1">
        <v>34</v>
      </c>
      <c r="E4" s="2">
        <f t="shared" si="0"/>
        <v>48</v>
      </c>
    </row>
    <row r="5" spans="1:6" x14ac:dyDescent="0.2">
      <c r="A5" s="3" t="s">
        <v>6</v>
      </c>
      <c r="B5" s="1">
        <v>4</v>
      </c>
      <c r="C5" s="1">
        <v>71</v>
      </c>
      <c r="D5" s="1">
        <v>42</v>
      </c>
      <c r="E5" s="2">
        <f t="shared" si="0"/>
        <v>56.5</v>
      </c>
    </row>
    <row r="6" spans="1:6" x14ac:dyDescent="0.2">
      <c r="A6" s="3" t="s">
        <v>6</v>
      </c>
      <c r="B6" s="1">
        <v>5</v>
      </c>
      <c r="C6" s="1">
        <v>79</v>
      </c>
      <c r="D6" s="1">
        <v>52</v>
      </c>
      <c r="E6" s="2">
        <f t="shared" si="0"/>
        <v>65.5</v>
      </c>
    </row>
    <row r="7" spans="1:6" x14ac:dyDescent="0.2">
      <c r="A7" s="3" t="s">
        <v>6</v>
      </c>
      <c r="B7" s="1">
        <v>6</v>
      </c>
      <c r="C7" s="1">
        <v>87</v>
      </c>
      <c r="D7" s="1">
        <v>61</v>
      </c>
      <c r="E7" s="2">
        <f t="shared" si="0"/>
        <v>74</v>
      </c>
    </row>
    <row r="8" spans="1:6" x14ac:dyDescent="0.2">
      <c r="A8" s="3" t="s">
        <v>6</v>
      </c>
      <c r="B8" s="1">
        <v>7</v>
      </c>
      <c r="C8" s="1">
        <v>91</v>
      </c>
      <c r="D8" s="1">
        <v>65</v>
      </c>
      <c r="E8" s="2">
        <f t="shared" si="0"/>
        <v>78</v>
      </c>
    </row>
    <row r="9" spans="1:6" x14ac:dyDescent="0.2">
      <c r="A9" s="3" t="s">
        <v>6</v>
      </c>
      <c r="B9" s="1">
        <v>8</v>
      </c>
      <c r="C9" s="1">
        <v>89</v>
      </c>
      <c r="D9" s="1">
        <v>64</v>
      </c>
      <c r="E9" s="2">
        <f t="shared" si="0"/>
        <v>76.5</v>
      </c>
    </row>
    <row r="10" spans="1:6" x14ac:dyDescent="0.2">
      <c r="A10" s="3" t="s">
        <v>6</v>
      </c>
      <c r="B10" s="1">
        <v>9</v>
      </c>
      <c r="C10" s="1">
        <v>82</v>
      </c>
      <c r="D10" s="1">
        <v>56</v>
      </c>
      <c r="E10" s="2">
        <f t="shared" si="0"/>
        <v>69</v>
      </c>
    </row>
    <row r="11" spans="1:6" x14ac:dyDescent="0.2">
      <c r="A11" s="3" t="s">
        <v>6</v>
      </c>
      <c r="B11" s="1">
        <v>10</v>
      </c>
      <c r="C11" s="1">
        <v>72</v>
      </c>
      <c r="D11" s="1">
        <v>45</v>
      </c>
      <c r="E11" s="2">
        <f t="shared" si="0"/>
        <v>58.5</v>
      </c>
    </row>
    <row r="12" spans="1:6" x14ac:dyDescent="0.2">
      <c r="A12" s="3" t="s">
        <v>6</v>
      </c>
      <c r="B12" s="1">
        <v>11</v>
      </c>
      <c r="C12" s="1">
        <v>58</v>
      </c>
      <c r="D12" s="1">
        <v>32</v>
      </c>
      <c r="E12" s="2">
        <f t="shared" si="0"/>
        <v>45</v>
      </c>
    </row>
    <row r="13" spans="1:6" x14ac:dyDescent="0.2">
      <c r="A13" s="3" t="s">
        <v>6</v>
      </c>
      <c r="B13" s="1">
        <v>12</v>
      </c>
      <c r="C13" s="1">
        <v>50</v>
      </c>
      <c r="D13" s="1">
        <v>24</v>
      </c>
      <c r="E13" s="2">
        <f t="shared" si="0"/>
        <v>37</v>
      </c>
    </row>
    <row r="14" spans="1:6" x14ac:dyDescent="0.2">
      <c r="A14" s="68" t="s">
        <v>7</v>
      </c>
      <c r="B14" s="69">
        <v>1</v>
      </c>
      <c r="C14" s="69">
        <v>52</v>
      </c>
      <c r="D14" s="69">
        <v>27</v>
      </c>
      <c r="E14" s="70">
        <f t="shared" si="0"/>
        <v>39.5</v>
      </c>
    </row>
    <row r="15" spans="1:6" x14ac:dyDescent="0.2">
      <c r="A15" s="68" t="s">
        <v>7</v>
      </c>
      <c r="B15" s="69">
        <v>2</v>
      </c>
      <c r="C15" s="69">
        <v>58</v>
      </c>
      <c r="D15" s="69">
        <v>32</v>
      </c>
      <c r="E15" s="70">
        <f t="shared" si="0"/>
        <v>45</v>
      </c>
    </row>
    <row r="16" spans="1:6" x14ac:dyDescent="0.2">
      <c r="A16" s="68" t="s">
        <v>7</v>
      </c>
      <c r="B16" s="69">
        <v>3</v>
      </c>
      <c r="C16" s="69">
        <v>66</v>
      </c>
      <c r="D16" s="69">
        <v>39</v>
      </c>
      <c r="E16" s="70">
        <f t="shared" si="0"/>
        <v>52.5</v>
      </c>
    </row>
    <row r="17" spans="1:5" x14ac:dyDescent="0.2">
      <c r="A17" s="68" t="s">
        <v>7</v>
      </c>
      <c r="B17" s="69">
        <v>4</v>
      </c>
      <c r="C17" s="69">
        <v>75</v>
      </c>
      <c r="D17" s="69">
        <v>48</v>
      </c>
      <c r="E17" s="70">
        <f t="shared" si="0"/>
        <v>61.5</v>
      </c>
    </row>
    <row r="18" spans="1:5" x14ac:dyDescent="0.2">
      <c r="A18" s="68" t="s">
        <v>7</v>
      </c>
      <c r="B18" s="69">
        <v>5</v>
      </c>
      <c r="C18" s="69">
        <v>83</v>
      </c>
      <c r="D18" s="69">
        <v>58</v>
      </c>
      <c r="E18" s="70">
        <f t="shared" si="0"/>
        <v>70.5</v>
      </c>
    </row>
    <row r="19" spans="1:5" x14ac:dyDescent="0.2">
      <c r="A19" s="68" t="s">
        <v>7</v>
      </c>
      <c r="B19" s="69">
        <v>6</v>
      </c>
      <c r="C19" s="69">
        <v>91</v>
      </c>
      <c r="D19" s="69">
        <v>66</v>
      </c>
      <c r="E19" s="70">
        <f t="shared" si="0"/>
        <v>78.5</v>
      </c>
    </row>
    <row r="20" spans="1:5" x14ac:dyDescent="0.2">
      <c r="A20" s="68" t="s">
        <v>7</v>
      </c>
      <c r="B20" s="69">
        <v>7</v>
      </c>
      <c r="C20" s="69">
        <v>95</v>
      </c>
      <c r="D20" s="69">
        <v>71</v>
      </c>
      <c r="E20" s="70">
        <f t="shared" si="0"/>
        <v>83</v>
      </c>
    </row>
    <row r="21" spans="1:5" x14ac:dyDescent="0.2">
      <c r="A21" s="68" t="s">
        <v>7</v>
      </c>
      <c r="B21" s="69">
        <v>8</v>
      </c>
      <c r="C21" s="69">
        <v>94</v>
      </c>
      <c r="D21" s="69">
        <v>69</v>
      </c>
      <c r="E21" s="70">
        <f t="shared" si="0"/>
        <v>81.5</v>
      </c>
    </row>
    <row r="22" spans="1:5" x14ac:dyDescent="0.2">
      <c r="A22" s="68" t="s">
        <v>7</v>
      </c>
      <c r="B22" s="69">
        <v>9</v>
      </c>
      <c r="C22" s="69">
        <v>86</v>
      </c>
      <c r="D22" s="69">
        <v>62</v>
      </c>
      <c r="E22" s="70">
        <f t="shared" si="0"/>
        <v>74</v>
      </c>
    </row>
    <row r="23" spans="1:5" x14ac:dyDescent="0.2">
      <c r="A23" s="68" t="s">
        <v>7</v>
      </c>
      <c r="B23" s="69">
        <v>10</v>
      </c>
      <c r="C23" s="69">
        <v>76</v>
      </c>
      <c r="D23" s="69">
        <v>50</v>
      </c>
      <c r="E23" s="70">
        <f t="shared" si="0"/>
        <v>63</v>
      </c>
    </row>
    <row r="24" spans="1:5" x14ac:dyDescent="0.2">
      <c r="A24" s="68" t="s">
        <v>7</v>
      </c>
      <c r="B24" s="69">
        <v>11</v>
      </c>
      <c r="C24" s="69">
        <v>63</v>
      </c>
      <c r="D24" s="69">
        <v>38</v>
      </c>
      <c r="E24" s="70">
        <f t="shared" si="0"/>
        <v>50.5</v>
      </c>
    </row>
    <row r="25" spans="1:5" x14ac:dyDescent="0.2">
      <c r="A25" s="68" t="s">
        <v>7</v>
      </c>
      <c r="B25" s="69">
        <v>12</v>
      </c>
      <c r="C25" s="69">
        <v>53</v>
      </c>
      <c r="D25" s="69">
        <v>29</v>
      </c>
      <c r="E25" s="70">
        <f t="shared" si="0"/>
        <v>41</v>
      </c>
    </row>
    <row r="26" spans="1:5" x14ac:dyDescent="0.2">
      <c r="A26" s="67" t="s">
        <v>5</v>
      </c>
      <c r="B26" s="1">
        <v>1</v>
      </c>
      <c r="C26" s="1">
        <v>52</v>
      </c>
      <c r="D26" s="1">
        <v>29</v>
      </c>
      <c r="E26" s="2">
        <f t="shared" si="0"/>
        <v>40.5</v>
      </c>
    </row>
    <row r="27" spans="1:5" x14ac:dyDescent="0.2">
      <c r="A27" s="67" t="s">
        <v>5</v>
      </c>
      <c r="B27" s="1">
        <v>2</v>
      </c>
      <c r="C27" s="1">
        <v>58</v>
      </c>
      <c r="D27" s="1">
        <v>34</v>
      </c>
      <c r="E27" s="2">
        <f t="shared" si="0"/>
        <v>46</v>
      </c>
    </row>
    <row r="28" spans="1:5" x14ac:dyDescent="0.2">
      <c r="A28" s="67" t="s">
        <v>5</v>
      </c>
      <c r="B28" s="1">
        <v>3</v>
      </c>
      <c r="C28" s="1">
        <v>67</v>
      </c>
      <c r="D28" s="1">
        <v>41</v>
      </c>
      <c r="E28" s="2">
        <f t="shared" si="0"/>
        <v>54</v>
      </c>
    </row>
    <row r="29" spans="1:5" x14ac:dyDescent="0.2">
      <c r="A29" s="67" t="s">
        <v>5</v>
      </c>
      <c r="B29" s="1">
        <v>4</v>
      </c>
      <c r="C29" s="1">
        <v>76</v>
      </c>
      <c r="D29" s="1">
        <v>49</v>
      </c>
      <c r="E29" s="2">
        <f t="shared" si="0"/>
        <v>62.5</v>
      </c>
    </row>
    <row r="30" spans="1:5" x14ac:dyDescent="0.2">
      <c r="A30" s="67" t="s">
        <v>5</v>
      </c>
      <c r="B30" s="1">
        <v>5</v>
      </c>
      <c r="C30" s="1">
        <v>84</v>
      </c>
      <c r="D30" s="1">
        <v>59</v>
      </c>
      <c r="E30" s="2">
        <f t="shared" si="0"/>
        <v>71.5</v>
      </c>
    </row>
    <row r="31" spans="1:5" x14ac:dyDescent="0.2">
      <c r="A31" s="67" t="s">
        <v>5</v>
      </c>
      <c r="B31" s="1">
        <v>6</v>
      </c>
      <c r="C31" s="1">
        <v>92</v>
      </c>
      <c r="D31" s="1">
        <v>68</v>
      </c>
      <c r="E31" s="2">
        <f t="shared" si="0"/>
        <v>80</v>
      </c>
    </row>
    <row r="32" spans="1:5" x14ac:dyDescent="0.2">
      <c r="A32" s="67" t="s">
        <v>5</v>
      </c>
      <c r="B32" s="1">
        <v>7</v>
      </c>
      <c r="C32" s="1">
        <v>97</v>
      </c>
      <c r="D32" s="1">
        <v>72</v>
      </c>
      <c r="E32" s="2">
        <f t="shared" si="0"/>
        <v>84.5</v>
      </c>
    </row>
    <row r="33" spans="1:5" x14ac:dyDescent="0.2">
      <c r="A33" s="67" t="s">
        <v>5</v>
      </c>
      <c r="B33" s="1">
        <v>8</v>
      </c>
      <c r="C33" s="1">
        <v>96</v>
      </c>
      <c r="D33" s="1">
        <v>71</v>
      </c>
      <c r="E33" s="2">
        <f t="shared" si="0"/>
        <v>83.5</v>
      </c>
    </row>
    <row r="34" spans="1:5" x14ac:dyDescent="0.2">
      <c r="A34" s="67" t="s">
        <v>5</v>
      </c>
      <c r="B34" s="1">
        <v>9</v>
      </c>
      <c r="C34" s="1">
        <v>88</v>
      </c>
      <c r="D34" s="1">
        <v>64</v>
      </c>
      <c r="E34" s="2">
        <f t="shared" si="0"/>
        <v>76</v>
      </c>
    </row>
    <row r="35" spans="1:5" x14ac:dyDescent="0.2">
      <c r="A35" s="67" t="s">
        <v>5</v>
      </c>
      <c r="B35" s="1">
        <v>10</v>
      </c>
      <c r="C35" s="1">
        <v>77</v>
      </c>
      <c r="D35" s="1">
        <v>52</v>
      </c>
      <c r="E35" s="2">
        <f t="shared" si="0"/>
        <v>64.5</v>
      </c>
    </row>
    <row r="36" spans="1:5" x14ac:dyDescent="0.2">
      <c r="A36" s="67" t="s">
        <v>5</v>
      </c>
      <c r="B36" s="1">
        <v>11</v>
      </c>
      <c r="C36" s="1">
        <v>64</v>
      </c>
      <c r="D36" s="1">
        <v>40</v>
      </c>
      <c r="E36" s="2">
        <f t="shared" si="0"/>
        <v>52</v>
      </c>
    </row>
    <row r="37" spans="1:5" x14ac:dyDescent="0.2">
      <c r="A37" s="67" t="s">
        <v>5</v>
      </c>
      <c r="B37" s="1">
        <v>12</v>
      </c>
      <c r="C37" s="1">
        <v>54</v>
      </c>
      <c r="D37" s="1">
        <v>31</v>
      </c>
      <c r="E37" s="2">
        <f t="shared" si="0"/>
        <v>42.5</v>
      </c>
    </row>
    <row r="38" spans="1:5" x14ac:dyDescent="0.2">
      <c r="A38" s="68" t="s">
        <v>8</v>
      </c>
      <c r="B38" s="69">
        <v>1</v>
      </c>
      <c r="C38" s="69">
        <v>52</v>
      </c>
      <c r="D38" s="69">
        <v>24</v>
      </c>
      <c r="E38" s="70">
        <f t="shared" si="0"/>
        <v>38</v>
      </c>
    </row>
    <row r="39" spans="1:5" x14ac:dyDescent="0.2">
      <c r="A39" s="68" t="s">
        <v>8</v>
      </c>
      <c r="B39" s="69">
        <v>2</v>
      </c>
      <c r="C39" s="69">
        <v>58</v>
      </c>
      <c r="D39" s="69">
        <v>29</v>
      </c>
      <c r="E39" s="70">
        <f t="shared" si="0"/>
        <v>43.5</v>
      </c>
    </row>
    <row r="40" spans="1:5" x14ac:dyDescent="0.2">
      <c r="A40" s="68" t="s">
        <v>8</v>
      </c>
      <c r="B40" s="69">
        <v>3</v>
      </c>
      <c r="C40" s="69">
        <v>66</v>
      </c>
      <c r="D40" s="69">
        <v>36</v>
      </c>
      <c r="E40" s="70">
        <f t="shared" si="0"/>
        <v>51</v>
      </c>
    </row>
    <row r="41" spans="1:5" x14ac:dyDescent="0.2">
      <c r="A41" s="68" t="s">
        <v>8</v>
      </c>
      <c r="B41" s="69">
        <v>4</v>
      </c>
      <c r="C41" s="69">
        <v>75</v>
      </c>
      <c r="D41" s="69">
        <v>45</v>
      </c>
      <c r="E41" s="70">
        <f t="shared" si="0"/>
        <v>60</v>
      </c>
    </row>
    <row r="42" spans="1:5" x14ac:dyDescent="0.2">
      <c r="A42" s="68" t="s">
        <v>8</v>
      </c>
      <c r="B42" s="69">
        <v>5</v>
      </c>
      <c r="C42" s="69">
        <v>83</v>
      </c>
      <c r="D42" s="69">
        <v>56</v>
      </c>
      <c r="E42" s="70">
        <f t="shared" si="0"/>
        <v>69.5</v>
      </c>
    </row>
    <row r="43" spans="1:5" x14ac:dyDescent="0.2">
      <c r="A43" s="68" t="s">
        <v>8</v>
      </c>
      <c r="B43" s="69">
        <v>6</v>
      </c>
      <c r="C43" s="69">
        <v>90</v>
      </c>
      <c r="D43" s="69">
        <v>64</v>
      </c>
      <c r="E43" s="70">
        <f t="shared" si="0"/>
        <v>77</v>
      </c>
    </row>
    <row r="44" spans="1:5" x14ac:dyDescent="0.2">
      <c r="A44" s="68" t="s">
        <v>8</v>
      </c>
      <c r="B44" s="69">
        <v>7</v>
      </c>
      <c r="C44" s="69">
        <v>92</v>
      </c>
      <c r="D44" s="69">
        <v>68</v>
      </c>
      <c r="E44" s="70">
        <f t="shared" si="0"/>
        <v>80</v>
      </c>
    </row>
    <row r="45" spans="1:5" x14ac:dyDescent="0.2">
      <c r="A45" s="68" t="s">
        <v>8</v>
      </c>
      <c r="B45" s="69">
        <v>8</v>
      </c>
      <c r="C45" s="69">
        <v>90</v>
      </c>
      <c r="D45" s="69">
        <v>66</v>
      </c>
      <c r="E45" s="70">
        <f t="shared" si="0"/>
        <v>78</v>
      </c>
    </row>
    <row r="46" spans="1:5" x14ac:dyDescent="0.2">
      <c r="A46" s="68" t="s">
        <v>8</v>
      </c>
      <c r="B46" s="69">
        <v>9</v>
      </c>
      <c r="C46" s="69">
        <v>83</v>
      </c>
      <c r="D46" s="69">
        <v>58</v>
      </c>
      <c r="E46" s="70">
        <f t="shared" si="0"/>
        <v>70.5</v>
      </c>
    </row>
    <row r="47" spans="1:5" x14ac:dyDescent="0.2">
      <c r="A47" s="68" t="s">
        <v>8</v>
      </c>
      <c r="B47" s="69">
        <v>10</v>
      </c>
      <c r="C47" s="69">
        <v>74</v>
      </c>
      <c r="D47" s="69">
        <v>47</v>
      </c>
      <c r="E47" s="70">
        <f t="shared" si="0"/>
        <v>60.5</v>
      </c>
    </row>
    <row r="48" spans="1:5" x14ac:dyDescent="0.2">
      <c r="A48" s="68" t="s">
        <v>8</v>
      </c>
      <c r="B48" s="69">
        <v>11</v>
      </c>
      <c r="C48" s="69">
        <v>62</v>
      </c>
      <c r="D48" s="69">
        <v>35</v>
      </c>
      <c r="E48" s="70">
        <f t="shared" si="0"/>
        <v>48.5</v>
      </c>
    </row>
    <row r="49" spans="1:5" x14ac:dyDescent="0.2">
      <c r="A49" s="68" t="s">
        <v>8</v>
      </c>
      <c r="B49" s="69">
        <v>12</v>
      </c>
      <c r="C49" s="69">
        <v>53</v>
      </c>
      <c r="D49" s="69">
        <v>26</v>
      </c>
      <c r="E49" s="70">
        <f t="shared" si="0"/>
        <v>39.5</v>
      </c>
    </row>
    <row r="50" spans="1:5" x14ac:dyDescent="0.2">
      <c r="A50" s="67" t="s">
        <v>9</v>
      </c>
      <c r="B50" s="1">
        <v>1</v>
      </c>
      <c r="C50" s="1">
        <v>58</v>
      </c>
      <c r="D50" s="1">
        <v>29</v>
      </c>
      <c r="E50" s="2">
        <f t="shared" si="0"/>
        <v>43.5</v>
      </c>
    </row>
    <row r="51" spans="1:5" x14ac:dyDescent="0.2">
      <c r="A51" s="67" t="s">
        <v>9</v>
      </c>
      <c r="B51" s="1">
        <v>2</v>
      </c>
      <c r="C51" s="1">
        <v>63</v>
      </c>
      <c r="D51" s="1">
        <v>34</v>
      </c>
      <c r="E51" s="2">
        <f t="shared" si="0"/>
        <v>48.5</v>
      </c>
    </row>
    <row r="52" spans="1:5" x14ac:dyDescent="0.2">
      <c r="A52" s="67" t="s">
        <v>9</v>
      </c>
      <c r="B52" s="1">
        <v>3</v>
      </c>
      <c r="C52" s="1">
        <v>71</v>
      </c>
      <c r="D52" s="1">
        <v>42</v>
      </c>
      <c r="E52" s="2">
        <f t="shared" si="0"/>
        <v>56.5</v>
      </c>
    </row>
    <row r="53" spans="1:5" x14ac:dyDescent="0.2">
      <c r="A53" s="67" t="s">
        <v>9</v>
      </c>
      <c r="B53" s="1">
        <v>4</v>
      </c>
      <c r="C53" s="1">
        <v>79</v>
      </c>
      <c r="D53" s="1">
        <v>50</v>
      </c>
      <c r="E53" s="2">
        <f t="shared" si="0"/>
        <v>64.5</v>
      </c>
    </row>
    <row r="54" spans="1:5" x14ac:dyDescent="0.2">
      <c r="A54" s="67" t="s">
        <v>9</v>
      </c>
      <c r="B54" s="1">
        <v>5</v>
      </c>
      <c r="C54" s="1">
        <v>86</v>
      </c>
      <c r="D54" s="1">
        <v>59</v>
      </c>
      <c r="E54" s="2">
        <f t="shared" si="0"/>
        <v>72.5</v>
      </c>
    </row>
    <row r="55" spans="1:5" x14ac:dyDescent="0.2">
      <c r="A55" s="67" t="s">
        <v>9</v>
      </c>
      <c r="B55" s="1">
        <v>6</v>
      </c>
      <c r="C55" s="1">
        <v>91</v>
      </c>
      <c r="D55" s="1">
        <v>66</v>
      </c>
      <c r="E55" s="2">
        <f t="shared" si="0"/>
        <v>78.5</v>
      </c>
    </row>
    <row r="56" spans="1:5" x14ac:dyDescent="0.2">
      <c r="A56" s="67" t="s">
        <v>9</v>
      </c>
      <c r="B56" s="1">
        <v>7</v>
      </c>
      <c r="C56" s="1">
        <v>95</v>
      </c>
      <c r="D56" s="1">
        <v>70</v>
      </c>
      <c r="E56" s="2">
        <f t="shared" si="0"/>
        <v>82.5</v>
      </c>
    </row>
    <row r="57" spans="1:5" x14ac:dyDescent="0.2">
      <c r="A57" s="67" t="s">
        <v>9</v>
      </c>
      <c r="B57" s="1">
        <v>8</v>
      </c>
      <c r="C57" s="1">
        <v>94</v>
      </c>
      <c r="D57" s="1">
        <v>68</v>
      </c>
      <c r="E57" s="2">
        <f t="shared" si="0"/>
        <v>81</v>
      </c>
    </row>
    <row r="58" spans="1:5" x14ac:dyDescent="0.2">
      <c r="A58" s="67" t="s">
        <v>9</v>
      </c>
      <c r="B58" s="1">
        <v>9</v>
      </c>
      <c r="C58" s="1">
        <v>88</v>
      </c>
      <c r="D58" s="1">
        <v>61</v>
      </c>
      <c r="E58" s="2">
        <f t="shared" si="0"/>
        <v>74.5</v>
      </c>
    </row>
    <row r="59" spans="1:5" x14ac:dyDescent="0.2">
      <c r="A59" s="67" t="s">
        <v>9</v>
      </c>
      <c r="B59" s="1">
        <v>10</v>
      </c>
      <c r="C59" s="1">
        <v>79</v>
      </c>
      <c r="D59" s="1">
        <v>51</v>
      </c>
      <c r="E59" s="2">
        <f t="shared" si="0"/>
        <v>65</v>
      </c>
    </row>
    <row r="60" spans="1:5" x14ac:dyDescent="0.2">
      <c r="A60" s="67" t="s">
        <v>9</v>
      </c>
      <c r="B60" s="1">
        <v>11</v>
      </c>
      <c r="C60" s="1">
        <v>67</v>
      </c>
      <c r="D60" s="1">
        <v>39</v>
      </c>
      <c r="E60" s="2">
        <f t="shared" si="0"/>
        <v>53</v>
      </c>
    </row>
    <row r="61" spans="1:5" x14ac:dyDescent="0.2">
      <c r="A61" s="67" t="s">
        <v>9</v>
      </c>
      <c r="B61" s="1">
        <v>12</v>
      </c>
      <c r="C61" s="1">
        <v>59</v>
      </c>
      <c r="D61" s="1">
        <v>31</v>
      </c>
      <c r="E61" s="2">
        <f t="shared" si="0"/>
        <v>45</v>
      </c>
    </row>
    <row r="62" spans="1:5" x14ac:dyDescent="0.2">
      <c r="A62" s="68" t="s">
        <v>10</v>
      </c>
      <c r="B62" s="69">
        <v>1</v>
      </c>
      <c r="C62" s="69">
        <v>57</v>
      </c>
      <c r="D62" s="69">
        <v>30</v>
      </c>
      <c r="E62" s="70">
        <f t="shared" si="0"/>
        <v>43.5</v>
      </c>
    </row>
    <row r="63" spans="1:5" x14ac:dyDescent="0.2">
      <c r="A63" s="68" t="s">
        <v>10</v>
      </c>
      <c r="B63" s="69">
        <v>2</v>
      </c>
      <c r="C63" s="69">
        <v>63</v>
      </c>
      <c r="D63" s="69">
        <v>34</v>
      </c>
      <c r="E63" s="70">
        <f t="shared" si="0"/>
        <v>48.5</v>
      </c>
    </row>
    <row r="64" spans="1:5" x14ac:dyDescent="0.2">
      <c r="A64" s="68" t="s">
        <v>10</v>
      </c>
      <c r="B64" s="69">
        <v>3</v>
      </c>
      <c r="C64" s="69">
        <v>71</v>
      </c>
      <c r="D64" s="69">
        <v>41</v>
      </c>
      <c r="E64" s="70">
        <f t="shared" si="0"/>
        <v>56</v>
      </c>
    </row>
    <row r="65" spans="1:5" x14ac:dyDescent="0.2">
      <c r="A65" s="68" t="s">
        <v>10</v>
      </c>
      <c r="B65" s="69">
        <v>4</v>
      </c>
      <c r="C65" s="69">
        <v>79</v>
      </c>
      <c r="D65" s="69">
        <v>49</v>
      </c>
      <c r="E65" s="70">
        <f t="shared" si="0"/>
        <v>64</v>
      </c>
    </row>
    <row r="66" spans="1:5" x14ac:dyDescent="0.2">
      <c r="A66" s="68" t="s">
        <v>10</v>
      </c>
      <c r="B66" s="69">
        <v>5</v>
      </c>
      <c r="C66" s="69">
        <v>87</v>
      </c>
      <c r="D66" s="69">
        <v>59</v>
      </c>
      <c r="E66" s="70">
        <f t="shared" si="0"/>
        <v>73</v>
      </c>
    </row>
    <row r="67" spans="1:5" x14ac:dyDescent="0.2">
      <c r="A67" s="68" t="s">
        <v>10</v>
      </c>
      <c r="B67" s="69">
        <v>6</v>
      </c>
      <c r="C67" s="69">
        <v>93</v>
      </c>
      <c r="D67" s="69">
        <v>66</v>
      </c>
      <c r="E67" s="70">
        <f t="shared" ref="E67:E181" si="1">AVERAGE(C67:D67)</f>
        <v>79.5</v>
      </c>
    </row>
    <row r="68" spans="1:5" x14ac:dyDescent="0.2">
      <c r="A68" s="68" t="s">
        <v>10</v>
      </c>
      <c r="B68" s="69">
        <v>7</v>
      </c>
      <c r="C68" s="69">
        <v>94</v>
      </c>
      <c r="D68" s="69">
        <v>69</v>
      </c>
      <c r="E68" s="70">
        <f t="shared" si="1"/>
        <v>81.5</v>
      </c>
    </row>
    <row r="69" spans="1:5" x14ac:dyDescent="0.2">
      <c r="A69" s="68" t="s">
        <v>10</v>
      </c>
      <c r="B69" s="69">
        <v>8</v>
      </c>
      <c r="C69" s="69">
        <v>93</v>
      </c>
      <c r="D69" s="69">
        <v>68</v>
      </c>
      <c r="E69" s="70">
        <f t="shared" si="1"/>
        <v>80.5</v>
      </c>
    </row>
    <row r="70" spans="1:5" x14ac:dyDescent="0.2">
      <c r="A70" s="68" t="s">
        <v>10</v>
      </c>
      <c r="B70" s="69">
        <v>9</v>
      </c>
      <c r="C70" s="69">
        <v>86</v>
      </c>
      <c r="D70" s="69">
        <v>62</v>
      </c>
      <c r="E70" s="70">
        <f t="shared" si="1"/>
        <v>74</v>
      </c>
    </row>
    <row r="71" spans="1:5" x14ac:dyDescent="0.2">
      <c r="A71" s="68" t="s">
        <v>10</v>
      </c>
      <c r="B71" s="69">
        <v>10</v>
      </c>
      <c r="C71" s="69">
        <v>77</v>
      </c>
      <c r="D71" s="69">
        <v>51</v>
      </c>
      <c r="E71" s="70">
        <f t="shared" si="1"/>
        <v>64</v>
      </c>
    </row>
    <row r="72" spans="1:5" x14ac:dyDescent="0.2">
      <c r="A72" s="68" t="s">
        <v>10</v>
      </c>
      <c r="B72" s="69">
        <v>11</v>
      </c>
      <c r="C72" s="69">
        <v>66</v>
      </c>
      <c r="D72" s="69">
        <v>39</v>
      </c>
      <c r="E72" s="70">
        <f t="shared" si="1"/>
        <v>52.5</v>
      </c>
    </row>
    <row r="73" spans="1:5" x14ac:dyDescent="0.2">
      <c r="A73" s="68" t="s">
        <v>10</v>
      </c>
      <c r="B73" s="69">
        <v>12</v>
      </c>
      <c r="C73" s="69">
        <v>58</v>
      </c>
      <c r="D73" s="69">
        <v>31</v>
      </c>
      <c r="E73" s="70">
        <f t="shared" si="1"/>
        <v>44.5</v>
      </c>
    </row>
    <row r="74" spans="1:5" x14ac:dyDescent="0.2">
      <c r="A74" s="67" t="s">
        <v>11</v>
      </c>
      <c r="B74" s="1">
        <v>1</v>
      </c>
      <c r="C74" s="1">
        <v>55</v>
      </c>
      <c r="D74" s="1">
        <v>32</v>
      </c>
      <c r="E74" s="2">
        <f t="shared" si="1"/>
        <v>43.5</v>
      </c>
    </row>
    <row r="75" spans="1:5" x14ac:dyDescent="0.2">
      <c r="A75" s="67" t="s">
        <v>11</v>
      </c>
      <c r="B75" s="1">
        <v>2</v>
      </c>
      <c r="C75" s="1">
        <v>61</v>
      </c>
      <c r="D75" s="1">
        <v>37</v>
      </c>
      <c r="E75" s="2">
        <f t="shared" si="1"/>
        <v>49</v>
      </c>
    </row>
    <row r="76" spans="1:5" x14ac:dyDescent="0.2">
      <c r="A76" s="67" t="s">
        <v>11</v>
      </c>
      <c r="B76" s="1">
        <v>3</v>
      </c>
      <c r="C76" s="1">
        <v>69</v>
      </c>
      <c r="D76" s="1">
        <v>44</v>
      </c>
      <c r="E76" s="2">
        <f t="shared" si="1"/>
        <v>56.5</v>
      </c>
    </row>
    <row r="77" spans="1:5" x14ac:dyDescent="0.2">
      <c r="A77" s="67" t="s">
        <v>11</v>
      </c>
      <c r="B77" s="1">
        <v>4</v>
      </c>
      <c r="C77" s="1">
        <v>77</v>
      </c>
      <c r="D77" s="1">
        <v>52</v>
      </c>
      <c r="E77" s="2">
        <f t="shared" si="1"/>
        <v>64.5</v>
      </c>
    </row>
    <row r="78" spans="1:5" x14ac:dyDescent="0.2">
      <c r="A78" s="67" t="s">
        <v>11</v>
      </c>
      <c r="B78" s="1">
        <v>5</v>
      </c>
      <c r="C78" s="1">
        <v>85</v>
      </c>
      <c r="D78" s="1">
        <v>61</v>
      </c>
      <c r="E78" s="2">
        <f t="shared" si="1"/>
        <v>73</v>
      </c>
    </row>
    <row r="79" spans="1:5" x14ac:dyDescent="0.2">
      <c r="A79" s="67" t="s">
        <v>11</v>
      </c>
      <c r="B79" s="1">
        <v>6</v>
      </c>
      <c r="C79" s="1">
        <v>91</v>
      </c>
      <c r="D79" s="1">
        <v>69</v>
      </c>
      <c r="E79" s="2">
        <f t="shared" si="1"/>
        <v>80</v>
      </c>
    </row>
    <row r="80" spans="1:5" x14ac:dyDescent="0.2">
      <c r="A80" s="67" t="s">
        <v>11</v>
      </c>
      <c r="B80" s="1">
        <v>7</v>
      </c>
      <c r="C80" s="1">
        <v>95</v>
      </c>
      <c r="D80" s="1">
        <v>72</v>
      </c>
      <c r="E80" s="2">
        <f t="shared" si="1"/>
        <v>83.5</v>
      </c>
    </row>
    <row r="81" spans="1:5" x14ac:dyDescent="0.2">
      <c r="A81" s="67" t="s">
        <v>11</v>
      </c>
      <c r="B81" s="1">
        <v>8</v>
      </c>
      <c r="C81" s="1">
        <v>94</v>
      </c>
      <c r="D81" s="1">
        <v>71</v>
      </c>
      <c r="E81" s="2">
        <f t="shared" si="1"/>
        <v>82.5</v>
      </c>
    </row>
    <row r="82" spans="1:5" x14ac:dyDescent="0.2">
      <c r="A82" s="67" t="s">
        <v>11</v>
      </c>
      <c r="B82" s="1">
        <v>9</v>
      </c>
      <c r="C82" s="1">
        <v>87</v>
      </c>
      <c r="D82" s="1">
        <v>64</v>
      </c>
      <c r="E82" s="2">
        <f t="shared" si="1"/>
        <v>75.5</v>
      </c>
    </row>
    <row r="83" spans="1:5" x14ac:dyDescent="0.2">
      <c r="A83" s="67" t="s">
        <v>11</v>
      </c>
      <c r="B83" s="1">
        <v>10</v>
      </c>
      <c r="C83" s="1">
        <v>78</v>
      </c>
      <c r="D83" s="1">
        <v>54</v>
      </c>
      <c r="E83" s="2">
        <f t="shared" si="1"/>
        <v>66</v>
      </c>
    </row>
    <row r="84" spans="1:5" x14ac:dyDescent="0.2">
      <c r="A84" s="67" t="s">
        <v>11</v>
      </c>
      <c r="B84" s="1">
        <v>11</v>
      </c>
      <c r="C84" s="1">
        <v>65</v>
      </c>
      <c r="D84" s="1">
        <v>42</v>
      </c>
      <c r="E84" s="2">
        <f t="shared" si="1"/>
        <v>53.5</v>
      </c>
    </row>
    <row r="85" spans="1:5" x14ac:dyDescent="0.2">
      <c r="A85" s="67" t="s">
        <v>11</v>
      </c>
      <c r="B85" s="1">
        <v>12</v>
      </c>
      <c r="C85" s="1">
        <v>57</v>
      </c>
      <c r="D85" s="1">
        <v>34</v>
      </c>
      <c r="E85" s="2">
        <f t="shared" si="1"/>
        <v>45.5</v>
      </c>
    </row>
    <row r="86" spans="1:5" x14ac:dyDescent="0.2">
      <c r="A86" s="68" t="s">
        <v>12</v>
      </c>
      <c r="B86" s="69">
        <v>1</v>
      </c>
      <c r="C86" s="69">
        <v>57</v>
      </c>
      <c r="D86" s="69">
        <v>33</v>
      </c>
      <c r="E86" s="70">
        <f t="shared" si="1"/>
        <v>45</v>
      </c>
    </row>
    <row r="87" spans="1:5" x14ac:dyDescent="0.2">
      <c r="A87" s="68" t="s">
        <v>12</v>
      </c>
      <c r="B87" s="69">
        <v>2</v>
      </c>
      <c r="C87" s="69">
        <v>63</v>
      </c>
      <c r="D87" s="69">
        <v>38</v>
      </c>
      <c r="E87" s="70">
        <f t="shared" si="1"/>
        <v>50.5</v>
      </c>
    </row>
    <row r="88" spans="1:5" x14ac:dyDescent="0.2">
      <c r="A88" s="68" t="s">
        <v>12</v>
      </c>
      <c r="B88" s="69">
        <v>3</v>
      </c>
      <c r="C88" s="69">
        <v>70</v>
      </c>
      <c r="D88" s="69">
        <v>44</v>
      </c>
      <c r="E88" s="70">
        <f t="shared" si="1"/>
        <v>57</v>
      </c>
    </row>
    <row r="89" spans="1:5" x14ac:dyDescent="0.2">
      <c r="A89" s="68" t="s">
        <v>12</v>
      </c>
      <c r="B89" s="69">
        <v>4</v>
      </c>
      <c r="C89" s="69">
        <v>78</v>
      </c>
      <c r="D89" s="69">
        <v>51</v>
      </c>
      <c r="E89" s="70">
        <f t="shared" si="1"/>
        <v>64.5</v>
      </c>
    </row>
    <row r="90" spans="1:5" x14ac:dyDescent="0.2">
      <c r="A90" s="68" t="s">
        <v>12</v>
      </c>
      <c r="B90" s="69">
        <v>5</v>
      </c>
      <c r="C90" s="69">
        <v>87</v>
      </c>
      <c r="D90" s="69">
        <v>61</v>
      </c>
      <c r="E90" s="70">
        <f t="shared" si="1"/>
        <v>74</v>
      </c>
    </row>
    <row r="91" spans="1:5" x14ac:dyDescent="0.2">
      <c r="A91" s="68" t="s">
        <v>12</v>
      </c>
      <c r="B91" s="69">
        <v>6</v>
      </c>
      <c r="C91" s="69">
        <v>95</v>
      </c>
      <c r="D91" s="69">
        <v>69</v>
      </c>
      <c r="E91" s="70">
        <f t="shared" si="1"/>
        <v>82</v>
      </c>
    </row>
    <row r="92" spans="1:5" x14ac:dyDescent="0.2">
      <c r="A92" s="68" t="s">
        <v>12</v>
      </c>
      <c r="B92" s="69">
        <v>7</v>
      </c>
      <c r="C92" s="69">
        <v>94</v>
      </c>
      <c r="D92" s="69">
        <v>72</v>
      </c>
      <c r="E92" s="70">
        <f t="shared" si="1"/>
        <v>83</v>
      </c>
    </row>
    <row r="93" spans="1:5" x14ac:dyDescent="0.2">
      <c r="A93" s="68" t="s">
        <v>12</v>
      </c>
      <c r="B93" s="69">
        <v>8</v>
      </c>
      <c r="C93" s="69">
        <v>92</v>
      </c>
      <c r="D93" s="69">
        <v>70</v>
      </c>
      <c r="E93" s="70">
        <f t="shared" si="1"/>
        <v>81</v>
      </c>
    </row>
    <row r="94" spans="1:5" x14ac:dyDescent="0.2">
      <c r="A94" s="68" t="s">
        <v>12</v>
      </c>
      <c r="B94" s="69">
        <v>9</v>
      </c>
      <c r="C94" s="69">
        <v>87</v>
      </c>
      <c r="D94" s="69">
        <v>64</v>
      </c>
      <c r="E94" s="70">
        <f t="shared" si="1"/>
        <v>75.5</v>
      </c>
    </row>
    <row r="95" spans="1:5" x14ac:dyDescent="0.2">
      <c r="A95" s="68" t="s">
        <v>12</v>
      </c>
      <c r="B95" s="69">
        <v>10</v>
      </c>
      <c r="C95" s="69">
        <v>78</v>
      </c>
      <c r="D95" s="69">
        <v>52</v>
      </c>
      <c r="E95" s="70">
        <f t="shared" si="1"/>
        <v>65</v>
      </c>
    </row>
    <row r="96" spans="1:5" x14ac:dyDescent="0.2">
      <c r="A96" s="68" t="s">
        <v>12</v>
      </c>
      <c r="B96" s="69">
        <v>11</v>
      </c>
      <c r="C96" s="69">
        <v>66</v>
      </c>
      <c r="D96" s="69">
        <v>40</v>
      </c>
      <c r="E96" s="70">
        <f t="shared" si="1"/>
        <v>53</v>
      </c>
    </row>
    <row r="97" spans="1:5" x14ac:dyDescent="0.2">
      <c r="A97" s="68" t="s">
        <v>12</v>
      </c>
      <c r="B97" s="69">
        <v>12</v>
      </c>
      <c r="C97" s="69">
        <v>57</v>
      </c>
      <c r="D97" s="69">
        <v>33</v>
      </c>
      <c r="E97" s="70">
        <f t="shared" si="1"/>
        <v>45</v>
      </c>
    </row>
    <row r="98" spans="1:5" x14ac:dyDescent="0.2">
      <c r="A98" s="67" t="s">
        <v>13</v>
      </c>
      <c r="B98" s="1">
        <v>1</v>
      </c>
      <c r="C98" s="1">
        <v>55</v>
      </c>
      <c r="D98" s="1">
        <v>31</v>
      </c>
      <c r="E98" s="2">
        <f t="shared" si="1"/>
        <v>43</v>
      </c>
    </row>
    <row r="99" spans="1:5" x14ac:dyDescent="0.2">
      <c r="A99" s="67" t="s">
        <v>13</v>
      </c>
      <c r="B99" s="1">
        <v>2</v>
      </c>
      <c r="C99" s="1">
        <v>61</v>
      </c>
      <c r="D99" s="1">
        <v>36</v>
      </c>
      <c r="E99" s="2">
        <f t="shared" si="1"/>
        <v>48.5</v>
      </c>
    </row>
    <row r="100" spans="1:5" x14ac:dyDescent="0.2">
      <c r="A100" s="67" t="s">
        <v>13</v>
      </c>
      <c r="B100" s="1">
        <v>3</v>
      </c>
      <c r="C100" s="1">
        <v>68</v>
      </c>
      <c r="D100" s="1">
        <v>44</v>
      </c>
      <c r="E100" s="2">
        <f t="shared" si="1"/>
        <v>56</v>
      </c>
    </row>
    <row r="101" spans="1:5" x14ac:dyDescent="0.2">
      <c r="A101" s="67" t="s">
        <v>13</v>
      </c>
      <c r="B101" s="1">
        <v>4</v>
      </c>
      <c r="C101" s="1">
        <v>76</v>
      </c>
      <c r="D101" s="1">
        <v>52</v>
      </c>
      <c r="E101" s="2">
        <f t="shared" si="1"/>
        <v>64</v>
      </c>
    </row>
    <row r="102" spans="1:5" x14ac:dyDescent="0.2">
      <c r="A102" s="67" t="s">
        <v>13</v>
      </c>
      <c r="B102" s="1">
        <v>5</v>
      </c>
      <c r="C102" s="1">
        <v>83</v>
      </c>
      <c r="D102" s="1">
        <v>61</v>
      </c>
      <c r="E102" s="2">
        <f t="shared" si="1"/>
        <v>72</v>
      </c>
    </row>
    <row r="103" spans="1:5" x14ac:dyDescent="0.2">
      <c r="A103" s="67" t="s">
        <v>13</v>
      </c>
      <c r="B103" s="1">
        <v>6</v>
      </c>
      <c r="C103" s="1">
        <v>91</v>
      </c>
      <c r="D103" s="1">
        <v>69</v>
      </c>
      <c r="E103" s="2">
        <f t="shared" si="1"/>
        <v>80</v>
      </c>
    </row>
    <row r="104" spans="1:5" x14ac:dyDescent="0.2">
      <c r="A104" s="67" t="s">
        <v>13</v>
      </c>
      <c r="B104" s="1">
        <v>7</v>
      </c>
      <c r="C104" s="1">
        <v>97</v>
      </c>
      <c r="D104" s="1">
        <v>72</v>
      </c>
      <c r="E104" s="2">
        <f t="shared" si="1"/>
        <v>84.5</v>
      </c>
    </row>
    <row r="105" spans="1:5" x14ac:dyDescent="0.2">
      <c r="A105" s="67" t="s">
        <v>13</v>
      </c>
      <c r="B105" s="1">
        <v>8</v>
      </c>
      <c r="C105" s="1">
        <v>96</v>
      </c>
      <c r="D105" s="1">
        <v>72</v>
      </c>
      <c r="E105" s="2">
        <f t="shared" si="1"/>
        <v>84</v>
      </c>
    </row>
    <row r="106" spans="1:5" x14ac:dyDescent="0.2">
      <c r="A106" s="67" t="s">
        <v>13</v>
      </c>
      <c r="B106" s="1">
        <v>9</v>
      </c>
      <c r="C106" s="1">
        <v>89</v>
      </c>
      <c r="D106" s="1">
        <v>65</v>
      </c>
      <c r="E106" s="2">
        <f t="shared" si="1"/>
        <v>77</v>
      </c>
    </row>
    <row r="107" spans="1:5" x14ac:dyDescent="0.2">
      <c r="A107" s="67" t="s">
        <v>13</v>
      </c>
      <c r="B107" s="1">
        <v>10</v>
      </c>
      <c r="C107" s="1">
        <v>79</v>
      </c>
      <c r="D107" s="1">
        <v>55</v>
      </c>
      <c r="E107" s="2">
        <f t="shared" si="1"/>
        <v>67</v>
      </c>
    </row>
    <row r="108" spans="1:5" x14ac:dyDescent="0.2">
      <c r="A108" s="67" t="s">
        <v>13</v>
      </c>
      <c r="B108" s="1">
        <v>11</v>
      </c>
      <c r="C108" s="1">
        <v>67</v>
      </c>
      <c r="D108" s="1">
        <v>44</v>
      </c>
      <c r="E108" s="2">
        <f t="shared" si="1"/>
        <v>55.5</v>
      </c>
    </row>
    <row r="109" spans="1:5" x14ac:dyDescent="0.2">
      <c r="A109" s="67" t="s">
        <v>13</v>
      </c>
      <c r="B109" s="1">
        <v>12</v>
      </c>
      <c r="C109" s="1">
        <v>58</v>
      </c>
      <c r="D109" s="1">
        <v>35</v>
      </c>
      <c r="E109" s="2">
        <f t="shared" si="1"/>
        <v>46.5</v>
      </c>
    </row>
    <row r="110" spans="1:5" x14ac:dyDescent="0.2">
      <c r="A110" s="68" t="s">
        <v>14</v>
      </c>
      <c r="B110" s="69">
        <v>1</v>
      </c>
      <c r="C110" s="69">
        <v>55</v>
      </c>
      <c r="D110" s="69">
        <v>36</v>
      </c>
      <c r="E110" s="70">
        <f t="shared" si="1"/>
        <v>45.5</v>
      </c>
    </row>
    <row r="111" spans="1:5" x14ac:dyDescent="0.2">
      <c r="A111" s="68" t="s">
        <v>14</v>
      </c>
      <c r="B111" s="69">
        <v>2</v>
      </c>
      <c r="C111" s="69">
        <v>61</v>
      </c>
      <c r="D111" s="69">
        <v>41</v>
      </c>
      <c r="E111" s="70">
        <f t="shared" si="1"/>
        <v>51</v>
      </c>
    </row>
    <row r="112" spans="1:5" x14ac:dyDescent="0.2">
      <c r="A112" s="68" t="s">
        <v>14</v>
      </c>
      <c r="B112" s="69">
        <v>3</v>
      </c>
      <c r="C112" s="69">
        <v>69</v>
      </c>
      <c r="D112" s="69">
        <v>49</v>
      </c>
      <c r="E112" s="70">
        <f t="shared" si="1"/>
        <v>59</v>
      </c>
    </row>
    <row r="113" spans="1:5" x14ac:dyDescent="0.2">
      <c r="A113" s="68" t="s">
        <v>14</v>
      </c>
      <c r="B113" s="69">
        <v>4</v>
      </c>
      <c r="C113" s="69">
        <v>77</v>
      </c>
      <c r="D113" s="69">
        <v>56</v>
      </c>
      <c r="E113" s="70">
        <f t="shared" si="1"/>
        <v>66.5</v>
      </c>
    </row>
    <row r="114" spans="1:5" x14ac:dyDescent="0.2">
      <c r="A114" s="68" t="s">
        <v>14</v>
      </c>
      <c r="B114" s="69">
        <v>5</v>
      </c>
      <c r="C114" s="69">
        <v>84</v>
      </c>
      <c r="D114" s="69">
        <v>65</v>
      </c>
      <c r="E114" s="70">
        <f t="shared" si="1"/>
        <v>74.5</v>
      </c>
    </row>
    <row r="115" spans="1:5" x14ac:dyDescent="0.2">
      <c r="A115" s="68" t="s">
        <v>14</v>
      </c>
      <c r="B115" s="69">
        <v>6</v>
      </c>
      <c r="C115" s="69">
        <v>92</v>
      </c>
      <c r="D115" s="69">
        <v>73</v>
      </c>
      <c r="E115" s="70">
        <f t="shared" si="1"/>
        <v>82.5</v>
      </c>
    </row>
    <row r="116" spans="1:5" x14ac:dyDescent="0.2">
      <c r="A116" s="68" t="s">
        <v>14</v>
      </c>
      <c r="B116" s="69">
        <v>7</v>
      </c>
      <c r="C116" s="69">
        <v>96</v>
      </c>
      <c r="D116" s="69">
        <v>77</v>
      </c>
      <c r="E116" s="70">
        <f t="shared" si="1"/>
        <v>86.5</v>
      </c>
    </row>
    <row r="117" spans="1:5" x14ac:dyDescent="0.2">
      <c r="A117" s="68" t="s">
        <v>14</v>
      </c>
      <c r="B117" s="69">
        <v>8</v>
      </c>
      <c r="C117" s="69">
        <v>96</v>
      </c>
      <c r="D117" s="69">
        <v>76</v>
      </c>
      <c r="E117" s="70">
        <f t="shared" si="1"/>
        <v>86</v>
      </c>
    </row>
    <row r="118" spans="1:5" x14ac:dyDescent="0.2">
      <c r="A118" s="68" t="s">
        <v>14</v>
      </c>
      <c r="B118" s="69">
        <v>9</v>
      </c>
      <c r="C118" s="69">
        <v>89</v>
      </c>
      <c r="D118" s="69">
        <v>69</v>
      </c>
      <c r="E118" s="70">
        <f t="shared" si="1"/>
        <v>79</v>
      </c>
    </row>
    <row r="119" spans="1:5" x14ac:dyDescent="0.2">
      <c r="A119" s="68" t="s">
        <v>14</v>
      </c>
      <c r="B119" s="69">
        <v>10</v>
      </c>
      <c r="C119" s="69">
        <v>79</v>
      </c>
      <c r="D119" s="69">
        <v>58</v>
      </c>
      <c r="E119" s="70">
        <f t="shared" si="1"/>
        <v>68.5</v>
      </c>
    </row>
    <row r="120" spans="1:5" x14ac:dyDescent="0.2">
      <c r="A120" s="68" t="s">
        <v>14</v>
      </c>
      <c r="B120" s="69">
        <v>11</v>
      </c>
      <c r="C120" s="69">
        <v>66</v>
      </c>
      <c r="D120" s="69">
        <v>47</v>
      </c>
      <c r="E120" s="70">
        <f t="shared" si="1"/>
        <v>56.5</v>
      </c>
    </row>
    <row r="121" spans="1:5" x14ac:dyDescent="0.2">
      <c r="A121" s="68" t="s">
        <v>14</v>
      </c>
      <c r="B121" s="69">
        <v>12</v>
      </c>
      <c r="C121" s="69">
        <v>57</v>
      </c>
      <c r="D121" s="69">
        <v>39</v>
      </c>
      <c r="E121" s="70">
        <f t="shared" si="1"/>
        <v>48</v>
      </c>
    </row>
    <row r="122" spans="1:5" x14ac:dyDescent="0.2">
      <c r="A122" s="67" t="s">
        <v>15</v>
      </c>
      <c r="B122" s="1">
        <v>1</v>
      </c>
      <c r="C122" s="1">
        <v>53</v>
      </c>
      <c r="D122" s="1">
        <v>31</v>
      </c>
      <c r="E122" s="2">
        <f t="shared" si="1"/>
        <v>42</v>
      </c>
    </row>
    <row r="123" spans="1:5" x14ac:dyDescent="0.2">
      <c r="A123" s="67" t="s">
        <v>15</v>
      </c>
      <c r="B123" s="1">
        <v>2</v>
      </c>
      <c r="C123" s="1">
        <v>59</v>
      </c>
      <c r="D123" s="1">
        <v>35</v>
      </c>
      <c r="E123" s="2">
        <f t="shared" si="1"/>
        <v>47</v>
      </c>
    </row>
    <row r="124" spans="1:5" x14ac:dyDescent="0.2">
      <c r="A124" s="67" t="s">
        <v>15</v>
      </c>
      <c r="B124" s="1">
        <v>3</v>
      </c>
      <c r="C124" s="1">
        <v>67</v>
      </c>
      <c r="D124" s="1">
        <v>43</v>
      </c>
      <c r="E124" s="2">
        <f t="shared" si="1"/>
        <v>55</v>
      </c>
    </row>
    <row r="125" spans="1:5" x14ac:dyDescent="0.2">
      <c r="A125" s="67" t="s">
        <v>15</v>
      </c>
      <c r="B125" s="1">
        <v>4</v>
      </c>
      <c r="C125" s="1">
        <v>75</v>
      </c>
      <c r="D125" s="1">
        <v>51</v>
      </c>
      <c r="E125" s="2">
        <f t="shared" si="1"/>
        <v>63</v>
      </c>
    </row>
    <row r="126" spans="1:5" x14ac:dyDescent="0.2">
      <c r="A126" s="67" t="s">
        <v>15</v>
      </c>
      <c r="B126" s="1">
        <v>5</v>
      </c>
      <c r="C126" s="1">
        <v>82</v>
      </c>
      <c r="D126" s="1">
        <v>59</v>
      </c>
      <c r="E126" s="2">
        <f t="shared" si="1"/>
        <v>70.5</v>
      </c>
    </row>
    <row r="127" spans="1:5" x14ac:dyDescent="0.2">
      <c r="A127" s="67" t="s">
        <v>15</v>
      </c>
      <c r="B127" s="1">
        <v>6</v>
      </c>
      <c r="C127" s="1">
        <v>90</v>
      </c>
      <c r="D127" s="1">
        <v>67</v>
      </c>
      <c r="E127" s="2">
        <f t="shared" si="1"/>
        <v>78.5</v>
      </c>
    </row>
    <row r="128" spans="1:5" x14ac:dyDescent="0.2">
      <c r="A128" s="67" t="s">
        <v>15</v>
      </c>
      <c r="B128" s="1">
        <v>7</v>
      </c>
      <c r="C128" s="1">
        <v>94</v>
      </c>
      <c r="D128" s="1">
        <v>71</v>
      </c>
      <c r="E128" s="2">
        <f t="shared" si="1"/>
        <v>82.5</v>
      </c>
    </row>
    <row r="129" spans="1:5" x14ac:dyDescent="0.2">
      <c r="A129" s="67" t="s">
        <v>15</v>
      </c>
      <c r="B129" s="1">
        <v>8</v>
      </c>
      <c r="C129" s="1">
        <v>94</v>
      </c>
      <c r="D129" s="1">
        <v>69</v>
      </c>
      <c r="E129" s="2">
        <f t="shared" si="1"/>
        <v>81.5</v>
      </c>
    </row>
    <row r="130" spans="1:5" x14ac:dyDescent="0.2">
      <c r="A130" s="67" t="s">
        <v>15</v>
      </c>
      <c r="B130" s="1">
        <v>9</v>
      </c>
      <c r="C130" s="1">
        <v>87</v>
      </c>
      <c r="D130" s="1">
        <v>62</v>
      </c>
      <c r="E130" s="2">
        <f t="shared" si="1"/>
        <v>74.5</v>
      </c>
    </row>
    <row r="131" spans="1:5" x14ac:dyDescent="0.2">
      <c r="A131" s="67" t="s">
        <v>15</v>
      </c>
      <c r="B131" s="1">
        <v>10</v>
      </c>
      <c r="C131" s="1">
        <v>76</v>
      </c>
      <c r="D131" s="1">
        <v>50</v>
      </c>
      <c r="E131" s="2">
        <f t="shared" si="1"/>
        <v>63</v>
      </c>
    </row>
    <row r="132" spans="1:5" x14ac:dyDescent="0.2">
      <c r="A132" s="67" t="s">
        <v>15</v>
      </c>
      <c r="B132" s="1">
        <v>11</v>
      </c>
      <c r="C132" s="1">
        <v>64</v>
      </c>
      <c r="D132" s="1">
        <v>41</v>
      </c>
      <c r="E132" s="2">
        <f t="shared" si="1"/>
        <v>52.5</v>
      </c>
    </row>
    <row r="133" spans="1:5" x14ac:dyDescent="0.2">
      <c r="A133" s="67" t="s">
        <v>15</v>
      </c>
      <c r="B133" s="1">
        <v>12</v>
      </c>
      <c r="C133" s="1">
        <v>56</v>
      </c>
      <c r="D133" s="1">
        <v>33</v>
      </c>
      <c r="E133" s="2">
        <f t="shared" si="1"/>
        <v>44.5</v>
      </c>
    </row>
    <row r="134" spans="1:5" x14ac:dyDescent="0.2">
      <c r="A134" s="68" t="s">
        <v>44</v>
      </c>
      <c r="B134" s="69">
        <v>1</v>
      </c>
      <c r="C134" s="69">
        <v>51</v>
      </c>
      <c r="D134" s="69">
        <v>30</v>
      </c>
      <c r="E134" s="70">
        <f t="shared" si="1"/>
        <v>40.5</v>
      </c>
    </row>
    <row r="135" spans="1:5" x14ac:dyDescent="0.2">
      <c r="A135" s="68" t="s">
        <v>44</v>
      </c>
      <c r="B135" s="69">
        <v>2</v>
      </c>
      <c r="C135" s="69">
        <v>58</v>
      </c>
      <c r="D135" s="69">
        <v>35</v>
      </c>
      <c r="E135" s="70">
        <f t="shared" si="1"/>
        <v>46.5</v>
      </c>
    </row>
    <row r="136" spans="1:5" x14ac:dyDescent="0.2">
      <c r="A136" s="68" t="s">
        <v>44</v>
      </c>
      <c r="B136" s="69">
        <v>3</v>
      </c>
      <c r="C136" s="69">
        <v>66</v>
      </c>
      <c r="D136" s="69">
        <v>43</v>
      </c>
      <c r="E136" s="70">
        <f t="shared" si="1"/>
        <v>54.5</v>
      </c>
    </row>
    <row r="137" spans="1:5" x14ac:dyDescent="0.2">
      <c r="A137" s="68" t="s">
        <v>44</v>
      </c>
      <c r="B137" s="69">
        <v>4</v>
      </c>
      <c r="C137" s="69">
        <v>74</v>
      </c>
      <c r="D137" s="69">
        <v>51</v>
      </c>
      <c r="E137" s="70">
        <f t="shared" si="1"/>
        <v>62.5</v>
      </c>
    </row>
    <row r="138" spans="1:5" x14ac:dyDescent="0.2">
      <c r="A138" s="68" t="s">
        <v>44</v>
      </c>
      <c r="B138" s="69">
        <v>5</v>
      </c>
      <c r="C138" s="69">
        <v>81</v>
      </c>
      <c r="D138" s="69">
        <v>60</v>
      </c>
      <c r="E138" s="70">
        <f t="shared" si="1"/>
        <v>70.5</v>
      </c>
    </row>
    <row r="139" spans="1:5" x14ac:dyDescent="0.2">
      <c r="A139" s="68" t="s">
        <v>44</v>
      </c>
      <c r="B139" s="69">
        <v>6</v>
      </c>
      <c r="C139" s="69">
        <v>89</v>
      </c>
      <c r="D139" s="69">
        <v>68</v>
      </c>
      <c r="E139" s="70">
        <f t="shared" si="1"/>
        <v>78.5</v>
      </c>
    </row>
    <row r="140" spans="1:5" x14ac:dyDescent="0.2">
      <c r="A140" s="68" t="s">
        <v>44</v>
      </c>
      <c r="B140" s="69">
        <v>7</v>
      </c>
      <c r="C140" s="69">
        <v>94</v>
      </c>
      <c r="D140" s="69">
        <v>72</v>
      </c>
      <c r="E140" s="70">
        <f t="shared" si="1"/>
        <v>83</v>
      </c>
    </row>
    <row r="141" spans="1:5" x14ac:dyDescent="0.2">
      <c r="A141" s="68" t="s">
        <v>44</v>
      </c>
      <c r="B141" s="69">
        <v>8</v>
      </c>
      <c r="C141" s="69">
        <v>95</v>
      </c>
      <c r="D141" s="69">
        <v>71</v>
      </c>
      <c r="E141" s="70">
        <f t="shared" si="1"/>
        <v>83</v>
      </c>
    </row>
    <row r="142" spans="1:5" x14ac:dyDescent="0.2">
      <c r="A142" s="68" t="s">
        <v>44</v>
      </c>
      <c r="B142" s="69">
        <v>9</v>
      </c>
      <c r="C142" s="69">
        <v>87</v>
      </c>
      <c r="D142" s="69">
        <v>63</v>
      </c>
      <c r="E142" s="70">
        <f t="shared" si="1"/>
        <v>75</v>
      </c>
    </row>
    <row r="143" spans="1:5" x14ac:dyDescent="0.2">
      <c r="A143" s="68" t="s">
        <v>44</v>
      </c>
      <c r="B143" s="69">
        <v>10</v>
      </c>
      <c r="C143" s="69">
        <v>77</v>
      </c>
      <c r="D143" s="69">
        <v>52</v>
      </c>
      <c r="E143" s="70">
        <f t="shared" si="1"/>
        <v>64.5</v>
      </c>
    </row>
    <row r="144" spans="1:5" x14ac:dyDescent="0.2">
      <c r="A144" s="68" t="s">
        <v>44</v>
      </c>
      <c r="B144" s="69">
        <v>11</v>
      </c>
      <c r="C144" s="69">
        <v>63</v>
      </c>
      <c r="D144" s="69">
        <v>41</v>
      </c>
      <c r="E144" s="70">
        <f t="shared" si="1"/>
        <v>52</v>
      </c>
    </row>
    <row r="145" spans="1:5" x14ac:dyDescent="0.2">
      <c r="A145" s="68" t="s">
        <v>44</v>
      </c>
      <c r="B145" s="69">
        <v>12</v>
      </c>
      <c r="C145" s="69">
        <v>54</v>
      </c>
      <c r="D145" s="69">
        <v>33</v>
      </c>
      <c r="E145" s="70">
        <f t="shared" si="1"/>
        <v>43.5</v>
      </c>
    </row>
    <row r="146" spans="1:5" x14ac:dyDescent="0.2">
      <c r="A146" s="67" t="s">
        <v>45</v>
      </c>
      <c r="B146" s="1">
        <v>1</v>
      </c>
      <c r="C146" s="1">
        <v>57</v>
      </c>
      <c r="D146" s="1">
        <v>38</v>
      </c>
      <c r="E146" s="2">
        <f t="shared" si="1"/>
        <v>47.5</v>
      </c>
    </row>
    <row r="147" spans="1:5" x14ac:dyDescent="0.2">
      <c r="A147" s="67" t="s">
        <v>45</v>
      </c>
      <c r="B147" s="1">
        <v>2</v>
      </c>
      <c r="C147" s="1">
        <v>64</v>
      </c>
      <c r="D147" s="1">
        <v>41</v>
      </c>
      <c r="E147" s="2">
        <f t="shared" si="1"/>
        <v>52.5</v>
      </c>
    </row>
    <row r="148" spans="1:5" x14ac:dyDescent="0.2">
      <c r="A148" s="67" t="s">
        <v>45</v>
      </c>
      <c r="B148" s="1">
        <v>3</v>
      </c>
      <c r="C148" s="1">
        <v>72</v>
      </c>
      <c r="D148" s="1">
        <v>49</v>
      </c>
      <c r="E148" s="2">
        <f t="shared" si="1"/>
        <v>60.5</v>
      </c>
    </row>
    <row r="149" spans="1:5" x14ac:dyDescent="0.2">
      <c r="A149" s="67" t="s">
        <v>45</v>
      </c>
      <c r="B149" s="1">
        <v>4</v>
      </c>
      <c r="C149" s="1">
        <v>78</v>
      </c>
      <c r="D149" s="1">
        <v>55</v>
      </c>
      <c r="E149" s="2">
        <f t="shared" si="1"/>
        <v>66.5</v>
      </c>
    </row>
    <row r="150" spans="1:5" x14ac:dyDescent="0.2">
      <c r="A150" s="67" t="s">
        <v>45</v>
      </c>
      <c r="B150" s="1">
        <v>5</v>
      </c>
      <c r="C150" s="1">
        <v>84</v>
      </c>
      <c r="D150" s="1">
        <v>63</v>
      </c>
      <c r="E150" s="2">
        <f t="shared" si="1"/>
        <v>73.5</v>
      </c>
    </row>
    <row r="151" spans="1:5" x14ac:dyDescent="0.2">
      <c r="A151" s="67" t="s">
        <v>45</v>
      </c>
      <c r="B151" s="1">
        <v>6</v>
      </c>
      <c r="C151" s="1">
        <v>90</v>
      </c>
      <c r="D151" s="1">
        <v>70</v>
      </c>
      <c r="E151" s="2">
        <f t="shared" si="1"/>
        <v>80</v>
      </c>
    </row>
    <row r="152" spans="1:5" x14ac:dyDescent="0.2">
      <c r="A152" s="67" t="s">
        <v>45</v>
      </c>
      <c r="B152" s="1">
        <v>7</v>
      </c>
      <c r="C152" s="1">
        <v>94</v>
      </c>
      <c r="D152" s="1">
        <v>73</v>
      </c>
      <c r="E152" s="2">
        <f t="shared" si="1"/>
        <v>83.5</v>
      </c>
    </row>
    <row r="153" spans="1:5" x14ac:dyDescent="0.2">
      <c r="A153" s="67" t="s">
        <v>45</v>
      </c>
      <c r="B153" s="1">
        <v>8</v>
      </c>
      <c r="C153" s="1">
        <v>94</v>
      </c>
      <c r="D153" s="1">
        <v>72</v>
      </c>
      <c r="E153" s="2">
        <f t="shared" si="1"/>
        <v>83</v>
      </c>
    </row>
    <row r="154" spans="1:5" x14ac:dyDescent="0.2">
      <c r="A154" s="67" t="s">
        <v>45</v>
      </c>
      <c r="B154" s="1">
        <v>9</v>
      </c>
      <c r="C154" s="1">
        <v>88</v>
      </c>
      <c r="D154" s="1">
        <v>67</v>
      </c>
      <c r="E154" s="2">
        <f t="shared" si="1"/>
        <v>77.5</v>
      </c>
    </row>
    <row r="155" spans="1:5" x14ac:dyDescent="0.2">
      <c r="A155" s="67" t="s">
        <v>45</v>
      </c>
      <c r="B155" s="1">
        <v>10</v>
      </c>
      <c r="C155" s="1">
        <v>78</v>
      </c>
      <c r="D155" s="1">
        <v>56</v>
      </c>
      <c r="E155" s="2">
        <f t="shared" si="1"/>
        <v>67</v>
      </c>
    </row>
    <row r="156" spans="1:5" x14ac:dyDescent="0.2">
      <c r="A156" s="67" t="s">
        <v>45</v>
      </c>
      <c r="B156" s="1">
        <v>11</v>
      </c>
      <c r="C156" s="1">
        <v>67</v>
      </c>
      <c r="D156" s="1">
        <v>48</v>
      </c>
      <c r="E156" s="2">
        <f t="shared" si="1"/>
        <v>57.5</v>
      </c>
    </row>
    <row r="157" spans="1:5" x14ac:dyDescent="0.2">
      <c r="A157" s="67" t="s">
        <v>45</v>
      </c>
      <c r="B157" s="1">
        <v>12</v>
      </c>
      <c r="C157" s="1">
        <v>58</v>
      </c>
      <c r="D157" s="1">
        <v>40</v>
      </c>
      <c r="E157" s="2">
        <f t="shared" si="1"/>
        <v>49</v>
      </c>
    </row>
    <row r="158" spans="1:5" x14ac:dyDescent="0.2">
      <c r="A158" s="68" t="s">
        <v>40</v>
      </c>
      <c r="B158" s="69">
        <v>1</v>
      </c>
      <c r="C158" s="69">
        <v>57</v>
      </c>
      <c r="D158" s="69">
        <v>33</v>
      </c>
      <c r="E158" s="70">
        <f t="shared" si="1"/>
        <v>45</v>
      </c>
    </row>
    <row r="159" spans="1:5" x14ac:dyDescent="0.2">
      <c r="A159" s="68" t="s">
        <v>40</v>
      </c>
      <c r="B159" s="69">
        <v>2</v>
      </c>
      <c r="C159" s="69">
        <v>62</v>
      </c>
      <c r="D159" s="69">
        <v>38</v>
      </c>
      <c r="E159" s="70">
        <f t="shared" si="1"/>
        <v>50</v>
      </c>
    </row>
    <row r="160" spans="1:5" x14ac:dyDescent="0.2">
      <c r="A160" s="68" t="s">
        <v>40</v>
      </c>
      <c r="B160" s="69">
        <v>3</v>
      </c>
      <c r="C160" s="69">
        <v>70</v>
      </c>
      <c r="D160" s="69">
        <v>46</v>
      </c>
      <c r="E160" s="70">
        <f t="shared" si="1"/>
        <v>58</v>
      </c>
    </row>
    <row r="161" spans="1:5" x14ac:dyDescent="0.2">
      <c r="A161" s="68" t="s">
        <v>40</v>
      </c>
      <c r="B161" s="69">
        <v>4</v>
      </c>
      <c r="C161" s="69">
        <v>78</v>
      </c>
      <c r="D161" s="69">
        <v>53</v>
      </c>
      <c r="E161" s="70">
        <f t="shared" si="1"/>
        <v>65.5</v>
      </c>
    </row>
    <row r="162" spans="1:5" x14ac:dyDescent="0.2">
      <c r="A162" s="68" t="s">
        <v>40</v>
      </c>
      <c r="B162" s="69">
        <v>5</v>
      </c>
      <c r="C162" s="69">
        <v>84</v>
      </c>
      <c r="D162" s="69">
        <v>63</v>
      </c>
      <c r="E162" s="70">
        <f t="shared" si="1"/>
        <v>73.5</v>
      </c>
    </row>
    <row r="163" spans="1:5" x14ac:dyDescent="0.2">
      <c r="A163" s="68" t="s">
        <v>40</v>
      </c>
      <c r="B163" s="69">
        <v>6</v>
      </c>
      <c r="C163" s="69">
        <v>91</v>
      </c>
      <c r="D163" s="69">
        <v>70</v>
      </c>
      <c r="E163" s="70">
        <f t="shared" si="1"/>
        <v>80.5</v>
      </c>
    </row>
    <row r="164" spans="1:5" x14ac:dyDescent="0.2">
      <c r="A164" s="68" t="s">
        <v>40</v>
      </c>
      <c r="B164" s="69">
        <v>7</v>
      </c>
      <c r="C164" s="69">
        <v>96</v>
      </c>
      <c r="D164" s="69">
        <v>74</v>
      </c>
      <c r="E164" s="70">
        <f t="shared" si="1"/>
        <v>85</v>
      </c>
    </row>
    <row r="165" spans="1:5" x14ac:dyDescent="0.2">
      <c r="A165" s="68" t="s">
        <v>40</v>
      </c>
      <c r="B165" s="69">
        <v>8</v>
      </c>
      <c r="C165" s="69">
        <v>96</v>
      </c>
      <c r="D165" s="69">
        <v>73</v>
      </c>
      <c r="E165" s="70">
        <f t="shared" si="1"/>
        <v>84.5</v>
      </c>
    </row>
    <row r="166" spans="1:5" x14ac:dyDescent="0.2">
      <c r="A166" s="68" t="s">
        <v>40</v>
      </c>
      <c r="B166" s="69">
        <v>9</v>
      </c>
      <c r="C166" s="69">
        <v>90</v>
      </c>
      <c r="D166" s="69">
        <v>66</v>
      </c>
      <c r="E166" s="70">
        <f t="shared" si="1"/>
        <v>78</v>
      </c>
    </row>
    <row r="167" spans="1:5" x14ac:dyDescent="0.2">
      <c r="A167" s="68" t="s">
        <v>40</v>
      </c>
      <c r="B167" s="69">
        <v>10</v>
      </c>
      <c r="C167" s="69">
        <v>79</v>
      </c>
      <c r="D167" s="69">
        <v>55</v>
      </c>
      <c r="E167" s="70">
        <f t="shared" si="1"/>
        <v>67</v>
      </c>
    </row>
    <row r="168" spans="1:5" x14ac:dyDescent="0.2">
      <c r="A168" s="68" t="s">
        <v>40</v>
      </c>
      <c r="B168" s="69">
        <v>11</v>
      </c>
      <c r="C168" s="69">
        <v>68</v>
      </c>
      <c r="D168" s="69">
        <v>45</v>
      </c>
      <c r="E168" s="70">
        <f t="shared" si="1"/>
        <v>56.5</v>
      </c>
    </row>
    <row r="169" spans="1:5" x14ac:dyDescent="0.2">
      <c r="A169" s="68" t="s">
        <v>40</v>
      </c>
      <c r="B169" s="69">
        <v>12</v>
      </c>
      <c r="C169" s="69">
        <v>59</v>
      </c>
      <c r="D169" s="69">
        <v>36</v>
      </c>
      <c r="E169" s="70">
        <f t="shared" si="1"/>
        <v>47.5</v>
      </c>
    </row>
    <row r="170" spans="1:5" x14ac:dyDescent="0.2">
      <c r="A170" s="67" t="s">
        <v>16</v>
      </c>
      <c r="B170" s="1">
        <v>1</v>
      </c>
      <c r="C170" s="1">
        <v>57</v>
      </c>
      <c r="D170" s="1">
        <v>30</v>
      </c>
      <c r="E170" s="2">
        <f t="shared" si="1"/>
        <v>43.5</v>
      </c>
    </row>
    <row r="171" spans="1:5" x14ac:dyDescent="0.2">
      <c r="A171" s="67" t="s">
        <v>16</v>
      </c>
      <c r="B171" s="1">
        <v>2</v>
      </c>
      <c r="C171" s="1">
        <v>62</v>
      </c>
      <c r="D171" s="1">
        <v>35</v>
      </c>
      <c r="E171" s="2">
        <f t="shared" si="1"/>
        <v>48.5</v>
      </c>
    </row>
    <row r="172" spans="1:5" x14ac:dyDescent="0.2">
      <c r="A172" s="67" t="s">
        <v>16</v>
      </c>
      <c r="B172" s="1">
        <v>3</v>
      </c>
      <c r="C172" s="1">
        <v>70</v>
      </c>
      <c r="D172" s="1">
        <v>42</v>
      </c>
      <c r="E172" s="2">
        <f t="shared" si="1"/>
        <v>56</v>
      </c>
    </row>
    <row r="173" spans="1:5" x14ac:dyDescent="0.2">
      <c r="A173" s="67" t="s">
        <v>16</v>
      </c>
      <c r="B173" s="1">
        <v>4</v>
      </c>
      <c r="C173" s="1">
        <v>78</v>
      </c>
      <c r="D173" s="1">
        <v>51</v>
      </c>
      <c r="E173" s="2">
        <f t="shared" si="1"/>
        <v>64.5</v>
      </c>
    </row>
    <row r="174" spans="1:5" x14ac:dyDescent="0.2">
      <c r="A174" s="67" t="s">
        <v>16</v>
      </c>
      <c r="B174" s="1">
        <v>5</v>
      </c>
      <c r="C174" s="1">
        <v>84</v>
      </c>
      <c r="D174" s="1">
        <v>61</v>
      </c>
      <c r="E174" s="2">
        <f t="shared" si="1"/>
        <v>72.5</v>
      </c>
    </row>
    <row r="175" spans="1:5" x14ac:dyDescent="0.2">
      <c r="A175" s="67" t="s">
        <v>16</v>
      </c>
      <c r="B175" s="1">
        <v>6</v>
      </c>
      <c r="C175" s="1">
        <v>91</v>
      </c>
      <c r="D175" s="1">
        <v>68</v>
      </c>
      <c r="E175" s="2">
        <f t="shared" si="1"/>
        <v>79.5</v>
      </c>
    </row>
    <row r="176" spans="1:5" x14ac:dyDescent="0.2">
      <c r="A176" s="67" t="s">
        <v>16</v>
      </c>
      <c r="B176" s="1">
        <v>7</v>
      </c>
      <c r="C176" s="1">
        <v>95</v>
      </c>
      <c r="D176" s="1">
        <v>71</v>
      </c>
      <c r="E176" s="2">
        <f t="shared" si="1"/>
        <v>83</v>
      </c>
    </row>
    <row r="177" spans="1:5" x14ac:dyDescent="0.2">
      <c r="A177" s="67" t="s">
        <v>16</v>
      </c>
      <c r="B177" s="1">
        <v>8</v>
      </c>
      <c r="C177" s="1">
        <v>95</v>
      </c>
      <c r="D177" s="1">
        <v>70</v>
      </c>
      <c r="E177" s="2">
        <f t="shared" si="1"/>
        <v>82.5</v>
      </c>
    </row>
    <row r="178" spans="1:5" x14ac:dyDescent="0.2">
      <c r="A178" s="67" t="s">
        <v>16</v>
      </c>
      <c r="B178" s="1">
        <v>9</v>
      </c>
      <c r="C178" s="1">
        <v>88</v>
      </c>
      <c r="D178" s="1">
        <v>63</v>
      </c>
      <c r="E178" s="2">
        <f t="shared" si="1"/>
        <v>75.5</v>
      </c>
    </row>
    <row r="179" spans="1:5" x14ac:dyDescent="0.2">
      <c r="A179" s="67" t="s">
        <v>16</v>
      </c>
      <c r="B179" s="1">
        <v>10</v>
      </c>
      <c r="C179" s="1">
        <v>79</v>
      </c>
      <c r="D179" s="1">
        <v>52</v>
      </c>
      <c r="E179" s="2">
        <f t="shared" si="1"/>
        <v>65.5</v>
      </c>
    </row>
    <row r="180" spans="1:5" x14ac:dyDescent="0.2">
      <c r="A180" s="67" t="s">
        <v>16</v>
      </c>
      <c r="B180" s="1">
        <v>11</v>
      </c>
      <c r="C180" s="1">
        <v>68</v>
      </c>
      <c r="D180" s="1">
        <v>41</v>
      </c>
      <c r="E180" s="2">
        <f t="shared" si="1"/>
        <v>54.5</v>
      </c>
    </row>
    <row r="181" spans="1:5" x14ac:dyDescent="0.2">
      <c r="A181" s="67" t="s">
        <v>16</v>
      </c>
      <c r="B181" s="1">
        <v>12</v>
      </c>
      <c r="C181" s="1">
        <v>60</v>
      </c>
      <c r="D181" s="1">
        <v>32</v>
      </c>
      <c r="E181" s="2">
        <f t="shared" si="1"/>
        <v>46</v>
      </c>
    </row>
    <row r="182" spans="1:5" x14ac:dyDescent="0.2">
      <c r="A182" s="68" t="s">
        <v>17</v>
      </c>
      <c r="B182" s="69">
        <v>1</v>
      </c>
      <c r="C182" s="69">
        <v>59</v>
      </c>
      <c r="D182" s="69">
        <v>38</v>
      </c>
      <c r="E182" s="70">
        <f t="shared" ref="E182:E216" si="2">AVERAGE(C182:D182)</f>
        <v>48.5</v>
      </c>
    </row>
    <row r="183" spans="1:5" x14ac:dyDescent="0.2">
      <c r="A183" s="68" t="s">
        <v>17</v>
      </c>
      <c r="B183" s="69">
        <v>2</v>
      </c>
      <c r="C183" s="69">
        <v>65</v>
      </c>
      <c r="D183" s="69">
        <v>41</v>
      </c>
      <c r="E183" s="70">
        <f t="shared" si="2"/>
        <v>53</v>
      </c>
    </row>
    <row r="184" spans="1:5" x14ac:dyDescent="0.2">
      <c r="A184" s="68" t="s">
        <v>17</v>
      </c>
      <c r="B184" s="69">
        <v>3</v>
      </c>
      <c r="C184" s="69">
        <v>72</v>
      </c>
      <c r="D184" s="69">
        <v>48</v>
      </c>
      <c r="E184" s="70">
        <f t="shared" si="2"/>
        <v>60</v>
      </c>
    </row>
    <row r="185" spans="1:5" x14ac:dyDescent="0.2">
      <c r="A185" s="68" t="s">
        <v>17</v>
      </c>
      <c r="B185" s="69">
        <v>4</v>
      </c>
      <c r="C185" s="69">
        <v>78</v>
      </c>
      <c r="D185" s="69">
        <v>54</v>
      </c>
      <c r="E185" s="70">
        <f t="shared" si="2"/>
        <v>66</v>
      </c>
    </row>
    <row r="186" spans="1:5" x14ac:dyDescent="0.2">
      <c r="A186" s="68" t="s">
        <v>17</v>
      </c>
      <c r="B186" s="69">
        <v>5</v>
      </c>
      <c r="C186" s="69">
        <v>84</v>
      </c>
      <c r="D186" s="69">
        <v>63</v>
      </c>
      <c r="E186" s="70">
        <f t="shared" si="2"/>
        <v>73.5</v>
      </c>
    </row>
    <row r="187" spans="1:5" x14ac:dyDescent="0.2">
      <c r="A187" s="68" t="s">
        <v>17</v>
      </c>
      <c r="B187" s="69">
        <v>6</v>
      </c>
      <c r="C187" s="69">
        <v>90</v>
      </c>
      <c r="D187" s="69">
        <v>69</v>
      </c>
      <c r="E187" s="70">
        <f t="shared" si="2"/>
        <v>79.5</v>
      </c>
    </row>
    <row r="188" spans="1:5" x14ac:dyDescent="0.2">
      <c r="A188" s="68" t="s">
        <v>17</v>
      </c>
      <c r="B188" s="69">
        <v>7</v>
      </c>
      <c r="C188" s="69">
        <v>93</v>
      </c>
      <c r="D188" s="69">
        <v>72</v>
      </c>
      <c r="E188" s="70">
        <f t="shared" si="2"/>
        <v>82.5</v>
      </c>
    </row>
    <row r="189" spans="1:5" x14ac:dyDescent="0.2">
      <c r="A189" s="68" t="s">
        <v>17</v>
      </c>
      <c r="B189" s="69">
        <v>8</v>
      </c>
      <c r="C189" s="69">
        <v>94</v>
      </c>
      <c r="D189" s="69">
        <v>71</v>
      </c>
      <c r="E189" s="70">
        <f t="shared" si="2"/>
        <v>82.5</v>
      </c>
    </row>
    <row r="190" spans="1:5" x14ac:dyDescent="0.2">
      <c r="A190" s="68" t="s">
        <v>17</v>
      </c>
      <c r="B190" s="69">
        <v>9</v>
      </c>
      <c r="C190" s="69">
        <v>89</v>
      </c>
      <c r="D190" s="69">
        <v>66</v>
      </c>
      <c r="E190" s="70">
        <f t="shared" si="2"/>
        <v>77.5</v>
      </c>
    </row>
    <row r="191" spans="1:5" x14ac:dyDescent="0.2">
      <c r="A191" s="68" t="s">
        <v>17</v>
      </c>
      <c r="B191" s="69">
        <v>10</v>
      </c>
      <c r="C191" s="69">
        <v>80</v>
      </c>
      <c r="D191" s="69">
        <v>55</v>
      </c>
      <c r="E191" s="70">
        <f t="shared" si="2"/>
        <v>67.5</v>
      </c>
    </row>
    <row r="192" spans="1:5" x14ac:dyDescent="0.2">
      <c r="A192" s="68" t="s">
        <v>17</v>
      </c>
      <c r="B192" s="69">
        <v>11</v>
      </c>
      <c r="C192" s="69">
        <v>69</v>
      </c>
      <c r="D192" s="69">
        <v>46</v>
      </c>
      <c r="E192" s="70">
        <f t="shared" si="2"/>
        <v>57.5</v>
      </c>
    </row>
    <row r="193" spans="1:5" x14ac:dyDescent="0.2">
      <c r="A193" s="68" t="s">
        <v>17</v>
      </c>
      <c r="B193" s="69">
        <v>12</v>
      </c>
      <c r="C193" s="69">
        <v>61</v>
      </c>
      <c r="D193" s="69">
        <v>39</v>
      </c>
      <c r="E193" s="70">
        <f t="shared" si="2"/>
        <v>50</v>
      </c>
    </row>
    <row r="194" spans="1:5" x14ac:dyDescent="0.2">
      <c r="A194" s="67" t="s">
        <v>18</v>
      </c>
      <c r="B194" s="1">
        <v>1</v>
      </c>
      <c r="C194" s="1">
        <v>62</v>
      </c>
      <c r="D194" s="1">
        <v>39</v>
      </c>
      <c r="E194" s="2">
        <f t="shared" si="2"/>
        <v>50.5</v>
      </c>
    </row>
    <row r="195" spans="1:5" x14ac:dyDescent="0.2">
      <c r="A195" s="67" t="s">
        <v>18</v>
      </c>
      <c r="B195" s="1">
        <v>2</v>
      </c>
      <c r="C195" s="1">
        <v>67</v>
      </c>
      <c r="D195" s="1">
        <v>43</v>
      </c>
      <c r="E195" s="2">
        <f t="shared" si="2"/>
        <v>55</v>
      </c>
    </row>
    <row r="196" spans="1:5" x14ac:dyDescent="0.2">
      <c r="A196" s="67" t="s">
        <v>18</v>
      </c>
      <c r="B196" s="1">
        <v>3</v>
      </c>
      <c r="C196" s="1">
        <v>74</v>
      </c>
      <c r="D196" s="1">
        <v>50</v>
      </c>
      <c r="E196" s="2">
        <f t="shared" si="2"/>
        <v>62</v>
      </c>
    </row>
    <row r="197" spans="1:5" x14ac:dyDescent="0.2">
      <c r="A197" s="67" t="s">
        <v>18</v>
      </c>
      <c r="B197" s="1">
        <v>4</v>
      </c>
      <c r="C197" s="1">
        <v>80</v>
      </c>
      <c r="D197" s="1">
        <v>57</v>
      </c>
      <c r="E197" s="2">
        <f t="shared" si="2"/>
        <v>68.5</v>
      </c>
    </row>
    <row r="198" spans="1:5" x14ac:dyDescent="0.2">
      <c r="A198" s="67" t="s">
        <v>18</v>
      </c>
      <c r="B198" s="1">
        <v>5</v>
      </c>
      <c r="C198" s="1">
        <v>86</v>
      </c>
      <c r="D198" s="1">
        <v>66</v>
      </c>
      <c r="E198" s="2">
        <f t="shared" si="2"/>
        <v>76</v>
      </c>
    </row>
    <row r="199" spans="1:5" x14ac:dyDescent="0.2">
      <c r="A199" s="67" t="s">
        <v>18</v>
      </c>
      <c r="B199" s="1">
        <v>6</v>
      </c>
      <c r="C199" s="1">
        <v>91</v>
      </c>
      <c r="D199" s="1">
        <v>72</v>
      </c>
      <c r="E199" s="2">
        <f t="shared" si="2"/>
        <v>81.5</v>
      </c>
    </row>
    <row r="200" spans="1:5" x14ac:dyDescent="0.2">
      <c r="A200" s="67" t="s">
        <v>18</v>
      </c>
      <c r="B200" s="1">
        <v>7</v>
      </c>
      <c r="C200" s="1">
        <v>95</v>
      </c>
      <c r="D200" s="1">
        <v>74</v>
      </c>
      <c r="E200" s="2">
        <f t="shared" si="2"/>
        <v>84.5</v>
      </c>
    </row>
    <row r="201" spans="1:5" x14ac:dyDescent="0.2">
      <c r="A201" s="67" t="s">
        <v>18</v>
      </c>
      <c r="B201" s="1">
        <v>8</v>
      </c>
      <c r="C201" s="1">
        <v>95</v>
      </c>
      <c r="D201" s="1">
        <v>74</v>
      </c>
      <c r="E201" s="2">
        <f t="shared" si="2"/>
        <v>84.5</v>
      </c>
    </row>
    <row r="202" spans="1:5" x14ac:dyDescent="0.2">
      <c r="A202" s="67" t="s">
        <v>18</v>
      </c>
      <c r="B202" s="1">
        <v>9</v>
      </c>
      <c r="C202" s="1">
        <v>90</v>
      </c>
      <c r="D202" s="1">
        <v>69</v>
      </c>
      <c r="E202" s="2">
        <f t="shared" si="2"/>
        <v>79.5</v>
      </c>
    </row>
    <row r="203" spans="1:5" x14ac:dyDescent="0.2">
      <c r="A203" s="67" t="s">
        <v>18</v>
      </c>
      <c r="B203" s="1">
        <v>10</v>
      </c>
      <c r="C203" s="1">
        <v>82</v>
      </c>
      <c r="D203" s="1">
        <v>59</v>
      </c>
      <c r="E203" s="2">
        <f t="shared" si="2"/>
        <v>70.5</v>
      </c>
    </row>
    <row r="204" spans="1:5" x14ac:dyDescent="0.2">
      <c r="A204" s="67" t="s">
        <v>18</v>
      </c>
      <c r="B204" s="1">
        <v>11</v>
      </c>
      <c r="C204" s="1">
        <v>71</v>
      </c>
      <c r="D204" s="1">
        <v>49</v>
      </c>
      <c r="E204" s="2">
        <f t="shared" si="2"/>
        <v>60</v>
      </c>
    </row>
    <row r="205" spans="1:5" x14ac:dyDescent="0.2">
      <c r="A205" s="67" t="s">
        <v>18</v>
      </c>
      <c r="B205" s="1">
        <v>12</v>
      </c>
      <c r="C205" s="1">
        <v>64</v>
      </c>
      <c r="D205" s="1">
        <v>41</v>
      </c>
      <c r="E205" s="2">
        <f t="shared" si="2"/>
        <v>52.5</v>
      </c>
    </row>
    <row r="206" spans="1:5" x14ac:dyDescent="0.2">
      <c r="A206" s="68" t="s">
        <v>19</v>
      </c>
      <c r="B206" s="69">
        <v>1</v>
      </c>
      <c r="C206" s="69">
        <v>68</v>
      </c>
      <c r="D206" s="69">
        <v>44</v>
      </c>
      <c r="E206" s="70">
        <f t="shared" si="2"/>
        <v>56</v>
      </c>
    </row>
    <row r="207" spans="1:5" x14ac:dyDescent="0.2">
      <c r="A207" s="68" t="s">
        <v>19</v>
      </c>
      <c r="B207" s="69">
        <v>2</v>
      </c>
      <c r="C207" s="69">
        <v>73</v>
      </c>
      <c r="D207" s="69">
        <v>48</v>
      </c>
      <c r="E207" s="70">
        <f t="shared" si="2"/>
        <v>60.5</v>
      </c>
    </row>
    <row r="208" spans="1:5" x14ac:dyDescent="0.2">
      <c r="A208" s="68" t="s">
        <v>19</v>
      </c>
      <c r="B208" s="69">
        <v>3</v>
      </c>
      <c r="C208" s="69">
        <v>82</v>
      </c>
      <c r="D208" s="69">
        <v>56</v>
      </c>
      <c r="E208" s="70">
        <f t="shared" si="2"/>
        <v>69</v>
      </c>
    </row>
    <row r="209" spans="1:5" x14ac:dyDescent="0.2">
      <c r="A209" s="68" t="s">
        <v>19</v>
      </c>
      <c r="B209" s="69">
        <v>4</v>
      </c>
      <c r="C209" s="69">
        <v>89</v>
      </c>
      <c r="D209" s="69">
        <v>63</v>
      </c>
      <c r="E209" s="70">
        <f t="shared" si="2"/>
        <v>76</v>
      </c>
    </row>
    <row r="210" spans="1:5" x14ac:dyDescent="0.2">
      <c r="A210" s="68" t="s">
        <v>19</v>
      </c>
      <c r="B210" s="69">
        <v>5</v>
      </c>
      <c r="C210" s="69">
        <v>95</v>
      </c>
      <c r="D210" s="69">
        <v>70</v>
      </c>
      <c r="E210" s="70">
        <f t="shared" si="2"/>
        <v>82.5</v>
      </c>
    </row>
    <row r="211" spans="1:5" x14ac:dyDescent="0.2">
      <c r="A211" s="68" t="s">
        <v>19</v>
      </c>
      <c r="B211" s="69">
        <v>6</v>
      </c>
      <c r="C211" s="69">
        <v>100</v>
      </c>
      <c r="D211" s="69">
        <v>74</v>
      </c>
      <c r="E211" s="70">
        <f t="shared" si="2"/>
        <v>87</v>
      </c>
    </row>
    <row r="212" spans="1:5" x14ac:dyDescent="0.2">
      <c r="A212" s="68" t="s">
        <v>19</v>
      </c>
      <c r="B212" s="69">
        <v>7</v>
      </c>
      <c r="C212" s="69">
        <v>102</v>
      </c>
      <c r="D212" s="69">
        <v>75</v>
      </c>
      <c r="E212" s="70">
        <f t="shared" si="2"/>
        <v>88.5</v>
      </c>
    </row>
    <row r="213" spans="1:5" x14ac:dyDescent="0.2">
      <c r="A213" s="68" t="s">
        <v>19</v>
      </c>
      <c r="B213" s="69">
        <v>8</v>
      </c>
      <c r="C213" s="69">
        <v>101</v>
      </c>
      <c r="D213" s="69">
        <v>75</v>
      </c>
      <c r="E213" s="70">
        <f t="shared" si="2"/>
        <v>88</v>
      </c>
    </row>
    <row r="214" spans="1:5" x14ac:dyDescent="0.2">
      <c r="A214" s="68" t="s">
        <v>19</v>
      </c>
      <c r="B214" s="69">
        <v>9</v>
      </c>
      <c r="C214" s="69">
        <v>95</v>
      </c>
      <c r="D214" s="69">
        <v>71</v>
      </c>
      <c r="E214" s="70">
        <f t="shared" si="2"/>
        <v>83</v>
      </c>
    </row>
    <row r="215" spans="1:5" x14ac:dyDescent="0.2">
      <c r="A215" s="68" t="s">
        <v>19</v>
      </c>
      <c r="B215" s="69">
        <v>10</v>
      </c>
      <c r="C215" s="69">
        <v>87</v>
      </c>
      <c r="D215" s="69">
        <v>63</v>
      </c>
      <c r="E215" s="70">
        <f t="shared" si="2"/>
        <v>75</v>
      </c>
    </row>
    <row r="216" spans="1:5" x14ac:dyDescent="0.2">
      <c r="A216" s="68" t="s">
        <v>19</v>
      </c>
      <c r="B216" s="69">
        <v>11</v>
      </c>
      <c r="C216" s="69">
        <v>77</v>
      </c>
      <c r="D216" s="69">
        <v>53</v>
      </c>
      <c r="E216" s="70">
        <f t="shared" si="2"/>
        <v>65</v>
      </c>
    </row>
    <row r="217" spans="1:5" x14ac:dyDescent="0.2">
      <c r="A217" s="68" t="s">
        <v>19</v>
      </c>
      <c r="B217" s="69">
        <v>12</v>
      </c>
      <c r="C217" s="69">
        <v>69</v>
      </c>
      <c r="D217" s="69">
        <v>45</v>
      </c>
      <c r="E217" s="70">
        <f t="shared" ref="E217:E229" si="3">AVERAGE(C217:D217)</f>
        <v>57</v>
      </c>
    </row>
    <row r="218" spans="1:5" x14ac:dyDescent="0.2">
      <c r="A218" s="67" t="s">
        <v>42</v>
      </c>
      <c r="B218" s="1">
        <v>1</v>
      </c>
      <c r="C218" s="1">
        <v>61</v>
      </c>
      <c r="D218" s="1">
        <v>40</v>
      </c>
      <c r="E218" s="2">
        <f t="shared" si="3"/>
        <v>50.5</v>
      </c>
    </row>
    <row r="219" spans="1:5" x14ac:dyDescent="0.2">
      <c r="A219" s="67" t="s">
        <v>42</v>
      </c>
      <c r="B219" s="1">
        <v>2</v>
      </c>
      <c r="C219" s="1">
        <v>66</v>
      </c>
      <c r="D219" s="1">
        <v>44</v>
      </c>
      <c r="E219" s="2">
        <f t="shared" si="3"/>
        <v>55</v>
      </c>
    </row>
    <row r="220" spans="1:5" x14ac:dyDescent="0.2">
      <c r="A220" s="67" t="s">
        <v>42</v>
      </c>
      <c r="B220" s="1">
        <v>3</v>
      </c>
      <c r="C220" s="1">
        <v>73</v>
      </c>
      <c r="D220" s="1">
        <v>50</v>
      </c>
      <c r="E220" s="2">
        <f t="shared" si="3"/>
        <v>61.5</v>
      </c>
    </row>
    <row r="221" spans="1:5" x14ac:dyDescent="0.2">
      <c r="A221" s="67" t="s">
        <v>42</v>
      </c>
      <c r="B221" s="1">
        <v>4</v>
      </c>
      <c r="C221" s="1">
        <v>79</v>
      </c>
      <c r="D221" s="1">
        <v>57</v>
      </c>
      <c r="E221" s="2">
        <f t="shared" si="3"/>
        <v>68</v>
      </c>
    </row>
    <row r="222" spans="1:5" x14ac:dyDescent="0.2">
      <c r="A222" s="67" t="s">
        <v>42</v>
      </c>
      <c r="B222" s="1">
        <v>5</v>
      </c>
      <c r="C222" s="1">
        <v>85</v>
      </c>
      <c r="D222" s="1">
        <v>65</v>
      </c>
      <c r="E222" s="2">
        <f t="shared" si="3"/>
        <v>75</v>
      </c>
    </row>
    <row r="223" spans="1:5" x14ac:dyDescent="0.2">
      <c r="A223" s="67" t="s">
        <v>42</v>
      </c>
      <c r="B223" s="1">
        <v>6</v>
      </c>
      <c r="C223" s="1">
        <v>92</v>
      </c>
      <c r="D223" s="1">
        <v>72</v>
      </c>
      <c r="E223" s="2">
        <f t="shared" si="3"/>
        <v>82</v>
      </c>
    </row>
    <row r="224" spans="1:5" x14ac:dyDescent="0.2">
      <c r="A224" s="67" t="s">
        <v>42</v>
      </c>
      <c r="B224" s="1">
        <v>7</v>
      </c>
      <c r="C224" s="1">
        <v>96</v>
      </c>
      <c r="D224" s="1">
        <v>74</v>
      </c>
      <c r="E224" s="2">
        <f t="shared" si="3"/>
        <v>85</v>
      </c>
    </row>
    <row r="225" spans="1:5" x14ac:dyDescent="0.2">
      <c r="A225" s="67" t="s">
        <v>42</v>
      </c>
      <c r="B225" s="1">
        <v>8</v>
      </c>
      <c r="C225" s="1">
        <v>96</v>
      </c>
      <c r="D225" s="1">
        <v>73</v>
      </c>
      <c r="E225" s="2">
        <f t="shared" si="3"/>
        <v>84.5</v>
      </c>
    </row>
    <row r="226" spans="1:5" x14ac:dyDescent="0.2">
      <c r="A226" s="67" t="s">
        <v>42</v>
      </c>
      <c r="B226" s="1">
        <v>9</v>
      </c>
      <c r="C226" s="1">
        <v>91</v>
      </c>
      <c r="D226" s="1">
        <v>69</v>
      </c>
      <c r="E226" s="2">
        <f t="shared" si="3"/>
        <v>80</v>
      </c>
    </row>
    <row r="227" spans="1:5" x14ac:dyDescent="0.2">
      <c r="A227" s="67" t="s">
        <v>42</v>
      </c>
      <c r="B227" s="1">
        <v>10</v>
      </c>
      <c r="C227" s="1">
        <v>82</v>
      </c>
      <c r="D227" s="1">
        <v>59</v>
      </c>
      <c r="E227" s="2">
        <f t="shared" si="3"/>
        <v>70.5</v>
      </c>
    </row>
    <row r="228" spans="1:5" x14ac:dyDescent="0.2">
      <c r="A228" s="67" t="s">
        <v>42</v>
      </c>
      <c r="B228" s="1">
        <v>11</v>
      </c>
      <c r="C228" s="1">
        <v>71</v>
      </c>
      <c r="D228" s="1">
        <v>49</v>
      </c>
      <c r="E228" s="2">
        <f t="shared" si="3"/>
        <v>60</v>
      </c>
    </row>
    <row r="229" spans="1:5" x14ac:dyDescent="0.2">
      <c r="A229" s="67" t="s">
        <v>42</v>
      </c>
      <c r="B229" s="1">
        <v>12</v>
      </c>
      <c r="C229" s="1">
        <v>63</v>
      </c>
      <c r="D229" s="1">
        <v>42</v>
      </c>
      <c r="E229" s="2">
        <f t="shared" si="3"/>
        <v>52.5</v>
      </c>
    </row>
    <row r="230" spans="1:5" x14ac:dyDescent="0.2">
      <c r="A230" s="68" t="s">
        <v>41</v>
      </c>
      <c r="B230" s="69">
        <v>1</v>
      </c>
      <c r="C230" s="69">
        <v>60</v>
      </c>
      <c r="D230" s="69">
        <v>40</v>
      </c>
      <c r="E230" s="70">
        <f t="shared" ref="E230:E301" si="4">AVERAGE(C230:D230)</f>
        <v>50</v>
      </c>
    </row>
    <row r="231" spans="1:5" x14ac:dyDescent="0.2">
      <c r="A231" s="68" t="s">
        <v>41</v>
      </c>
      <c r="B231" s="69">
        <v>2</v>
      </c>
      <c r="C231" s="69">
        <v>65</v>
      </c>
      <c r="D231" s="69">
        <v>44</v>
      </c>
      <c r="E231" s="70">
        <f t="shared" si="4"/>
        <v>54.5</v>
      </c>
    </row>
    <row r="232" spans="1:5" x14ac:dyDescent="0.2">
      <c r="A232" s="68" t="s">
        <v>41</v>
      </c>
      <c r="B232" s="69">
        <v>3</v>
      </c>
      <c r="C232" s="69">
        <v>73</v>
      </c>
      <c r="D232" s="69">
        <v>51</v>
      </c>
      <c r="E232" s="70">
        <f t="shared" si="4"/>
        <v>62</v>
      </c>
    </row>
    <row r="233" spans="1:5" x14ac:dyDescent="0.2">
      <c r="A233" s="68" t="s">
        <v>41</v>
      </c>
      <c r="B233" s="69">
        <v>4</v>
      </c>
      <c r="C233" s="69">
        <v>79</v>
      </c>
      <c r="D233" s="69">
        <v>58</v>
      </c>
      <c r="E233" s="70">
        <f t="shared" si="4"/>
        <v>68.5</v>
      </c>
    </row>
    <row r="234" spans="1:5" x14ac:dyDescent="0.2">
      <c r="A234" s="68" t="s">
        <v>41</v>
      </c>
      <c r="B234" s="69">
        <v>5</v>
      </c>
      <c r="C234" s="69">
        <v>85</v>
      </c>
      <c r="D234" s="69">
        <v>65</v>
      </c>
      <c r="E234" s="70">
        <f t="shared" si="4"/>
        <v>75</v>
      </c>
    </row>
    <row r="235" spans="1:5" x14ac:dyDescent="0.2">
      <c r="A235" s="68" t="s">
        <v>41</v>
      </c>
      <c r="B235" s="69">
        <v>6</v>
      </c>
      <c r="C235" s="69">
        <v>91</v>
      </c>
      <c r="D235" s="69">
        <v>71</v>
      </c>
      <c r="E235" s="70">
        <f t="shared" si="4"/>
        <v>81</v>
      </c>
    </row>
    <row r="236" spans="1:5" x14ac:dyDescent="0.2">
      <c r="A236" s="68" t="s">
        <v>41</v>
      </c>
      <c r="B236" s="69">
        <v>7</v>
      </c>
      <c r="C236" s="69">
        <v>95</v>
      </c>
      <c r="D236" s="69">
        <v>73</v>
      </c>
      <c r="E236" s="70">
        <f t="shared" si="4"/>
        <v>84</v>
      </c>
    </row>
    <row r="237" spans="1:5" x14ac:dyDescent="0.2">
      <c r="A237" s="68" t="s">
        <v>41</v>
      </c>
      <c r="B237" s="69">
        <v>8</v>
      </c>
      <c r="C237" s="69">
        <v>96</v>
      </c>
      <c r="D237" s="69">
        <v>73</v>
      </c>
      <c r="E237" s="70">
        <f t="shared" si="4"/>
        <v>84.5</v>
      </c>
    </row>
    <row r="238" spans="1:5" x14ac:dyDescent="0.2">
      <c r="A238" s="68" t="s">
        <v>41</v>
      </c>
      <c r="B238" s="69">
        <v>9</v>
      </c>
      <c r="C238" s="69">
        <v>90</v>
      </c>
      <c r="D238" s="69">
        <v>69</v>
      </c>
      <c r="E238" s="70">
        <f t="shared" si="4"/>
        <v>79.5</v>
      </c>
    </row>
    <row r="239" spans="1:5" x14ac:dyDescent="0.2">
      <c r="A239" s="68" t="s">
        <v>41</v>
      </c>
      <c r="B239" s="69">
        <v>10</v>
      </c>
      <c r="C239" s="69">
        <v>81</v>
      </c>
      <c r="D239" s="69">
        <v>60</v>
      </c>
      <c r="E239" s="70">
        <f t="shared" si="4"/>
        <v>70.5</v>
      </c>
    </row>
    <row r="240" spans="1:5" x14ac:dyDescent="0.2">
      <c r="A240" s="68" t="s">
        <v>41</v>
      </c>
      <c r="B240" s="69">
        <v>11</v>
      </c>
      <c r="C240" s="69">
        <v>70</v>
      </c>
      <c r="D240" s="69">
        <v>49</v>
      </c>
      <c r="E240" s="70">
        <f t="shared" si="4"/>
        <v>59.5</v>
      </c>
    </row>
    <row r="241" spans="1:5" x14ac:dyDescent="0.2">
      <c r="A241" s="68" t="s">
        <v>41</v>
      </c>
      <c r="B241" s="69">
        <v>12</v>
      </c>
      <c r="C241" s="69">
        <v>62</v>
      </c>
      <c r="D241" s="69">
        <v>42</v>
      </c>
      <c r="E241" s="70">
        <f t="shared" si="4"/>
        <v>52</v>
      </c>
    </row>
    <row r="242" spans="1:5" x14ac:dyDescent="0.2">
      <c r="A242" s="67" t="s">
        <v>43</v>
      </c>
      <c r="B242" s="1">
        <v>1</v>
      </c>
      <c r="C242" s="1">
        <v>63</v>
      </c>
      <c r="D242" s="1">
        <v>45</v>
      </c>
      <c r="E242" s="2">
        <f t="shared" si="4"/>
        <v>54</v>
      </c>
    </row>
    <row r="243" spans="1:5" x14ac:dyDescent="0.2">
      <c r="A243" s="67" t="s">
        <v>43</v>
      </c>
      <c r="B243" s="1">
        <v>2</v>
      </c>
      <c r="C243" s="1">
        <v>67</v>
      </c>
      <c r="D243" s="1">
        <v>48</v>
      </c>
      <c r="E243" s="2">
        <f t="shared" si="4"/>
        <v>57.5</v>
      </c>
    </row>
    <row r="244" spans="1:5" x14ac:dyDescent="0.2">
      <c r="A244" s="67" t="s">
        <v>43</v>
      </c>
      <c r="B244" s="1">
        <v>3</v>
      </c>
      <c r="C244" s="1">
        <v>74</v>
      </c>
      <c r="D244" s="1">
        <v>55</v>
      </c>
      <c r="E244" s="2">
        <f t="shared" si="4"/>
        <v>64.5</v>
      </c>
    </row>
    <row r="245" spans="1:5" x14ac:dyDescent="0.2">
      <c r="A245" s="67" t="s">
        <v>43</v>
      </c>
      <c r="B245" s="1">
        <v>4</v>
      </c>
      <c r="C245" s="1">
        <v>79</v>
      </c>
      <c r="D245" s="1">
        <v>61</v>
      </c>
      <c r="E245" s="2">
        <f t="shared" si="4"/>
        <v>70</v>
      </c>
    </row>
    <row r="246" spans="1:5" x14ac:dyDescent="0.2">
      <c r="A246" s="67" t="s">
        <v>43</v>
      </c>
      <c r="B246" s="1">
        <v>5</v>
      </c>
      <c r="C246" s="1">
        <v>86</v>
      </c>
      <c r="D246" s="1">
        <v>68</v>
      </c>
      <c r="E246" s="2">
        <f t="shared" si="4"/>
        <v>77</v>
      </c>
    </row>
    <row r="247" spans="1:5" x14ac:dyDescent="0.2">
      <c r="A247" s="67" t="s">
        <v>43</v>
      </c>
      <c r="B247" s="1">
        <v>6</v>
      </c>
      <c r="C247" s="1">
        <v>91</v>
      </c>
      <c r="D247" s="1">
        <v>74</v>
      </c>
      <c r="E247" s="2">
        <f t="shared" si="4"/>
        <v>82.5</v>
      </c>
    </row>
    <row r="248" spans="1:5" x14ac:dyDescent="0.2">
      <c r="A248" s="67" t="s">
        <v>43</v>
      </c>
      <c r="B248" s="1">
        <v>7</v>
      </c>
      <c r="C248" s="1">
        <v>94</v>
      </c>
      <c r="D248" s="1">
        <v>75</v>
      </c>
      <c r="E248" s="2">
        <f t="shared" si="4"/>
        <v>84.5</v>
      </c>
    </row>
    <row r="249" spans="1:5" x14ac:dyDescent="0.2">
      <c r="A249" s="67" t="s">
        <v>43</v>
      </c>
      <c r="B249" s="1">
        <v>8</v>
      </c>
      <c r="C249" s="1">
        <v>93</v>
      </c>
      <c r="D249" s="1">
        <v>75</v>
      </c>
      <c r="E249" s="2">
        <f t="shared" si="4"/>
        <v>84</v>
      </c>
    </row>
    <row r="250" spans="1:5" x14ac:dyDescent="0.2">
      <c r="A250" s="67" t="s">
        <v>43</v>
      </c>
      <c r="B250" s="1">
        <v>9</v>
      </c>
      <c r="C250" s="1">
        <v>89</v>
      </c>
      <c r="D250" s="1">
        <v>72</v>
      </c>
      <c r="E250" s="2">
        <f t="shared" si="4"/>
        <v>80.5</v>
      </c>
    </row>
    <row r="251" spans="1:5" x14ac:dyDescent="0.2">
      <c r="A251" s="67" t="s">
        <v>43</v>
      </c>
      <c r="B251" s="1">
        <v>10</v>
      </c>
      <c r="C251" s="1">
        <v>82</v>
      </c>
      <c r="D251" s="1">
        <v>62</v>
      </c>
      <c r="E251" s="2">
        <f t="shared" si="4"/>
        <v>72</v>
      </c>
    </row>
    <row r="252" spans="1:5" x14ac:dyDescent="0.2">
      <c r="A252" s="67" t="s">
        <v>43</v>
      </c>
      <c r="B252" s="1">
        <v>11</v>
      </c>
      <c r="C252" s="1">
        <v>73</v>
      </c>
      <c r="D252" s="1">
        <v>53</v>
      </c>
      <c r="E252" s="2">
        <f t="shared" si="4"/>
        <v>63</v>
      </c>
    </row>
    <row r="253" spans="1:5" x14ac:dyDescent="0.2">
      <c r="A253" s="67" t="s">
        <v>43</v>
      </c>
      <c r="B253" s="1">
        <v>12</v>
      </c>
      <c r="C253" s="1">
        <v>65</v>
      </c>
      <c r="D253" s="1">
        <v>47</v>
      </c>
      <c r="E253" s="2">
        <f t="shared" si="4"/>
        <v>56</v>
      </c>
    </row>
    <row r="254" spans="1:5" x14ac:dyDescent="0.2">
      <c r="A254" s="68" t="s">
        <v>20</v>
      </c>
      <c r="B254" s="69">
        <v>1</v>
      </c>
      <c r="C254" s="69">
        <v>62</v>
      </c>
      <c r="D254" s="69">
        <v>43</v>
      </c>
      <c r="E254" s="70">
        <f t="shared" si="4"/>
        <v>52.5</v>
      </c>
    </row>
    <row r="255" spans="1:5" x14ac:dyDescent="0.2">
      <c r="A255" s="68" t="s">
        <v>20</v>
      </c>
      <c r="B255" s="69">
        <v>2</v>
      </c>
      <c r="C255" s="69">
        <v>65</v>
      </c>
      <c r="D255" s="69">
        <v>46</v>
      </c>
      <c r="E255" s="70">
        <f t="shared" si="4"/>
        <v>55.5</v>
      </c>
    </row>
    <row r="256" spans="1:5" x14ac:dyDescent="0.2">
      <c r="A256" s="68" t="s">
        <v>20</v>
      </c>
      <c r="B256" s="69">
        <v>3</v>
      </c>
      <c r="C256" s="69">
        <v>72</v>
      </c>
      <c r="D256" s="69">
        <v>52</v>
      </c>
      <c r="E256" s="70">
        <f t="shared" si="4"/>
        <v>62</v>
      </c>
    </row>
    <row r="257" spans="1:5" x14ac:dyDescent="0.2">
      <c r="A257" s="68" t="s">
        <v>20</v>
      </c>
      <c r="B257" s="69">
        <v>4</v>
      </c>
      <c r="C257" s="69">
        <v>78</v>
      </c>
      <c r="D257" s="69">
        <v>59</v>
      </c>
      <c r="E257" s="70">
        <f t="shared" si="4"/>
        <v>68.5</v>
      </c>
    </row>
    <row r="258" spans="1:5" x14ac:dyDescent="0.2">
      <c r="A258" s="68" t="s">
        <v>20</v>
      </c>
      <c r="B258" s="69">
        <v>5</v>
      </c>
      <c r="C258" s="69">
        <v>84</v>
      </c>
      <c r="D258" s="69">
        <v>66</v>
      </c>
      <c r="E258" s="70">
        <f t="shared" si="4"/>
        <v>75</v>
      </c>
    </row>
    <row r="259" spans="1:5" x14ac:dyDescent="0.2">
      <c r="A259" s="68" t="s">
        <v>20</v>
      </c>
      <c r="B259" s="69">
        <v>6</v>
      </c>
      <c r="C259" s="69">
        <v>89</v>
      </c>
      <c r="D259" s="69">
        <v>72</v>
      </c>
      <c r="E259" s="70">
        <f t="shared" si="4"/>
        <v>80.5</v>
      </c>
    </row>
    <row r="260" spans="1:5" x14ac:dyDescent="0.2">
      <c r="A260" s="68" t="s">
        <v>20</v>
      </c>
      <c r="B260" s="69">
        <v>7</v>
      </c>
      <c r="C260" s="69">
        <v>92</v>
      </c>
      <c r="D260" s="69">
        <v>74</v>
      </c>
      <c r="E260" s="70">
        <f t="shared" si="4"/>
        <v>83</v>
      </c>
    </row>
    <row r="261" spans="1:5" x14ac:dyDescent="0.2">
      <c r="A261" s="68" t="s">
        <v>20</v>
      </c>
      <c r="B261" s="69">
        <v>8</v>
      </c>
      <c r="C261" s="69">
        <v>92</v>
      </c>
      <c r="D261" s="69">
        <v>73</v>
      </c>
      <c r="E261" s="70">
        <f t="shared" si="4"/>
        <v>82.5</v>
      </c>
    </row>
    <row r="262" spans="1:5" x14ac:dyDescent="0.2">
      <c r="A262" s="68" t="s">
        <v>20</v>
      </c>
      <c r="B262" s="69">
        <v>9</v>
      </c>
      <c r="C262" s="69">
        <v>88</v>
      </c>
      <c r="D262" s="69">
        <v>69</v>
      </c>
      <c r="E262" s="70">
        <f t="shared" si="4"/>
        <v>78.5</v>
      </c>
    </row>
    <row r="263" spans="1:5" x14ac:dyDescent="0.2">
      <c r="A263" s="68" t="s">
        <v>20</v>
      </c>
      <c r="B263" s="69">
        <v>10</v>
      </c>
      <c r="C263" s="69">
        <v>80</v>
      </c>
      <c r="D263" s="69">
        <v>60</v>
      </c>
      <c r="E263" s="70">
        <f t="shared" si="4"/>
        <v>70</v>
      </c>
    </row>
    <row r="264" spans="1:5" x14ac:dyDescent="0.2">
      <c r="A264" s="68" t="s">
        <v>20</v>
      </c>
      <c r="B264" s="69">
        <v>11</v>
      </c>
      <c r="C264" s="69">
        <v>71</v>
      </c>
      <c r="D264" s="69">
        <v>51</v>
      </c>
      <c r="E264" s="70">
        <f t="shared" si="4"/>
        <v>61</v>
      </c>
    </row>
    <row r="265" spans="1:5" x14ac:dyDescent="0.2">
      <c r="A265" s="68" t="s">
        <v>20</v>
      </c>
      <c r="B265" s="69">
        <v>12</v>
      </c>
      <c r="C265" s="69">
        <v>64</v>
      </c>
      <c r="D265" s="69">
        <v>45</v>
      </c>
      <c r="E265" s="70">
        <f t="shared" si="4"/>
        <v>54.5</v>
      </c>
    </row>
    <row r="266" spans="1:5" x14ac:dyDescent="0.2">
      <c r="A266" s="67" t="s">
        <v>21</v>
      </c>
      <c r="B266" s="1">
        <v>1</v>
      </c>
      <c r="C266" s="1">
        <v>66</v>
      </c>
      <c r="D266" s="1">
        <v>46</v>
      </c>
      <c r="E266" s="2">
        <f t="shared" si="4"/>
        <v>56</v>
      </c>
    </row>
    <row r="267" spans="1:5" x14ac:dyDescent="0.2">
      <c r="A267" s="67" t="s">
        <v>21</v>
      </c>
      <c r="B267" s="1">
        <v>2</v>
      </c>
      <c r="C267" s="1">
        <v>70</v>
      </c>
      <c r="D267" s="1">
        <v>49</v>
      </c>
      <c r="E267" s="2">
        <f t="shared" si="4"/>
        <v>59.5</v>
      </c>
    </row>
    <row r="268" spans="1:5" x14ac:dyDescent="0.2">
      <c r="A268" s="67" t="s">
        <v>21</v>
      </c>
      <c r="B268" s="1">
        <v>3</v>
      </c>
      <c r="C268" s="1">
        <v>76</v>
      </c>
      <c r="D268" s="1">
        <v>56</v>
      </c>
      <c r="E268" s="2">
        <f t="shared" si="4"/>
        <v>66</v>
      </c>
    </row>
    <row r="269" spans="1:5" x14ac:dyDescent="0.2">
      <c r="A269" s="67" t="s">
        <v>21</v>
      </c>
      <c r="B269" s="1">
        <v>4</v>
      </c>
      <c r="C269" s="1">
        <v>81</v>
      </c>
      <c r="D269" s="1">
        <v>62</v>
      </c>
      <c r="E269" s="2">
        <f t="shared" si="4"/>
        <v>71.5</v>
      </c>
    </row>
    <row r="270" spans="1:5" x14ac:dyDescent="0.2">
      <c r="A270" s="67" t="s">
        <v>21</v>
      </c>
      <c r="B270" s="1">
        <v>5</v>
      </c>
      <c r="C270" s="1">
        <v>86</v>
      </c>
      <c r="D270" s="1">
        <v>69</v>
      </c>
      <c r="E270" s="2">
        <f t="shared" si="4"/>
        <v>77.5</v>
      </c>
    </row>
    <row r="271" spans="1:5" x14ac:dyDescent="0.2">
      <c r="A271" s="67" t="s">
        <v>21</v>
      </c>
      <c r="B271" s="1">
        <v>6</v>
      </c>
      <c r="C271" s="1">
        <v>90</v>
      </c>
      <c r="D271" s="1">
        <v>74</v>
      </c>
      <c r="E271" s="2">
        <f t="shared" si="4"/>
        <v>82</v>
      </c>
    </row>
    <row r="272" spans="1:5" x14ac:dyDescent="0.2">
      <c r="A272" s="67" t="s">
        <v>21</v>
      </c>
      <c r="B272" s="1">
        <v>7</v>
      </c>
      <c r="C272" s="1">
        <v>93</v>
      </c>
      <c r="D272" s="1">
        <v>74</v>
      </c>
      <c r="E272" s="2">
        <f t="shared" si="4"/>
        <v>83.5</v>
      </c>
    </row>
    <row r="273" spans="1:5" x14ac:dyDescent="0.2">
      <c r="A273" s="67" t="s">
        <v>21</v>
      </c>
      <c r="B273" s="1">
        <v>8</v>
      </c>
      <c r="C273" s="1">
        <v>93</v>
      </c>
      <c r="D273" s="1">
        <v>75</v>
      </c>
      <c r="E273" s="2">
        <f t="shared" si="4"/>
        <v>84</v>
      </c>
    </row>
    <row r="274" spans="1:5" x14ac:dyDescent="0.2">
      <c r="A274" s="67" t="s">
        <v>21</v>
      </c>
      <c r="B274" s="1">
        <v>9</v>
      </c>
      <c r="C274" s="1">
        <v>90</v>
      </c>
      <c r="D274" s="1">
        <v>72</v>
      </c>
      <c r="E274" s="2">
        <f t="shared" si="4"/>
        <v>81</v>
      </c>
    </row>
    <row r="275" spans="1:5" x14ac:dyDescent="0.2">
      <c r="A275" s="67" t="s">
        <v>21</v>
      </c>
      <c r="B275" s="1">
        <v>10</v>
      </c>
      <c r="C275" s="1">
        <v>84</v>
      </c>
      <c r="D275" s="1">
        <v>64</v>
      </c>
      <c r="E275" s="2">
        <f t="shared" si="4"/>
        <v>74</v>
      </c>
    </row>
    <row r="276" spans="1:5" x14ac:dyDescent="0.2">
      <c r="A276" s="67" t="s">
        <v>21</v>
      </c>
      <c r="B276" s="1">
        <v>11</v>
      </c>
      <c r="C276" s="1">
        <v>75</v>
      </c>
      <c r="D276" s="1">
        <v>55</v>
      </c>
      <c r="E276" s="2">
        <f t="shared" si="4"/>
        <v>65</v>
      </c>
    </row>
    <row r="277" spans="1:5" x14ac:dyDescent="0.2">
      <c r="A277" s="67" t="s">
        <v>21</v>
      </c>
      <c r="B277" s="1">
        <v>12</v>
      </c>
      <c r="C277" s="1">
        <v>68</v>
      </c>
      <c r="D277" s="1">
        <v>48</v>
      </c>
      <c r="E277" s="2">
        <f t="shared" si="4"/>
        <v>58</v>
      </c>
    </row>
    <row r="278" spans="1:5" x14ac:dyDescent="0.2">
      <c r="A278" s="68" t="s">
        <v>22</v>
      </c>
      <c r="B278" s="69">
        <v>1</v>
      </c>
      <c r="C278" s="69">
        <v>69</v>
      </c>
      <c r="D278" s="69">
        <v>48</v>
      </c>
      <c r="E278" s="70">
        <f t="shared" si="4"/>
        <v>58.5</v>
      </c>
    </row>
    <row r="279" spans="1:5" x14ac:dyDescent="0.2">
      <c r="A279" s="68" t="s">
        <v>22</v>
      </c>
      <c r="B279" s="69">
        <v>2</v>
      </c>
      <c r="C279" s="69">
        <v>73</v>
      </c>
      <c r="D279" s="69">
        <v>52</v>
      </c>
      <c r="E279" s="70">
        <f t="shared" si="4"/>
        <v>62.5</v>
      </c>
    </row>
    <row r="280" spans="1:5" x14ac:dyDescent="0.2">
      <c r="A280" s="68" t="s">
        <v>22</v>
      </c>
      <c r="B280" s="69">
        <v>3</v>
      </c>
      <c r="C280" s="69">
        <v>81</v>
      </c>
      <c r="D280" s="69">
        <v>58</v>
      </c>
      <c r="E280" s="70">
        <f t="shared" si="4"/>
        <v>69.5</v>
      </c>
    </row>
    <row r="281" spans="1:5" x14ac:dyDescent="0.2">
      <c r="A281" s="68" t="s">
        <v>22</v>
      </c>
      <c r="B281" s="69">
        <v>4</v>
      </c>
      <c r="C281" s="69">
        <v>85</v>
      </c>
      <c r="D281" s="69">
        <v>64</v>
      </c>
      <c r="E281" s="70">
        <f t="shared" si="4"/>
        <v>74.5</v>
      </c>
    </row>
    <row r="282" spans="1:5" x14ac:dyDescent="0.2">
      <c r="A282" s="68" t="s">
        <v>22</v>
      </c>
      <c r="B282" s="69">
        <v>5</v>
      </c>
      <c r="C282" s="69">
        <v>89</v>
      </c>
      <c r="D282" s="69">
        <v>70</v>
      </c>
      <c r="E282" s="70">
        <f t="shared" si="4"/>
        <v>79.5</v>
      </c>
    </row>
    <row r="283" spans="1:5" x14ac:dyDescent="0.2">
      <c r="A283" s="68" t="s">
        <v>22</v>
      </c>
      <c r="B283" s="69">
        <v>6</v>
      </c>
      <c r="C283" s="69">
        <v>94</v>
      </c>
      <c r="D283" s="69">
        <v>74</v>
      </c>
      <c r="E283" s="70">
        <f t="shared" si="4"/>
        <v>84</v>
      </c>
    </row>
    <row r="284" spans="1:5" x14ac:dyDescent="0.2">
      <c r="A284" s="68" t="s">
        <v>22</v>
      </c>
      <c r="B284" s="69">
        <v>7</v>
      </c>
      <c r="C284" s="69">
        <v>95</v>
      </c>
      <c r="D284" s="69">
        <v>75</v>
      </c>
      <c r="E284" s="70">
        <f t="shared" si="4"/>
        <v>85</v>
      </c>
    </row>
    <row r="285" spans="1:5" x14ac:dyDescent="0.2">
      <c r="A285" s="68" t="s">
        <v>22</v>
      </c>
      <c r="B285" s="69">
        <v>8</v>
      </c>
      <c r="C285" s="69">
        <v>96</v>
      </c>
      <c r="D285" s="69">
        <v>75</v>
      </c>
      <c r="E285" s="70">
        <f t="shared" si="4"/>
        <v>85.5</v>
      </c>
    </row>
    <row r="286" spans="1:5" x14ac:dyDescent="0.2">
      <c r="A286" s="68" t="s">
        <v>22</v>
      </c>
      <c r="B286" s="69">
        <v>9</v>
      </c>
      <c r="C286" s="69">
        <v>92</v>
      </c>
      <c r="D286" s="69">
        <v>72</v>
      </c>
      <c r="E286" s="70">
        <f t="shared" si="4"/>
        <v>82</v>
      </c>
    </row>
    <row r="287" spans="1:5" x14ac:dyDescent="0.2">
      <c r="A287" s="68" t="s">
        <v>22</v>
      </c>
      <c r="B287" s="69">
        <v>10</v>
      </c>
      <c r="C287" s="69">
        <v>86</v>
      </c>
      <c r="D287" s="69">
        <v>65</v>
      </c>
      <c r="E287" s="70">
        <f t="shared" si="4"/>
        <v>75.5</v>
      </c>
    </row>
    <row r="288" spans="1:5" x14ac:dyDescent="0.2">
      <c r="A288" s="68" t="s">
        <v>22</v>
      </c>
      <c r="B288" s="69">
        <v>11</v>
      </c>
      <c r="C288" s="69">
        <v>78</v>
      </c>
      <c r="D288" s="69">
        <v>57</v>
      </c>
      <c r="E288" s="70">
        <f t="shared" si="4"/>
        <v>67.5</v>
      </c>
    </row>
    <row r="289" spans="1:5" x14ac:dyDescent="0.2">
      <c r="A289" s="68" t="s">
        <v>22</v>
      </c>
      <c r="B289" s="69">
        <v>12</v>
      </c>
      <c r="C289" s="69">
        <v>71</v>
      </c>
      <c r="D289" s="69">
        <v>50</v>
      </c>
      <c r="E289" s="70">
        <f t="shared" si="4"/>
        <v>60.5</v>
      </c>
    </row>
    <row r="290" spans="1:5" x14ac:dyDescent="0.2">
      <c r="A290" s="67" t="s">
        <v>23</v>
      </c>
      <c r="B290" s="1">
        <v>1</v>
      </c>
      <c r="C290" s="1">
        <v>62</v>
      </c>
      <c r="D290" s="1">
        <v>39</v>
      </c>
      <c r="E290" s="2">
        <f t="shared" si="4"/>
        <v>50.5</v>
      </c>
    </row>
    <row r="291" spans="1:5" x14ac:dyDescent="0.2">
      <c r="A291" s="67" t="s">
        <v>23</v>
      </c>
      <c r="B291" s="1">
        <v>2</v>
      </c>
      <c r="C291" s="1">
        <v>66</v>
      </c>
      <c r="D291" s="1">
        <v>43</v>
      </c>
      <c r="E291" s="2">
        <f t="shared" si="4"/>
        <v>54.5</v>
      </c>
    </row>
    <row r="292" spans="1:5" x14ac:dyDescent="0.2">
      <c r="A292" s="67" t="s">
        <v>23</v>
      </c>
      <c r="B292" s="1">
        <v>3</v>
      </c>
      <c r="C292" s="1">
        <v>73</v>
      </c>
      <c r="D292" s="1">
        <v>50</v>
      </c>
      <c r="E292" s="2">
        <f t="shared" si="4"/>
        <v>61.5</v>
      </c>
    </row>
    <row r="293" spans="1:5" x14ac:dyDescent="0.2">
      <c r="A293" s="67" t="s">
        <v>23</v>
      </c>
      <c r="B293" s="1">
        <v>4</v>
      </c>
      <c r="C293" s="1">
        <v>80</v>
      </c>
      <c r="D293" s="1">
        <v>57</v>
      </c>
      <c r="E293" s="2">
        <f t="shared" si="4"/>
        <v>68.5</v>
      </c>
    </row>
    <row r="294" spans="1:5" x14ac:dyDescent="0.2">
      <c r="A294" s="67" t="s">
        <v>23</v>
      </c>
      <c r="B294" s="1">
        <v>5</v>
      </c>
      <c r="C294" s="1">
        <v>86</v>
      </c>
      <c r="D294" s="1">
        <v>64</v>
      </c>
      <c r="E294" s="2">
        <f t="shared" si="4"/>
        <v>75</v>
      </c>
    </row>
    <row r="295" spans="1:5" x14ac:dyDescent="0.2">
      <c r="A295" s="67" t="s">
        <v>23</v>
      </c>
      <c r="B295" s="1">
        <v>6</v>
      </c>
      <c r="C295" s="1">
        <v>91</v>
      </c>
      <c r="D295" s="1">
        <v>70</v>
      </c>
      <c r="E295" s="2">
        <f t="shared" si="4"/>
        <v>80.5</v>
      </c>
    </row>
    <row r="296" spans="1:5" x14ac:dyDescent="0.2">
      <c r="A296" s="67" t="s">
        <v>23</v>
      </c>
      <c r="B296" s="1">
        <v>7</v>
      </c>
      <c r="C296" s="1">
        <v>94</v>
      </c>
      <c r="D296" s="1">
        <v>71</v>
      </c>
      <c r="E296" s="2">
        <f t="shared" si="4"/>
        <v>82.5</v>
      </c>
    </row>
    <row r="297" spans="1:5" x14ac:dyDescent="0.2">
      <c r="A297" s="67" t="s">
        <v>23</v>
      </c>
      <c r="B297" s="1">
        <v>8</v>
      </c>
      <c r="C297" s="1">
        <v>95</v>
      </c>
      <c r="D297" s="1">
        <v>71</v>
      </c>
      <c r="E297" s="2">
        <f t="shared" si="4"/>
        <v>83</v>
      </c>
    </row>
    <row r="298" spans="1:5" x14ac:dyDescent="0.2">
      <c r="A298" s="67" t="s">
        <v>23</v>
      </c>
      <c r="B298" s="1">
        <v>9</v>
      </c>
      <c r="C298" s="1">
        <v>91</v>
      </c>
      <c r="D298" s="1">
        <v>67</v>
      </c>
      <c r="E298" s="2">
        <f t="shared" si="4"/>
        <v>79</v>
      </c>
    </row>
    <row r="299" spans="1:5" x14ac:dyDescent="0.2">
      <c r="A299" s="67" t="s">
        <v>23</v>
      </c>
      <c r="B299" s="1">
        <v>10</v>
      </c>
      <c r="C299" s="1">
        <v>83</v>
      </c>
      <c r="D299" s="1">
        <v>58</v>
      </c>
      <c r="E299" s="2">
        <f t="shared" si="4"/>
        <v>70.5</v>
      </c>
    </row>
    <row r="300" spans="1:5" x14ac:dyDescent="0.2">
      <c r="A300" s="67" t="s">
        <v>23</v>
      </c>
      <c r="B300" s="1">
        <v>11</v>
      </c>
      <c r="C300" s="1">
        <v>72</v>
      </c>
      <c r="D300" s="1">
        <v>49</v>
      </c>
      <c r="E300" s="2">
        <f t="shared" si="4"/>
        <v>60.5</v>
      </c>
    </row>
    <row r="301" spans="1:5" x14ac:dyDescent="0.2">
      <c r="A301" s="3" t="s">
        <v>23</v>
      </c>
      <c r="B301" s="1">
        <v>12</v>
      </c>
      <c r="C301" s="1">
        <v>64</v>
      </c>
      <c r="D301" s="1">
        <v>42</v>
      </c>
      <c r="E301" s="2">
        <f t="shared" si="4"/>
        <v>53</v>
      </c>
    </row>
    <row r="303" spans="1:5" x14ac:dyDescent="0.2">
      <c r="A303" s="51" t="s">
        <v>11</v>
      </c>
      <c r="B303" s="51" t="s">
        <v>11</v>
      </c>
    </row>
    <row r="304" spans="1:5" x14ac:dyDescent="0.2">
      <c r="A304" s="51" t="s">
        <v>6</v>
      </c>
      <c r="B304" s="51" t="s">
        <v>143</v>
      </c>
    </row>
    <row r="305" spans="1:2" x14ac:dyDescent="0.2">
      <c r="A305" s="51" t="s">
        <v>15</v>
      </c>
      <c r="B305" s="51" t="s">
        <v>144</v>
      </c>
    </row>
    <row r="306" spans="1:2" x14ac:dyDescent="0.2">
      <c r="A306" s="51" t="s">
        <v>41</v>
      </c>
      <c r="B306" s="51" t="s">
        <v>145</v>
      </c>
    </row>
    <row r="307" spans="1:2" x14ac:dyDescent="0.2">
      <c r="A307" s="51" t="s">
        <v>20</v>
      </c>
      <c r="B307" s="51" t="s">
        <v>146</v>
      </c>
    </row>
    <row r="308" spans="1:2" x14ac:dyDescent="0.2">
      <c r="A308" s="51" t="s">
        <v>42</v>
      </c>
      <c r="B308" s="51" t="s">
        <v>147</v>
      </c>
    </row>
    <row r="309" spans="1:2" x14ac:dyDescent="0.2">
      <c r="A309" s="51" t="s">
        <v>16</v>
      </c>
      <c r="B309" s="51" t="s">
        <v>148</v>
      </c>
    </row>
    <row r="310" spans="1:2" x14ac:dyDescent="0.2">
      <c r="A310" s="51" t="s">
        <v>7</v>
      </c>
      <c r="B310" s="51" t="s">
        <v>149</v>
      </c>
    </row>
    <row r="311" spans="1:2" x14ac:dyDescent="0.2">
      <c r="A311" s="51" t="s">
        <v>21</v>
      </c>
      <c r="B311" s="51" t="s">
        <v>150</v>
      </c>
    </row>
    <row r="312" spans="1:2" x14ac:dyDescent="0.2">
      <c r="A312" s="51" t="s">
        <v>14</v>
      </c>
      <c r="B312" s="51" t="s">
        <v>151</v>
      </c>
    </row>
    <row r="313" spans="1:2" x14ac:dyDescent="0.2">
      <c r="A313" s="51" t="s">
        <v>12</v>
      </c>
      <c r="B313" s="51" t="s">
        <v>152</v>
      </c>
    </row>
    <row r="314" spans="1:2" x14ac:dyDescent="0.2">
      <c r="A314" s="51" t="s">
        <v>13</v>
      </c>
      <c r="B314" s="51" t="s">
        <v>153</v>
      </c>
    </row>
    <row r="315" spans="1:2" x14ac:dyDescent="0.2">
      <c r="A315" s="51" t="s">
        <v>43</v>
      </c>
      <c r="B315" s="51" t="s">
        <v>154</v>
      </c>
    </row>
    <row r="316" spans="1:2" x14ac:dyDescent="0.2">
      <c r="A316" s="51" t="s">
        <v>8</v>
      </c>
      <c r="B316" s="51" t="s">
        <v>155</v>
      </c>
    </row>
    <row r="317" spans="1:2" x14ac:dyDescent="0.2">
      <c r="A317" s="51" t="s">
        <v>17</v>
      </c>
      <c r="B317" s="51"/>
    </row>
    <row r="318" spans="1:2" x14ac:dyDescent="0.2">
      <c r="A318" s="51" t="s">
        <v>19</v>
      </c>
      <c r="B318" s="51" t="s">
        <v>6</v>
      </c>
    </row>
    <row r="319" spans="1:2" x14ac:dyDescent="0.2">
      <c r="A319" s="51" t="s">
        <v>10</v>
      </c>
      <c r="B319" s="51" t="s">
        <v>156</v>
      </c>
    </row>
    <row r="320" spans="1:2" x14ac:dyDescent="0.2">
      <c r="A320" s="51" t="s">
        <v>44</v>
      </c>
      <c r="B320" s="51" t="s">
        <v>157</v>
      </c>
    </row>
    <row r="321" spans="1:2" x14ac:dyDescent="0.2">
      <c r="A321" s="51" t="s">
        <v>22</v>
      </c>
      <c r="B321" s="51" t="s">
        <v>158</v>
      </c>
    </row>
    <row r="322" spans="1:2" x14ac:dyDescent="0.2">
      <c r="A322" s="51" t="s">
        <v>18</v>
      </c>
      <c r="B322" s="51" t="s">
        <v>159</v>
      </c>
    </row>
    <row r="323" spans="1:2" x14ac:dyDescent="0.2">
      <c r="A323" s="51" t="s">
        <v>9</v>
      </c>
      <c r="B323" s="51" t="s">
        <v>160</v>
      </c>
    </row>
    <row r="324" spans="1:2" x14ac:dyDescent="0.2">
      <c r="A324" s="51" t="s">
        <v>45</v>
      </c>
      <c r="B324" s="51" t="s">
        <v>161</v>
      </c>
    </row>
    <row r="325" spans="1:2" x14ac:dyDescent="0.2">
      <c r="A325" s="51" t="s">
        <v>40</v>
      </c>
      <c r="B325" s="51" t="s">
        <v>162</v>
      </c>
    </row>
    <row r="326" spans="1:2" x14ac:dyDescent="0.2">
      <c r="A326" s="51" t="s">
        <v>5</v>
      </c>
      <c r="B326" s="51" t="s">
        <v>163</v>
      </c>
    </row>
    <row r="327" spans="1:2" x14ac:dyDescent="0.2">
      <c r="A327" s="51" t="s">
        <v>23</v>
      </c>
      <c r="B327" s="51" t="s">
        <v>164</v>
      </c>
    </row>
    <row r="328" spans="1:2" x14ac:dyDescent="0.2">
      <c r="B328" s="51" t="s">
        <v>165</v>
      </c>
    </row>
    <row r="329" spans="1:2" x14ac:dyDescent="0.2">
      <c r="B329" s="51" t="s">
        <v>166</v>
      </c>
    </row>
    <row r="330" spans="1:2" x14ac:dyDescent="0.2">
      <c r="B330" s="51" t="s">
        <v>167</v>
      </c>
    </row>
    <row r="331" spans="1:2" x14ac:dyDescent="0.2">
      <c r="B331" s="51" t="s">
        <v>168</v>
      </c>
    </row>
    <row r="332" spans="1:2" x14ac:dyDescent="0.2">
      <c r="B332" s="51" t="s">
        <v>169</v>
      </c>
    </row>
    <row r="333" spans="1:2" x14ac:dyDescent="0.2">
      <c r="B333" s="51" t="s">
        <v>170</v>
      </c>
    </row>
    <row r="334" spans="1:2" x14ac:dyDescent="0.2">
      <c r="B334" s="51" t="s">
        <v>171</v>
      </c>
    </row>
    <row r="335" spans="1:2" x14ac:dyDescent="0.2">
      <c r="B335" s="51" t="s">
        <v>172</v>
      </c>
    </row>
    <row r="336" spans="1:2" x14ac:dyDescent="0.2">
      <c r="B336" s="51"/>
    </row>
    <row r="337" spans="2:2" x14ac:dyDescent="0.2">
      <c r="B337" s="51" t="s">
        <v>15</v>
      </c>
    </row>
    <row r="338" spans="2:2" x14ac:dyDescent="0.2">
      <c r="B338" s="51" t="s">
        <v>173</v>
      </c>
    </row>
    <row r="339" spans="2:2" x14ac:dyDescent="0.2">
      <c r="B339" s="51" t="s">
        <v>174</v>
      </c>
    </row>
    <row r="340" spans="2:2" x14ac:dyDescent="0.2">
      <c r="B340" s="51" t="s">
        <v>175</v>
      </c>
    </row>
    <row r="341" spans="2:2" x14ac:dyDescent="0.2">
      <c r="B341" s="51" t="s">
        <v>176</v>
      </c>
    </row>
    <row r="342" spans="2:2" x14ac:dyDescent="0.2">
      <c r="B342" s="51" t="s">
        <v>177</v>
      </c>
    </row>
    <row r="343" spans="2:2" x14ac:dyDescent="0.2">
      <c r="B343" s="51" t="s">
        <v>178</v>
      </c>
    </row>
    <row r="344" spans="2:2" x14ac:dyDescent="0.2">
      <c r="B344" s="51" t="s">
        <v>179</v>
      </c>
    </row>
    <row r="345" spans="2:2" x14ac:dyDescent="0.2">
      <c r="B345" s="51" t="s">
        <v>180</v>
      </c>
    </row>
    <row r="346" spans="2:2" x14ac:dyDescent="0.2">
      <c r="B346" s="51" t="s">
        <v>181</v>
      </c>
    </row>
    <row r="347" spans="2:2" x14ac:dyDescent="0.2">
      <c r="B347" s="51"/>
    </row>
    <row r="348" spans="2:2" x14ac:dyDescent="0.2">
      <c r="B348" s="51" t="s">
        <v>41</v>
      </c>
    </row>
    <row r="349" spans="2:2" x14ac:dyDescent="0.2">
      <c r="B349" s="51" t="s">
        <v>182</v>
      </c>
    </row>
    <row r="350" spans="2:2" x14ac:dyDescent="0.2">
      <c r="B350" s="51" t="s">
        <v>183</v>
      </c>
    </row>
    <row r="351" spans="2:2" x14ac:dyDescent="0.2">
      <c r="B351" s="51" t="s">
        <v>184</v>
      </c>
    </row>
    <row r="352" spans="2:2" x14ac:dyDescent="0.2">
      <c r="B352" s="51" t="s">
        <v>185</v>
      </c>
    </row>
    <row r="353" spans="2:2" x14ac:dyDescent="0.2">
      <c r="B353" s="51" t="s">
        <v>186</v>
      </c>
    </row>
    <row r="354" spans="2:2" x14ac:dyDescent="0.2">
      <c r="B354" s="51" t="s">
        <v>187</v>
      </c>
    </row>
    <row r="355" spans="2:2" x14ac:dyDescent="0.2">
      <c r="B355" s="51" t="s">
        <v>188</v>
      </c>
    </row>
    <row r="356" spans="2:2" x14ac:dyDescent="0.2">
      <c r="B356" s="51" t="s">
        <v>189</v>
      </c>
    </row>
    <row r="357" spans="2:2" x14ac:dyDescent="0.2">
      <c r="B357" s="51" t="s">
        <v>190</v>
      </c>
    </row>
    <row r="358" spans="2:2" x14ac:dyDescent="0.2">
      <c r="B358" s="51" t="s">
        <v>191</v>
      </c>
    </row>
    <row r="359" spans="2:2" x14ac:dyDescent="0.2">
      <c r="B359" s="51" t="s">
        <v>192</v>
      </c>
    </row>
    <row r="360" spans="2:2" x14ac:dyDescent="0.2">
      <c r="B360" s="51"/>
    </row>
    <row r="361" spans="2:2" x14ac:dyDescent="0.2">
      <c r="B361" s="51" t="s">
        <v>20</v>
      </c>
    </row>
    <row r="362" spans="2:2" x14ac:dyDescent="0.2">
      <c r="B362" s="51" t="s">
        <v>193</v>
      </c>
    </row>
    <row r="363" spans="2:2" x14ac:dyDescent="0.2">
      <c r="B363" s="51" t="s">
        <v>194</v>
      </c>
    </row>
    <row r="364" spans="2:2" x14ac:dyDescent="0.2">
      <c r="B364" s="51" t="s">
        <v>195</v>
      </c>
    </row>
    <row r="365" spans="2:2" x14ac:dyDescent="0.2">
      <c r="B365" s="51" t="s">
        <v>196</v>
      </c>
    </row>
    <row r="366" spans="2:2" x14ac:dyDescent="0.2">
      <c r="B366" s="51" t="s">
        <v>197</v>
      </c>
    </row>
    <row r="367" spans="2:2" x14ac:dyDescent="0.2">
      <c r="B367" s="51" t="s">
        <v>198</v>
      </c>
    </row>
    <row r="368" spans="2:2" x14ac:dyDescent="0.2">
      <c r="B368" s="51" t="s">
        <v>199</v>
      </c>
    </row>
    <row r="369" spans="2:2" x14ac:dyDescent="0.2">
      <c r="B369" s="51" t="s">
        <v>200</v>
      </c>
    </row>
    <row r="370" spans="2:2" x14ac:dyDescent="0.2">
      <c r="B370" s="51"/>
    </row>
    <row r="371" spans="2:2" x14ac:dyDescent="0.2">
      <c r="B371" s="51" t="s">
        <v>42</v>
      </c>
    </row>
    <row r="372" spans="2:2" x14ac:dyDescent="0.2">
      <c r="B372" s="51" t="s">
        <v>201</v>
      </c>
    </row>
    <row r="373" spans="2:2" x14ac:dyDescent="0.2">
      <c r="B373" s="51" t="s">
        <v>202</v>
      </c>
    </row>
    <row r="374" spans="2:2" x14ac:dyDescent="0.2">
      <c r="B374" s="51" t="s">
        <v>203</v>
      </c>
    </row>
    <row r="375" spans="2:2" x14ac:dyDescent="0.2">
      <c r="B375" s="51" t="s">
        <v>204</v>
      </c>
    </row>
    <row r="376" spans="2:2" x14ac:dyDescent="0.2">
      <c r="B376" s="51" t="s">
        <v>205</v>
      </c>
    </row>
    <row r="377" spans="2:2" x14ac:dyDescent="0.2">
      <c r="B377" s="51" t="s">
        <v>206</v>
      </c>
    </row>
    <row r="378" spans="2:2" x14ac:dyDescent="0.2">
      <c r="B378" s="51" t="s">
        <v>207</v>
      </c>
    </row>
    <row r="379" spans="2:2" x14ac:dyDescent="0.2">
      <c r="B379" s="51" t="s">
        <v>208</v>
      </c>
    </row>
    <row r="380" spans="2:2" x14ac:dyDescent="0.2">
      <c r="B380" s="51" t="s">
        <v>209</v>
      </c>
    </row>
    <row r="381" spans="2:2" x14ac:dyDescent="0.2">
      <c r="B381" s="51" t="s">
        <v>210</v>
      </c>
    </row>
    <row r="382" spans="2:2" x14ac:dyDescent="0.2">
      <c r="B382" s="51"/>
    </row>
    <row r="383" spans="2:2" x14ac:dyDescent="0.2">
      <c r="B383" s="51" t="s">
        <v>16</v>
      </c>
    </row>
    <row r="384" spans="2:2" x14ac:dyDescent="0.2">
      <c r="B384" s="51" t="s">
        <v>211</v>
      </c>
    </row>
    <row r="385" spans="2:2" x14ac:dyDescent="0.2">
      <c r="B385" s="51" t="s">
        <v>212</v>
      </c>
    </row>
    <row r="386" spans="2:2" x14ac:dyDescent="0.2">
      <c r="B386" s="51" t="s">
        <v>213</v>
      </c>
    </row>
    <row r="387" spans="2:2" x14ac:dyDescent="0.2">
      <c r="B387" s="51" t="s">
        <v>214</v>
      </c>
    </row>
    <row r="388" spans="2:2" x14ac:dyDescent="0.2">
      <c r="B388" s="51" t="s">
        <v>215</v>
      </c>
    </row>
    <row r="389" spans="2:2" x14ac:dyDescent="0.2">
      <c r="B389" s="51" t="s">
        <v>216</v>
      </c>
    </row>
    <row r="390" spans="2:2" x14ac:dyDescent="0.2">
      <c r="B390" s="51" t="s">
        <v>217</v>
      </c>
    </row>
    <row r="391" spans="2:2" x14ac:dyDescent="0.2">
      <c r="B391" s="51" t="s">
        <v>218</v>
      </c>
    </row>
    <row r="392" spans="2:2" x14ac:dyDescent="0.2">
      <c r="B392" s="51" t="s">
        <v>219</v>
      </c>
    </row>
    <row r="393" spans="2:2" x14ac:dyDescent="0.2">
      <c r="B393" s="51"/>
    </row>
    <row r="394" spans="2:2" x14ac:dyDescent="0.2">
      <c r="B394" s="51" t="s">
        <v>7</v>
      </c>
    </row>
    <row r="395" spans="2:2" x14ac:dyDescent="0.2">
      <c r="B395" s="51" t="s">
        <v>220</v>
      </c>
    </row>
    <row r="396" spans="2:2" x14ac:dyDescent="0.2">
      <c r="B396" s="51" t="s">
        <v>221</v>
      </c>
    </row>
    <row r="397" spans="2:2" x14ac:dyDescent="0.2">
      <c r="B397" s="51" t="s">
        <v>222</v>
      </c>
    </row>
    <row r="398" spans="2:2" x14ac:dyDescent="0.2">
      <c r="B398" s="51" t="s">
        <v>223</v>
      </c>
    </row>
    <row r="399" spans="2:2" x14ac:dyDescent="0.2">
      <c r="B399" s="51" t="s">
        <v>224</v>
      </c>
    </row>
    <row r="400" spans="2:2" x14ac:dyDescent="0.2">
      <c r="B400" s="51" t="s">
        <v>225</v>
      </c>
    </row>
    <row r="401" spans="2:2" x14ac:dyDescent="0.2">
      <c r="B401" s="51" t="s">
        <v>226</v>
      </c>
    </row>
    <row r="402" spans="2:2" x14ac:dyDescent="0.2">
      <c r="B402" s="51" t="s">
        <v>227</v>
      </c>
    </row>
    <row r="403" spans="2:2" x14ac:dyDescent="0.2">
      <c r="B403" s="51" t="s">
        <v>228</v>
      </c>
    </row>
    <row r="404" spans="2:2" x14ac:dyDescent="0.2">
      <c r="B404" s="51" t="s">
        <v>229</v>
      </c>
    </row>
    <row r="405" spans="2:2" x14ac:dyDescent="0.2">
      <c r="B405" s="51" t="s">
        <v>230</v>
      </c>
    </row>
    <row r="406" spans="2:2" x14ac:dyDescent="0.2">
      <c r="B406" s="51" t="s">
        <v>231</v>
      </c>
    </row>
    <row r="407" spans="2:2" x14ac:dyDescent="0.2">
      <c r="B407" s="51" t="s">
        <v>232</v>
      </c>
    </row>
    <row r="408" spans="2:2" x14ac:dyDescent="0.2">
      <c r="B408" s="51"/>
    </row>
    <row r="409" spans="2:2" x14ac:dyDescent="0.2">
      <c r="B409" s="51" t="s">
        <v>21</v>
      </c>
    </row>
    <row r="410" spans="2:2" x14ac:dyDescent="0.2">
      <c r="B410" s="51" t="s">
        <v>233</v>
      </c>
    </row>
    <row r="411" spans="2:2" x14ac:dyDescent="0.2">
      <c r="B411" s="51" t="s">
        <v>234</v>
      </c>
    </row>
    <row r="412" spans="2:2" x14ac:dyDescent="0.2">
      <c r="B412" s="51" t="s">
        <v>235</v>
      </c>
    </row>
    <row r="413" spans="2:2" x14ac:dyDescent="0.2">
      <c r="B413" s="51" t="s">
        <v>236</v>
      </c>
    </row>
    <row r="414" spans="2:2" x14ac:dyDescent="0.2">
      <c r="B414" s="51" t="s">
        <v>237</v>
      </c>
    </row>
    <row r="415" spans="2:2" x14ac:dyDescent="0.2">
      <c r="B415" s="51" t="s">
        <v>238</v>
      </c>
    </row>
    <row r="416" spans="2:2" x14ac:dyDescent="0.2">
      <c r="B416" s="51" t="s">
        <v>239</v>
      </c>
    </row>
    <row r="417" spans="2:2" x14ac:dyDescent="0.2">
      <c r="B417" s="51" t="s">
        <v>240</v>
      </c>
    </row>
    <row r="418" spans="2:2" x14ac:dyDescent="0.2">
      <c r="B418" s="51" t="s">
        <v>241</v>
      </c>
    </row>
    <row r="419" spans="2:2" x14ac:dyDescent="0.2">
      <c r="B419" s="51" t="s">
        <v>242</v>
      </c>
    </row>
    <row r="420" spans="2:2" x14ac:dyDescent="0.2">
      <c r="B420" s="51"/>
    </row>
    <row r="421" spans="2:2" x14ac:dyDescent="0.2">
      <c r="B421" s="51" t="s">
        <v>14</v>
      </c>
    </row>
    <row r="422" spans="2:2" x14ac:dyDescent="0.2">
      <c r="B422" s="51" t="s">
        <v>243</v>
      </c>
    </row>
    <row r="423" spans="2:2" x14ac:dyDescent="0.2">
      <c r="B423" s="51" t="s">
        <v>244</v>
      </c>
    </row>
    <row r="424" spans="2:2" x14ac:dyDescent="0.2">
      <c r="B424" s="51" t="s">
        <v>245</v>
      </c>
    </row>
    <row r="425" spans="2:2" x14ac:dyDescent="0.2">
      <c r="B425" s="51" t="s">
        <v>246</v>
      </c>
    </row>
    <row r="426" spans="2:2" x14ac:dyDescent="0.2">
      <c r="B426" s="51" t="s">
        <v>247</v>
      </c>
    </row>
    <row r="427" spans="2:2" x14ac:dyDescent="0.2">
      <c r="B427" s="51" t="s">
        <v>248</v>
      </c>
    </row>
    <row r="428" spans="2:2" x14ac:dyDescent="0.2">
      <c r="B428" s="51" t="s">
        <v>249</v>
      </c>
    </row>
    <row r="429" spans="2:2" x14ac:dyDescent="0.2">
      <c r="B429" s="51"/>
    </row>
    <row r="430" spans="2:2" x14ac:dyDescent="0.2">
      <c r="B430" s="51" t="s">
        <v>12</v>
      </c>
    </row>
    <row r="431" spans="2:2" x14ac:dyDescent="0.2">
      <c r="B431" s="51" t="s">
        <v>250</v>
      </c>
    </row>
    <row r="432" spans="2:2" x14ac:dyDescent="0.2">
      <c r="B432" s="51" t="s">
        <v>251</v>
      </c>
    </row>
    <row r="433" spans="2:2" x14ac:dyDescent="0.2">
      <c r="B433" s="51" t="s">
        <v>252</v>
      </c>
    </row>
    <row r="434" spans="2:2" x14ac:dyDescent="0.2">
      <c r="B434" s="51" t="s">
        <v>253</v>
      </c>
    </row>
    <row r="435" spans="2:2" x14ac:dyDescent="0.2">
      <c r="B435" s="51" t="s">
        <v>254</v>
      </c>
    </row>
    <row r="436" spans="2:2" x14ac:dyDescent="0.2">
      <c r="B436" s="51" t="s">
        <v>255</v>
      </c>
    </row>
    <row r="437" spans="2:2" x14ac:dyDescent="0.2">
      <c r="B437" s="51"/>
    </row>
    <row r="438" spans="2:2" x14ac:dyDescent="0.2">
      <c r="B438" s="51" t="s">
        <v>13</v>
      </c>
    </row>
    <row r="439" spans="2:2" x14ac:dyDescent="0.2">
      <c r="B439" s="51" t="s">
        <v>256</v>
      </c>
    </row>
    <row r="440" spans="2:2" x14ac:dyDescent="0.2">
      <c r="B440" s="51" t="s">
        <v>257</v>
      </c>
    </row>
    <row r="441" spans="2:2" x14ac:dyDescent="0.2">
      <c r="B441" s="51" t="s">
        <v>258</v>
      </c>
    </row>
    <row r="442" spans="2:2" x14ac:dyDescent="0.2">
      <c r="B442" s="51" t="s">
        <v>259</v>
      </c>
    </row>
    <row r="443" spans="2:2" x14ac:dyDescent="0.2">
      <c r="B443" s="51" t="s">
        <v>260</v>
      </c>
    </row>
    <row r="444" spans="2:2" x14ac:dyDescent="0.2">
      <c r="B444" s="51" t="s">
        <v>261</v>
      </c>
    </row>
    <row r="445" spans="2:2" x14ac:dyDescent="0.2">
      <c r="B445" s="51" t="s">
        <v>262</v>
      </c>
    </row>
    <row r="446" spans="2:2" x14ac:dyDescent="0.2">
      <c r="B446" s="51" t="s">
        <v>263</v>
      </c>
    </row>
    <row r="447" spans="2:2" x14ac:dyDescent="0.2">
      <c r="B447" s="51" t="s">
        <v>264</v>
      </c>
    </row>
    <row r="448" spans="2:2" x14ac:dyDescent="0.2">
      <c r="B448" s="51"/>
    </row>
    <row r="449" spans="2:2" x14ac:dyDescent="0.2">
      <c r="B449" s="51" t="s">
        <v>43</v>
      </c>
    </row>
    <row r="450" spans="2:2" x14ac:dyDescent="0.2">
      <c r="B450" s="51" t="s">
        <v>265</v>
      </c>
    </row>
    <row r="451" spans="2:2" x14ac:dyDescent="0.2">
      <c r="B451" s="51" t="s">
        <v>266</v>
      </c>
    </row>
    <row r="452" spans="2:2" x14ac:dyDescent="0.2">
      <c r="B452" s="51" t="s">
        <v>267</v>
      </c>
    </row>
    <row r="453" spans="2:2" x14ac:dyDescent="0.2">
      <c r="B453" s="51" t="s">
        <v>26</v>
      </c>
    </row>
    <row r="454" spans="2:2" x14ac:dyDescent="0.2">
      <c r="B454" s="51" t="s">
        <v>268</v>
      </c>
    </row>
    <row r="455" spans="2:2" x14ac:dyDescent="0.2">
      <c r="B455" s="51" t="s">
        <v>269</v>
      </c>
    </row>
    <row r="456" spans="2:2" x14ac:dyDescent="0.2">
      <c r="B456" s="51"/>
    </row>
    <row r="457" spans="2:2" x14ac:dyDescent="0.2">
      <c r="B457" s="51" t="s">
        <v>8</v>
      </c>
    </row>
    <row r="458" spans="2:2" x14ac:dyDescent="0.2">
      <c r="B458" s="51" t="s">
        <v>270</v>
      </c>
    </row>
    <row r="459" spans="2:2" x14ac:dyDescent="0.2">
      <c r="B459" s="51" t="s">
        <v>271</v>
      </c>
    </row>
    <row r="460" spans="2:2" x14ac:dyDescent="0.2">
      <c r="B460" s="51" t="s">
        <v>272</v>
      </c>
    </row>
    <row r="461" spans="2:2" x14ac:dyDescent="0.2">
      <c r="B461" s="51" t="s">
        <v>273</v>
      </c>
    </row>
    <row r="462" spans="2:2" x14ac:dyDescent="0.2">
      <c r="B462" s="51" t="s">
        <v>274</v>
      </c>
    </row>
    <row r="463" spans="2:2" x14ac:dyDescent="0.2">
      <c r="B463" s="51" t="s">
        <v>275</v>
      </c>
    </row>
    <row r="464" spans="2:2" x14ac:dyDescent="0.2">
      <c r="B464" s="51" t="s">
        <v>276</v>
      </c>
    </row>
    <row r="465" spans="2:2" x14ac:dyDescent="0.2">
      <c r="B465" s="51" t="s">
        <v>277</v>
      </c>
    </row>
    <row r="466" spans="2:2" x14ac:dyDescent="0.2">
      <c r="B466" s="51" t="s">
        <v>278</v>
      </c>
    </row>
    <row r="467" spans="2:2" x14ac:dyDescent="0.2">
      <c r="B467" s="51" t="s">
        <v>279</v>
      </c>
    </row>
    <row r="468" spans="2:2" x14ac:dyDescent="0.2">
      <c r="B468" s="51" t="s">
        <v>280</v>
      </c>
    </row>
    <row r="469" spans="2:2" x14ac:dyDescent="0.2">
      <c r="B469" s="51" t="s">
        <v>281</v>
      </c>
    </row>
    <row r="470" spans="2:2" x14ac:dyDescent="0.2">
      <c r="B470" s="51" t="s">
        <v>282</v>
      </c>
    </row>
    <row r="471" spans="2:2" x14ac:dyDescent="0.2">
      <c r="B471" s="51" t="s">
        <v>283</v>
      </c>
    </row>
    <row r="472" spans="2:2" x14ac:dyDescent="0.2">
      <c r="B472" s="51" t="s">
        <v>284</v>
      </c>
    </row>
    <row r="473" spans="2:2" x14ac:dyDescent="0.2">
      <c r="B473" s="51" t="s">
        <v>285</v>
      </c>
    </row>
    <row r="474" spans="2:2" x14ac:dyDescent="0.2">
      <c r="B474" s="51" t="s">
        <v>286</v>
      </c>
    </row>
    <row r="475" spans="2:2" x14ac:dyDescent="0.2">
      <c r="B475" s="51"/>
    </row>
    <row r="476" spans="2:2" x14ac:dyDescent="0.2">
      <c r="B476" s="51" t="s">
        <v>17</v>
      </c>
    </row>
    <row r="477" spans="2:2" x14ac:dyDescent="0.2">
      <c r="B477" s="51" t="s">
        <v>287</v>
      </c>
    </row>
    <row r="478" spans="2:2" x14ac:dyDescent="0.2">
      <c r="B478" s="51" t="s">
        <v>288</v>
      </c>
    </row>
    <row r="479" spans="2:2" x14ac:dyDescent="0.2">
      <c r="B479" s="51" t="s">
        <v>289</v>
      </c>
    </row>
    <row r="480" spans="2:2" x14ac:dyDescent="0.2">
      <c r="B480" s="51" t="s">
        <v>290</v>
      </c>
    </row>
    <row r="481" spans="2:2" x14ac:dyDescent="0.2">
      <c r="B481" s="51" t="s">
        <v>291</v>
      </c>
    </row>
    <row r="482" spans="2:2" x14ac:dyDescent="0.2">
      <c r="B482" s="51" t="s">
        <v>292</v>
      </c>
    </row>
    <row r="483" spans="2:2" x14ac:dyDescent="0.2">
      <c r="B483" s="51" t="s">
        <v>293</v>
      </c>
    </row>
    <row r="484" spans="2:2" x14ac:dyDescent="0.2">
      <c r="B484" s="51" t="s">
        <v>294</v>
      </c>
    </row>
    <row r="485" spans="2:2" x14ac:dyDescent="0.2">
      <c r="B485" s="51" t="s">
        <v>295</v>
      </c>
    </row>
    <row r="486" spans="2:2" x14ac:dyDescent="0.2">
      <c r="B486" s="51"/>
    </row>
    <row r="487" spans="2:2" x14ac:dyDescent="0.2">
      <c r="B487" s="51" t="s">
        <v>19</v>
      </c>
    </row>
    <row r="488" spans="2:2" x14ac:dyDescent="0.2">
      <c r="B488" s="51" t="s">
        <v>296</v>
      </c>
    </row>
    <row r="489" spans="2:2" x14ac:dyDescent="0.2">
      <c r="B489" s="51" t="s">
        <v>297</v>
      </c>
    </row>
    <row r="490" spans="2:2" x14ac:dyDescent="0.2">
      <c r="B490" s="51" t="s">
        <v>298</v>
      </c>
    </row>
    <row r="491" spans="2:2" x14ac:dyDescent="0.2">
      <c r="B491" s="51" t="s">
        <v>299</v>
      </c>
    </row>
    <row r="492" spans="2:2" x14ac:dyDescent="0.2">
      <c r="B492" s="51" t="s">
        <v>300</v>
      </c>
    </row>
    <row r="493" spans="2:2" x14ac:dyDescent="0.2">
      <c r="B493" s="51" t="s">
        <v>301</v>
      </c>
    </row>
    <row r="494" spans="2:2" x14ac:dyDescent="0.2">
      <c r="B494" s="51" t="s">
        <v>302</v>
      </c>
    </row>
    <row r="495" spans="2:2" x14ac:dyDescent="0.2">
      <c r="B495" s="51" t="s">
        <v>303</v>
      </c>
    </row>
    <row r="496" spans="2:2" x14ac:dyDescent="0.2">
      <c r="B496" s="51"/>
    </row>
    <row r="497" spans="2:2" x14ac:dyDescent="0.2">
      <c r="B497" s="51" t="s">
        <v>10</v>
      </c>
    </row>
    <row r="498" spans="2:2" x14ac:dyDescent="0.2">
      <c r="B498" s="51" t="s">
        <v>304</v>
      </c>
    </row>
    <row r="499" spans="2:2" x14ac:dyDescent="0.2">
      <c r="B499" s="51" t="s">
        <v>305</v>
      </c>
    </row>
    <row r="500" spans="2:2" x14ac:dyDescent="0.2">
      <c r="B500" s="51" t="s">
        <v>306</v>
      </c>
    </row>
    <row r="501" spans="2:2" x14ac:dyDescent="0.2">
      <c r="B501" s="51" t="s">
        <v>307</v>
      </c>
    </row>
    <row r="502" spans="2:2" x14ac:dyDescent="0.2">
      <c r="B502" s="51" t="s">
        <v>308</v>
      </c>
    </row>
    <row r="503" spans="2:2" x14ac:dyDescent="0.2">
      <c r="B503" s="51" t="s">
        <v>309</v>
      </c>
    </row>
    <row r="504" spans="2:2" x14ac:dyDescent="0.2">
      <c r="B504" s="51" t="s">
        <v>310</v>
      </c>
    </row>
    <row r="505" spans="2:2" x14ac:dyDescent="0.2">
      <c r="B505" s="51" t="s">
        <v>311</v>
      </c>
    </row>
    <row r="506" spans="2:2" x14ac:dyDescent="0.2">
      <c r="B506" s="51" t="s">
        <v>312</v>
      </c>
    </row>
    <row r="507" spans="2:2" x14ac:dyDescent="0.2">
      <c r="B507" s="51" t="s">
        <v>313</v>
      </c>
    </row>
    <row r="508" spans="2:2" x14ac:dyDescent="0.2">
      <c r="B508" s="51" t="s">
        <v>314</v>
      </c>
    </row>
    <row r="509" spans="2:2" x14ac:dyDescent="0.2">
      <c r="B509" s="51" t="s">
        <v>315</v>
      </c>
    </row>
    <row r="510" spans="2:2" x14ac:dyDescent="0.2">
      <c r="B510" s="51"/>
    </row>
    <row r="511" spans="2:2" x14ac:dyDescent="0.2">
      <c r="B511" s="51" t="s">
        <v>44</v>
      </c>
    </row>
    <row r="512" spans="2:2" x14ac:dyDescent="0.2">
      <c r="B512" s="51" t="s">
        <v>316</v>
      </c>
    </row>
    <row r="513" spans="2:2" x14ac:dyDescent="0.2">
      <c r="B513" s="51" t="s">
        <v>317</v>
      </c>
    </row>
    <row r="514" spans="2:2" x14ac:dyDescent="0.2">
      <c r="B514" s="51" t="s">
        <v>318</v>
      </c>
    </row>
    <row r="515" spans="2:2" x14ac:dyDescent="0.2">
      <c r="B515" s="51" t="s">
        <v>319</v>
      </c>
    </row>
    <row r="516" spans="2:2" x14ac:dyDescent="0.2">
      <c r="B516" s="51" t="s">
        <v>320</v>
      </c>
    </row>
    <row r="517" spans="2:2" x14ac:dyDescent="0.2">
      <c r="B517" s="51" t="s">
        <v>321</v>
      </c>
    </row>
    <row r="518" spans="2:2" x14ac:dyDescent="0.2">
      <c r="B518" s="51" t="s">
        <v>322</v>
      </c>
    </row>
    <row r="519" spans="2:2" x14ac:dyDescent="0.2">
      <c r="B519" s="51" t="s">
        <v>323</v>
      </c>
    </row>
    <row r="520" spans="2:2" x14ac:dyDescent="0.2">
      <c r="B520" s="51" t="s">
        <v>324</v>
      </c>
    </row>
    <row r="521" spans="2:2" x14ac:dyDescent="0.2">
      <c r="B521" s="51"/>
    </row>
    <row r="522" spans="2:2" x14ac:dyDescent="0.2">
      <c r="B522" s="51" t="s">
        <v>22</v>
      </c>
    </row>
    <row r="523" spans="2:2" x14ac:dyDescent="0.2">
      <c r="B523" s="51" t="s">
        <v>325</v>
      </c>
    </row>
    <row r="524" spans="2:2" x14ac:dyDescent="0.2">
      <c r="B524" s="51" t="s">
        <v>326</v>
      </c>
    </row>
    <row r="525" spans="2:2" x14ac:dyDescent="0.2">
      <c r="B525" s="51" t="s">
        <v>327</v>
      </c>
    </row>
    <row r="526" spans="2:2" x14ac:dyDescent="0.2">
      <c r="B526" s="51" t="s">
        <v>328</v>
      </c>
    </row>
    <row r="527" spans="2:2" x14ac:dyDescent="0.2">
      <c r="B527" s="51" t="s">
        <v>329</v>
      </c>
    </row>
    <row r="528" spans="2:2" x14ac:dyDescent="0.2">
      <c r="B528" s="51" t="s">
        <v>330</v>
      </c>
    </row>
    <row r="529" spans="2:2" x14ac:dyDescent="0.2">
      <c r="B529" s="51" t="s">
        <v>331</v>
      </c>
    </row>
    <row r="530" spans="2:2" x14ac:dyDescent="0.2">
      <c r="B530" s="51" t="s">
        <v>332</v>
      </c>
    </row>
    <row r="531" spans="2:2" x14ac:dyDescent="0.2">
      <c r="B531" s="51"/>
    </row>
    <row r="532" spans="2:2" x14ac:dyDescent="0.2">
      <c r="B532" s="51" t="s">
        <v>18</v>
      </c>
    </row>
    <row r="533" spans="2:2" x14ac:dyDescent="0.2">
      <c r="B533" s="51" t="s">
        <v>333</v>
      </c>
    </row>
    <row r="534" spans="2:2" x14ac:dyDescent="0.2">
      <c r="B534" s="51" t="s">
        <v>334</v>
      </c>
    </row>
    <row r="535" spans="2:2" x14ac:dyDescent="0.2">
      <c r="B535" s="51" t="s">
        <v>335</v>
      </c>
    </row>
    <row r="536" spans="2:2" x14ac:dyDescent="0.2">
      <c r="B536" s="51" t="s">
        <v>336</v>
      </c>
    </row>
    <row r="537" spans="2:2" x14ac:dyDescent="0.2">
      <c r="B537" s="51" t="s">
        <v>337</v>
      </c>
    </row>
    <row r="538" spans="2:2" x14ac:dyDescent="0.2">
      <c r="B538" s="51" t="s">
        <v>338</v>
      </c>
    </row>
    <row r="539" spans="2:2" x14ac:dyDescent="0.2">
      <c r="B539" s="51" t="s">
        <v>339</v>
      </c>
    </row>
    <row r="540" spans="2:2" x14ac:dyDescent="0.2">
      <c r="B540" s="51" t="s">
        <v>340</v>
      </c>
    </row>
    <row r="541" spans="2:2" x14ac:dyDescent="0.2">
      <c r="B541" s="51" t="s">
        <v>341</v>
      </c>
    </row>
    <row r="542" spans="2:2" x14ac:dyDescent="0.2">
      <c r="B542" s="51" t="s">
        <v>342</v>
      </c>
    </row>
    <row r="543" spans="2:2" x14ac:dyDescent="0.2">
      <c r="B543" s="51" t="s">
        <v>343</v>
      </c>
    </row>
    <row r="544" spans="2:2" x14ac:dyDescent="0.2">
      <c r="B544" s="51" t="s">
        <v>344</v>
      </c>
    </row>
    <row r="545" spans="2:2" x14ac:dyDescent="0.2">
      <c r="B545" s="51"/>
    </row>
    <row r="546" spans="2:2" x14ac:dyDescent="0.2">
      <c r="B546" s="51" t="s">
        <v>9</v>
      </c>
    </row>
    <row r="547" spans="2:2" x14ac:dyDescent="0.2">
      <c r="B547" s="51" t="s">
        <v>345</v>
      </c>
    </row>
    <row r="548" spans="2:2" x14ac:dyDescent="0.2">
      <c r="B548" s="51" t="s">
        <v>346</v>
      </c>
    </row>
    <row r="549" spans="2:2" x14ac:dyDescent="0.2">
      <c r="B549" s="51" t="s">
        <v>347</v>
      </c>
    </row>
    <row r="550" spans="2:2" x14ac:dyDescent="0.2">
      <c r="B550" s="51" t="s">
        <v>348</v>
      </c>
    </row>
    <row r="551" spans="2:2" x14ac:dyDescent="0.2">
      <c r="B551" s="51" t="s">
        <v>349</v>
      </c>
    </row>
    <row r="552" spans="2:2" x14ac:dyDescent="0.2">
      <c r="B552" s="51" t="s">
        <v>350</v>
      </c>
    </row>
    <row r="553" spans="2:2" x14ac:dyDescent="0.2">
      <c r="B553" s="51" t="s">
        <v>351</v>
      </c>
    </row>
    <row r="554" spans="2:2" x14ac:dyDescent="0.2">
      <c r="B554" s="51" t="s">
        <v>352</v>
      </c>
    </row>
    <row r="555" spans="2:2" x14ac:dyDescent="0.2">
      <c r="B555" s="51" t="s">
        <v>353</v>
      </c>
    </row>
    <row r="556" spans="2:2" x14ac:dyDescent="0.2">
      <c r="B556" s="51" t="s">
        <v>354</v>
      </c>
    </row>
    <row r="557" spans="2:2" x14ac:dyDescent="0.2">
      <c r="B557" s="51" t="s">
        <v>355</v>
      </c>
    </row>
    <row r="558" spans="2:2" x14ac:dyDescent="0.2">
      <c r="B558" s="51" t="s">
        <v>356</v>
      </c>
    </row>
    <row r="559" spans="2:2" x14ac:dyDescent="0.2">
      <c r="B559" s="51" t="s">
        <v>357</v>
      </c>
    </row>
    <row r="560" spans="2:2" x14ac:dyDescent="0.2">
      <c r="B560" s="51" t="s">
        <v>358</v>
      </c>
    </row>
    <row r="561" spans="2:2" x14ac:dyDescent="0.2">
      <c r="B561" s="51" t="s">
        <v>359</v>
      </c>
    </row>
    <row r="562" spans="2:2" x14ac:dyDescent="0.2">
      <c r="B562" s="51"/>
    </row>
    <row r="563" spans="2:2" x14ac:dyDescent="0.2">
      <c r="B563" s="51" t="s">
        <v>45</v>
      </c>
    </row>
    <row r="564" spans="2:2" x14ac:dyDescent="0.2">
      <c r="B564" s="51" t="s">
        <v>360</v>
      </c>
    </row>
    <row r="565" spans="2:2" x14ac:dyDescent="0.2">
      <c r="B565" s="51" t="s">
        <v>361</v>
      </c>
    </row>
    <row r="566" spans="2:2" x14ac:dyDescent="0.2">
      <c r="B566" s="51" t="s">
        <v>362</v>
      </c>
    </row>
    <row r="567" spans="2:2" x14ac:dyDescent="0.2">
      <c r="B567" s="51" t="s">
        <v>363</v>
      </c>
    </row>
    <row r="568" spans="2:2" x14ac:dyDescent="0.2">
      <c r="B568" s="51" t="s">
        <v>364</v>
      </c>
    </row>
    <row r="569" spans="2:2" x14ac:dyDescent="0.2">
      <c r="B569" s="51" t="s">
        <v>365</v>
      </c>
    </row>
    <row r="570" spans="2:2" x14ac:dyDescent="0.2">
      <c r="B570" s="51" t="s">
        <v>366</v>
      </c>
    </row>
    <row r="571" spans="2:2" x14ac:dyDescent="0.2">
      <c r="B571" s="51" t="s">
        <v>367</v>
      </c>
    </row>
    <row r="572" spans="2:2" x14ac:dyDescent="0.2">
      <c r="B572" s="51"/>
    </row>
    <row r="573" spans="2:2" x14ac:dyDescent="0.2">
      <c r="B573" s="51" t="s">
        <v>40</v>
      </c>
    </row>
    <row r="574" spans="2:2" x14ac:dyDescent="0.2">
      <c r="B574" s="51" t="s">
        <v>368</v>
      </c>
    </row>
    <row r="575" spans="2:2" x14ac:dyDescent="0.2">
      <c r="B575" s="51" t="s">
        <v>369</v>
      </c>
    </row>
    <row r="576" spans="2:2" x14ac:dyDescent="0.2">
      <c r="B576" s="51" t="s">
        <v>370</v>
      </c>
    </row>
    <row r="577" spans="2:2" x14ac:dyDescent="0.2">
      <c r="B577" s="51" t="s">
        <v>371</v>
      </c>
    </row>
    <row r="578" spans="2:2" x14ac:dyDescent="0.2">
      <c r="B578" s="51" t="s">
        <v>372</v>
      </c>
    </row>
    <row r="579" spans="2:2" x14ac:dyDescent="0.2">
      <c r="B579" s="51" t="s">
        <v>373</v>
      </c>
    </row>
    <row r="580" spans="2:2" x14ac:dyDescent="0.2">
      <c r="B580" s="51" t="s">
        <v>374</v>
      </c>
    </row>
    <row r="581" spans="2:2" x14ac:dyDescent="0.2">
      <c r="B581" s="51" t="s">
        <v>375</v>
      </c>
    </row>
    <row r="582" spans="2:2" x14ac:dyDescent="0.2">
      <c r="B582" s="51"/>
    </row>
    <row r="583" spans="2:2" x14ac:dyDescent="0.2">
      <c r="B583" s="51" t="s">
        <v>5</v>
      </c>
    </row>
    <row r="584" spans="2:2" x14ac:dyDescent="0.2">
      <c r="B584" s="51" t="s">
        <v>376</v>
      </c>
    </row>
    <row r="585" spans="2:2" x14ac:dyDescent="0.2">
      <c r="B585" s="51" t="s">
        <v>377</v>
      </c>
    </row>
    <row r="586" spans="2:2" x14ac:dyDescent="0.2">
      <c r="B586" s="51" t="s">
        <v>378</v>
      </c>
    </row>
    <row r="587" spans="2:2" x14ac:dyDescent="0.2">
      <c r="B587" s="51" t="s">
        <v>379</v>
      </c>
    </row>
    <row r="588" spans="2:2" x14ac:dyDescent="0.2">
      <c r="B588" s="51" t="s">
        <v>380</v>
      </c>
    </row>
    <row r="589" spans="2:2" x14ac:dyDescent="0.2">
      <c r="B589" s="51" t="s">
        <v>381</v>
      </c>
    </row>
    <row r="590" spans="2:2" x14ac:dyDescent="0.2">
      <c r="B590" s="51" t="s">
        <v>382</v>
      </c>
    </row>
    <row r="591" spans="2:2" x14ac:dyDescent="0.2">
      <c r="B591" s="51" t="s">
        <v>383</v>
      </c>
    </row>
    <row r="592" spans="2:2" x14ac:dyDescent="0.2">
      <c r="B592" s="51" t="s">
        <v>384</v>
      </c>
    </row>
    <row r="593" spans="2:2" x14ac:dyDescent="0.2">
      <c r="B593" s="51"/>
    </row>
    <row r="594" spans="2:2" x14ac:dyDescent="0.2">
      <c r="B594" s="51" t="s">
        <v>23</v>
      </c>
    </row>
    <row r="595" spans="2:2" x14ac:dyDescent="0.2">
      <c r="B595" s="51" t="s">
        <v>385</v>
      </c>
    </row>
    <row r="596" spans="2:2" x14ac:dyDescent="0.2">
      <c r="B596" s="51" t="s">
        <v>386</v>
      </c>
    </row>
    <row r="597" spans="2:2" x14ac:dyDescent="0.2">
      <c r="B597" s="51" t="s">
        <v>387</v>
      </c>
    </row>
    <row r="598" spans="2:2" x14ac:dyDescent="0.2">
      <c r="B598" s="51" t="s">
        <v>388</v>
      </c>
    </row>
    <row r="599" spans="2:2" x14ac:dyDescent="0.2">
      <c r="B599" s="51" t="s">
        <v>389</v>
      </c>
    </row>
    <row r="600" spans="2:2" x14ac:dyDescent="0.2">
      <c r="B600" s="51" t="s">
        <v>390</v>
      </c>
    </row>
    <row r="601" spans="2:2" x14ac:dyDescent="0.2">
      <c r="B601" s="51" t="s">
        <v>391</v>
      </c>
    </row>
    <row r="602" spans="2:2" x14ac:dyDescent="0.2">
      <c r="B602" s="51" t="s">
        <v>392</v>
      </c>
    </row>
    <row r="603" spans="2:2" x14ac:dyDescent="0.2">
      <c r="B603" s="51" t="s">
        <v>393</v>
      </c>
    </row>
    <row r="604" spans="2:2" x14ac:dyDescent="0.2">
      <c r="B604" s="51" t="s">
        <v>394</v>
      </c>
    </row>
    <row r="605" spans="2:2" x14ac:dyDescent="0.2">
      <c r="B605" s="51" t="s">
        <v>395</v>
      </c>
    </row>
  </sheetData>
  <sheetProtection password="DE07" sheet="1" objects="1" scenarios="1"/>
  <phoneticPr fontId="27" type="noConversion"/>
  <pageMargins left="0.7" right="0.7" top="0.75" bottom="0.75" header="0.3" footer="0.3"/>
  <ignoredErrors>
    <ignoredError sqref="E2 E3:E301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34"/>
  <sheetViews>
    <sheetView zoomScale="95" zoomScaleNormal="95" workbookViewId="0">
      <selection activeCell="C21" sqref="C21:C32"/>
    </sheetView>
  </sheetViews>
  <sheetFormatPr defaultRowHeight="12.75" x14ac:dyDescent="0.2"/>
  <cols>
    <col min="1" max="1" width="35.7109375" customWidth="1"/>
    <col min="2" max="4" width="35.7109375" style="64" customWidth="1"/>
  </cols>
  <sheetData>
    <row r="1" spans="1:4" ht="19.149999999999999" customHeight="1" x14ac:dyDescent="0.2">
      <c r="A1" s="102" t="s">
        <v>106</v>
      </c>
      <c r="B1" s="103"/>
      <c r="C1" s="106" t="s">
        <v>87</v>
      </c>
      <c r="D1" s="107"/>
    </row>
    <row r="2" spans="1:4" ht="19.149999999999999" customHeight="1" x14ac:dyDescent="0.2">
      <c r="A2" s="104"/>
      <c r="B2" s="105"/>
      <c r="C2" s="12" t="s">
        <v>86</v>
      </c>
      <c r="D2" s="8" t="s">
        <v>88</v>
      </c>
    </row>
    <row r="3" spans="1:4" x14ac:dyDescent="0.2">
      <c r="A3" s="98" t="s">
        <v>108</v>
      </c>
      <c r="B3" s="18" t="s">
        <v>62</v>
      </c>
      <c r="C3" s="18" t="s">
        <v>63</v>
      </c>
      <c r="D3" s="18" t="s">
        <v>64</v>
      </c>
    </row>
    <row r="4" spans="1:4" x14ac:dyDescent="0.2">
      <c r="A4" s="99"/>
      <c r="B4" s="18" t="s">
        <v>65</v>
      </c>
      <c r="C4" s="18" t="s">
        <v>66</v>
      </c>
      <c r="D4" s="18" t="s">
        <v>67</v>
      </c>
    </row>
    <row r="5" spans="1:4" x14ac:dyDescent="0.2">
      <c r="A5" s="99"/>
      <c r="B5" s="18" t="s">
        <v>68</v>
      </c>
      <c r="C5" s="18" t="s">
        <v>69</v>
      </c>
      <c r="D5" s="18" t="s">
        <v>48</v>
      </c>
    </row>
    <row r="6" spans="1:4" x14ac:dyDescent="0.2">
      <c r="A6" s="100" t="s">
        <v>109</v>
      </c>
      <c r="B6" s="65" t="s">
        <v>89</v>
      </c>
      <c r="C6" s="65" t="s">
        <v>98</v>
      </c>
      <c r="D6" s="108" t="s">
        <v>102</v>
      </c>
    </row>
    <row r="7" spans="1:4" x14ac:dyDescent="0.2">
      <c r="A7" s="101"/>
      <c r="B7" s="65" t="s">
        <v>90</v>
      </c>
      <c r="C7" s="65" t="s">
        <v>99</v>
      </c>
      <c r="D7" s="109"/>
    </row>
    <row r="8" spans="1:4" x14ac:dyDescent="0.2">
      <c r="A8" s="101"/>
      <c r="B8" s="65" t="s">
        <v>91</v>
      </c>
      <c r="C8" s="65" t="s">
        <v>98</v>
      </c>
      <c r="D8" s="108" t="s">
        <v>103</v>
      </c>
    </row>
    <row r="9" spans="1:4" x14ac:dyDescent="0.2">
      <c r="A9" s="101"/>
      <c r="B9" s="65" t="s">
        <v>92</v>
      </c>
      <c r="C9" s="65" t="s">
        <v>99</v>
      </c>
      <c r="D9" s="109"/>
    </row>
    <row r="10" spans="1:4" x14ac:dyDescent="0.2">
      <c r="A10" s="101"/>
      <c r="B10" s="65" t="s">
        <v>93</v>
      </c>
      <c r="C10" s="65" t="s">
        <v>70</v>
      </c>
      <c r="D10" s="108" t="s">
        <v>104</v>
      </c>
    </row>
    <row r="11" spans="1:4" x14ac:dyDescent="0.2">
      <c r="A11" s="101"/>
      <c r="B11" s="65" t="s">
        <v>94</v>
      </c>
      <c r="C11" s="65" t="s">
        <v>71</v>
      </c>
      <c r="D11" s="109"/>
    </row>
    <row r="12" spans="1:4" x14ac:dyDescent="0.2">
      <c r="A12" s="101"/>
      <c r="B12" s="65" t="s">
        <v>95</v>
      </c>
      <c r="C12" s="65" t="s">
        <v>70</v>
      </c>
      <c r="D12" s="108" t="s">
        <v>105</v>
      </c>
    </row>
    <row r="13" spans="1:4" x14ac:dyDescent="0.2">
      <c r="A13" s="101"/>
      <c r="B13" s="65" t="s">
        <v>96</v>
      </c>
      <c r="C13" s="65" t="s">
        <v>71</v>
      </c>
      <c r="D13" s="109"/>
    </row>
    <row r="14" spans="1:4" x14ac:dyDescent="0.2">
      <c r="A14" s="98" t="s">
        <v>110</v>
      </c>
      <c r="B14" s="18" t="s">
        <v>97</v>
      </c>
      <c r="C14" s="96" t="s">
        <v>72</v>
      </c>
      <c r="D14" s="96" t="s">
        <v>73</v>
      </c>
    </row>
    <row r="15" spans="1:4" x14ac:dyDescent="0.2">
      <c r="A15" s="99"/>
      <c r="B15" s="18" t="s">
        <v>107</v>
      </c>
      <c r="C15" s="97"/>
      <c r="D15" s="97"/>
    </row>
    <row r="16" spans="1:4" x14ac:dyDescent="0.2">
      <c r="A16" s="99"/>
      <c r="B16" s="18" t="s">
        <v>74</v>
      </c>
      <c r="C16" s="18" t="s">
        <v>75</v>
      </c>
      <c r="D16" s="18" t="s">
        <v>76</v>
      </c>
    </row>
    <row r="17" spans="1:5" x14ac:dyDescent="0.2">
      <c r="A17" s="99"/>
      <c r="B17" s="18" t="s">
        <v>77</v>
      </c>
      <c r="C17" s="18" t="s">
        <v>78</v>
      </c>
      <c r="D17" s="18" t="s">
        <v>79</v>
      </c>
    </row>
    <row r="18" spans="1:5" x14ac:dyDescent="0.2">
      <c r="A18" s="99"/>
      <c r="B18" s="18" t="s">
        <v>80</v>
      </c>
      <c r="C18" s="18" t="s">
        <v>81</v>
      </c>
      <c r="D18" s="18" t="s">
        <v>82</v>
      </c>
    </row>
    <row r="19" spans="1:5" x14ac:dyDescent="0.2">
      <c r="A19" s="99"/>
      <c r="B19" s="18" t="s">
        <v>83</v>
      </c>
      <c r="C19" s="18" t="s">
        <v>84</v>
      </c>
      <c r="D19" s="18" t="s">
        <v>85</v>
      </c>
    </row>
    <row r="21" spans="1:5" x14ac:dyDescent="0.2">
      <c r="C21" s="51" t="s">
        <v>63</v>
      </c>
      <c r="D21" s="51" t="s">
        <v>100</v>
      </c>
    </row>
    <row r="22" spans="1:5" x14ac:dyDescent="0.2">
      <c r="C22" s="51" t="s">
        <v>66</v>
      </c>
      <c r="D22" s="51" t="s">
        <v>101</v>
      </c>
      <c r="E22" s="66"/>
    </row>
    <row r="23" spans="1:5" x14ac:dyDescent="0.2">
      <c r="C23" s="51" t="s">
        <v>69</v>
      </c>
      <c r="D23" s="51" t="s">
        <v>102</v>
      </c>
    </row>
    <row r="24" spans="1:5" x14ac:dyDescent="0.2">
      <c r="C24" s="51" t="s">
        <v>98</v>
      </c>
      <c r="D24" s="51" t="s">
        <v>104</v>
      </c>
    </row>
    <row r="25" spans="1:5" x14ac:dyDescent="0.2">
      <c r="C25" s="51" t="s">
        <v>99</v>
      </c>
      <c r="D25" s="51" t="s">
        <v>67</v>
      </c>
    </row>
    <row r="26" spans="1:5" x14ac:dyDescent="0.2">
      <c r="C26" s="51" t="s">
        <v>70</v>
      </c>
      <c r="D26" s="51" t="s">
        <v>48</v>
      </c>
    </row>
    <row r="27" spans="1:5" x14ac:dyDescent="0.2">
      <c r="C27" s="51" t="s">
        <v>71</v>
      </c>
      <c r="D27" s="51" t="s">
        <v>103</v>
      </c>
    </row>
    <row r="28" spans="1:5" x14ac:dyDescent="0.2">
      <c r="C28" s="51" t="s">
        <v>72</v>
      </c>
      <c r="D28" s="51" t="s">
        <v>105</v>
      </c>
    </row>
    <row r="29" spans="1:5" x14ac:dyDescent="0.2">
      <c r="C29" s="51" t="s">
        <v>75</v>
      </c>
      <c r="D29" s="51" t="s">
        <v>111</v>
      </c>
    </row>
    <row r="30" spans="1:5" x14ac:dyDescent="0.2">
      <c r="C30" s="51" t="s">
        <v>78</v>
      </c>
      <c r="D30" s="51" t="s">
        <v>79</v>
      </c>
    </row>
    <row r="31" spans="1:5" x14ac:dyDescent="0.2">
      <c r="C31" s="51" t="s">
        <v>81</v>
      </c>
      <c r="D31" s="51" t="s">
        <v>112</v>
      </c>
    </row>
    <row r="32" spans="1:5" x14ac:dyDescent="0.2">
      <c r="C32" s="51" t="s">
        <v>84</v>
      </c>
      <c r="D32" s="51" t="s">
        <v>76</v>
      </c>
    </row>
    <row r="33" spans="3:4" x14ac:dyDescent="0.2">
      <c r="C33" s="51"/>
      <c r="D33" s="51" t="s">
        <v>113</v>
      </c>
    </row>
    <row r="34" spans="3:4" x14ac:dyDescent="0.2">
      <c r="C34" s="51"/>
      <c r="D34" s="51" t="s">
        <v>114</v>
      </c>
    </row>
  </sheetData>
  <sheetProtection password="DE07" sheet="1" objects="1" scenarios="1"/>
  <mergeCells count="11">
    <mergeCell ref="A1:B2"/>
    <mergeCell ref="C1:D1"/>
    <mergeCell ref="D12:D13"/>
    <mergeCell ref="D10:D11"/>
    <mergeCell ref="D8:D9"/>
    <mergeCell ref="D6:D7"/>
    <mergeCell ref="D14:D15"/>
    <mergeCell ref="C14:C15"/>
    <mergeCell ref="A3:A5"/>
    <mergeCell ref="A6:A13"/>
    <mergeCell ref="A14:A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A1:E1195"/>
  <sheetViews>
    <sheetView zoomScale="95" zoomScaleNormal="95" workbookViewId="0">
      <selection activeCell="B1194" sqref="B1194"/>
    </sheetView>
  </sheetViews>
  <sheetFormatPr defaultColWidth="9.140625" defaultRowHeight="12.75" x14ac:dyDescent="0.2"/>
  <cols>
    <col min="1" max="4" width="35.7109375" style="4" customWidth="1"/>
    <col min="5" max="16384" width="9.140625" style="9"/>
  </cols>
  <sheetData>
    <row r="1" spans="1:5" ht="38.25" customHeight="1" x14ac:dyDescent="0.2">
      <c r="A1" s="8" t="s">
        <v>39</v>
      </c>
      <c r="B1" s="12" t="s">
        <v>35</v>
      </c>
      <c r="C1" s="8" t="s">
        <v>36</v>
      </c>
      <c r="D1" s="20" t="s">
        <v>115</v>
      </c>
    </row>
    <row r="2" spans="1:5" ht="12.75" customHeight="1" x14ac:dyDescent="0.2">
      <c r="A2" s="18">
        <v>25</v>
      </c>
      <c r="B2" s="18">
        <v>2</v>
      </c>
      <c r="C2" s="18">
        <v>50</v>
      </c>
      <c r="D2" s="19">
        <v>56</v>
      </c>
      <c r="E2" s="71"/>
    </row>
    <row r="3" spans="1:5" ht="12.75" customHeight="1" x14ac:dyDescent="0.2">
      <c r="A3" s="18">
        <v>25</v>
      </c>
      <c r="B3" s="18">
        <v>2</v>
      </c>
      <c r="C3" s="18">
        <v>60</v>
      </c>
      <c r="D3" s="19">
        <v>57.4</v>
      </c>
    </row>
    <row r="4" spans="1:5" ht="12.75" customHeight="1" x14ac:dyDescent="0.2">
      <c r="A4" s="18">
        <v>25</v>
      </c>
      <c r="B4" s="18">
        <v>2</v>
      </c>
      <c r="C4" s="18">
        <v>70</v>
      </c>
      <c r="D4" s="19">
        <v>58.8</v>
      </c>
    </row>
    <row r="5" spans="1:5" ht="12.75" customHeight="1" x14ac:dyDescent="0.2">
      <c r="A5" s="18">
        <v>25</v>
      </c>
      <c r="B5" s="18">
        <v>2</v>
      </c>
      <c r="C5" s="18">
        <v>80</v>
      </c>
      <c r="D5" s="19">
        <v>60.199999999999996</v>
      </c>
    </row>
    <row r="6" spans="1:5" ht="12.75" customHeight="1" x14ac:dyDescent="0.2">
      <c r="A6" s="18">
        <v>25</v>
      </c>
      <c r="B6" s="18">
        <v>2</v>
      </c>
      <c r="C6" s="18">
        <v>90</v>
      </c>
      <c r="D6" s="19">
        <v>61.599999999999994</v>
      </c>
    </row>
    <row r="7" spans="1:5" ht="12.75" customHeight="1" x14ac:dyDescent="0.2">
      <c r="A7" s="18">
        <v>25</v>
      </c>
      <c r="B7" s="18">
        <v>2</v>
      </c>
      <c r="C7" s="18">
        <v>100</v>
      </c>
      <c r="D7" s="19">
        <v>63</v>
      </c>
    </row>
    <row r="8" spans="1:5" ht="12.75" customHeight="1" x14ac:dyDescent="0.2">
      <c r="A8" s="18">
        <v>25</v>
      </c>
      <c r="B8" s="18">
        <v>2</v>
      </c>
      <c r="C8" s="18">
        <v>150</v>
      </c>
      <c r="D8" s="19">
        <v>67.25</v>
      </c>
    </row>
    <row r="9" spans="1:5" ht="12.75" customHeight="1" x14ac:dyDescent="0.2">
      <c r="A9" s="18">
        <v>25</v>
      </c>
      <c r="B9" s="18">
        <v>2</v>
      </c>
      <c r="C9" s="18">
        <v>200</v>
      </c>
      <c r="D9" s="19">
        <v>71.5</v>
      </c>
    </row>
    <row r="10" spans="1:5" ht="12.75" customHeight="1" x14ac:dyDescent="0.2">
      <c r="A10" s="18">
        <v>25</v>
      </c>
      <c r="B10" s="18">
        <v>2</v>
      </c>
      <c r="C10" s="18">
        <v>250</v>
      </c>
      <c r="D10" s="19">
        <v>75.75</v>
      </c>
    </row>
    <row r="11" spans="1:5" ht="12.75" customHeight="1" x14ac:dyDescent="0.2">
      <c r="A11" s="18">
        <v>25</v>
      </c>
      <c r="B11" s="18">
        <v>2</v>
      </c>
      <c r="C11" s="18">
        <v>300</v>
      </c>
      <c r="D11" s="19">
        <v>80</v>
      </c>
    </row>
    <row r="12" spans="1:5" ht="12.75" customHeight="1" x14ac:dyDescent="0.2">
      <c r="A12" s="18">
        <v>25</v>
      </c>
      <c r="B12" s="18">
        <v>2</v>
      </c>
      <c r="C12" s="18">
        <v>350</v>
      </c>
      <c r="D12" s="19">
        <v>83.5</v>
      </c>
    </row>
    <row r="13" spans="1:5" ht="12.75" customHeight="1" x14ac:dyDescent="0.2">
      <c r="A13" s="18">
        <v>25</v>
      </c>
      <c r="B13" s="18">
        <v>2</v>
      </c>
      <c r="C13" s="18">
        <v>400</v>
      </c>
      <c r="D13" s="19">
        <v>87</v>
      </c>
    </row>
    <row r="14" spans="1:5" ht="12.75" customHeight="1" x14ac:dyDescent="0.2">
      <c r="A14" s="18">
        <v>25</v>
      </c>
      <c r="B14" s="18">
        <v>2</v>
      </c>
      <c r="C14" s="18">
        <v>450</v>
      </c>
      <c r="D14" s="19">
        <v>90.5</v>
      </c>
    </row>
    <row r="15" spans="1:5" ht="12.75" customHeight="1" x14ac:dyDescent="0.2">
      <c r="A15" s="18">
        <v>25</v>
      </c>
      <c r="B15" s="18">
        <v>2</v>
      </c>
      <c r="C15" s="18">
        <v>500</v>
      </c>
      <c r="D15" s="19">
        <v>94</v>
      </c>
    </row>
    <row r="16" spans="1:5" ht="12.75" customHeight="1" x14ac:dyDescent="0.2">
      <c r="A16" s="18">
        <v>25</v>
      </c>
      <c r="B16" s="18">
        <v>2</v>
      </c>
      <c r="C16" s="18">
        <v>550</v>
      </c>
      <c r="D16" s="19">
        <v>96.9</v>
      </c>
    </row>
    <row r="17" spans="1:4" ht="12.75" customHeight="1" x14ac:dyDescent="0.2">
      <c r="A17" s="18">
        <v>25</v>
      </c>
      <c r="B17" s="18">
        <v>2</v>
      </c>
      <c r="C17" s="18">
        <v>600</v>
      </c>
      <c r="D17" s="19">
        <v>99.800000000000011</v>
      </c>
    </row>
    <row r="18" spans="1:4" ht="12.75" customHeight="1" x14ac:dyDescent="0.2">
      <c r="A18" s="18">
        <v>25</v>
      </c>
      <c r="B18" s="18">
        <v>2</v>
      </c>
      <c r="C18" s="18">
        <v>650</v>
      </c>
      <c r="D18" s="19">
        <v>102.70000000000002</v>
      </c>
    </row>
    <row r="19" spans="1:4" ht="12.75" customHeight="1" x14ac:dyDescent="0.2">
      <c r="A19" s="18">
        <v>25</v>
      </c>
      <c r="B19" s="18">
        <v>2</v>
      </c>
      <c r="C19" s="18">
        <v>700</v>
      </c>
      <c r="D19" s="19">
        <v>105.60000000000002</v>
      </c>
    </row>
    <row r="20" spans="1:4" ht="12.75" customHeight="1" x14ac:dyDescent="0.2">
      <c r="A20" s="18">
        <v>25</v>
      </c>
      <c r="B20" s="18">
        <v>2</v>
      </c>
      <c r="C20" s="18">
        <v>750</v>
      </c>
      <c r="D20" s="19">
        <v>108.50000000000003</v>
      </c>
    </row>
    <row r="21" spans="1:4" ht="12.75" customHeight="1" x14ac:dyDescent="0.2">
      <c r="A21" s="18">
        <v>25</v>
      </c>
      <c r="B21" s="18">
        <v>2</v>
      </c>
      <c r="C21" s="18">
        <v>800</v>
      </c>
      <c r="D21" s="19">
        <v>111.40000000000003</v>
      </c>
    </row>
    <row r="22" spans="1:4" ht="12.75" customHeight="1" x14ac:dyDescent="0.2">
      <c r="A22" s="18">
        <v>25</v>
      </c>
      <c r="B22" s="18">
        <v>2</v>
      </c>
      <c r="C22" s="18">
        <v>850</v>
      </c>
      <c r="D22" s="19">
        <v>114.30000000000004</v>
      </c>
    </row>
    <row r="23" spans="1:4" ht="12.75" customHeight="1" x14ac:dyDescent="0.2">
      <c r="A23" s="18">
        <v>25</v>
      </c>
      <c r="B23" s="18">
        <v>2</v>
      </c>
      <c r="C23" s="18">
        <v>900</v>
      </c>
      <c r="D23" s="19">
        <v>117.20000000000005</v>
      </c>
    </row>
    <row r="24" spans="1:4" ht="12.75" customHeight="1" x14ac:dyDescent="0.2">
      <c r="A24" s="18">
        <v>25</v>
      </c>
      <c r="B24" s="18">
        <v>2</v>
      </c>
      <c r="C24" s="18">
        <v>950</v>
      </c>
      <c r="D24" s="19">
        <v>120.10000000000005</v>
      </c>
    </row>
    <row r="25" spans="1:4" ht="12.75" customHeight="1" x14ac:dyDescent="0.2">
      <c r="A25" s="18">
        <v>25</v>
      </c>
      <c r="B25" s="18">
        <v>2</v>
      </c>
      <c r="C25" s="18">
        <v>1000</v>
      </c>
      <c r="D25" s="19">
        <v>123</v>
      </c>
    </row>
    <row r="26" spans="1:4" ht="12.75" customHeight="1" x14ac:dyDescent="0.2">
      <c r="A26" s="18">
        <v>25</v>
      </c>
      <c r="B26" s="18">
        <v>2</v>
      </c>
      <c r="C26" s="18">
        <v>1100</v>
      </c>
      <c r="D26" s="19">
        <v>128.1</v>
      </c>
    </row>
    <row r="27" spans="1:4" ht="12.75" customHeight="1" x14ac:dyDescent="0.2">
      <c r="A27" s="18">
        <v>25</v>
      </c>
      <c r="B27" s="18">
        <v>2</v>
      </c>
      <c r="C27" s="18">
        <v>1200</v>
      </c>
      <c r="D27" s="19">
        <v>133.19999999999999</v>
      </c>
    </row>
    <row r="28" spans="1:4" ht="12.75" customHeight="1" x14ac:dyDescent="0.2">
      <c r="A28" s="18">
        <v>25</v>
      </c>
      <c r="B28" s="18">
        <v>2</v>
      </c>
      <c r="C28" s="18">
        <v>1300</v>
      </c>
      <c r="D28" s="19">
        <v>138.29999999999998</v>
      </c>
    </row>
    <row r="29" spans="1:4" ht="12.75" customHeight="1" x14ac:dyDescent="0.2">
      <c r="A29" s="18">
        <v>25</v>
      </c>
      <c r="B29" s="18">
        <v>2</v>
      </c>
      <c r="C29" s="18">
        <v>1400</v>
      </c>
      <c r="D29" s="19">
        <v>143.39999999999998</v>
      </c>
    </row>
    <row r="30" spans="1:4" ht="12.75" customHeight="1" x14ac:dyDescent="0.2">
      <c r="A30" s="18">
        <v>25</v>
      </c>
      <c r="B30" s="18">
        <v>2</v>
      </c>
      <c r="C30" s="18">
        <v>1500</v>
      </c>
      <c r="D30" s="19">
        <v>148.49999999999997</v>
      </c>
    </row>
    <row r="31" spans="1:4" ht="12.75" customHeight="1" x14ac:dyDescent="0.2">
      <c r="A31" s="18">
        <v>25</v>
      </c>
      <c r="B31" s="18">
        <v>2</v>
      </c>
      <c r="C31" s="18">
        <v>1600</v>
      </c>
      <c r="D31" s="19">
        <v>153.59999999999997</v>
      </c>
    </row>
    <row r="32" spans="1:4" ht="12.75" customHeight="1" x14ac:dyDescent="0.2">
      <c r="A32" s="18">
        <v>25</v>
      </c>
      <c r="B32" s="18">
        <v>2</v>
      </c>
      <c r="C32" s="18">
        <v>1700</v>
      </c>
      <c r="D32" s="19">
        <v>158.69999999999996</v>
      </c>
    </row>
    <row r="33" spans="1:4" ht="12.75" customHeight="1" x14ac:dyDescent="0.2">
      <c r="A33" s="18">
        <v>25</v>
      </c>
      <c r="B33" s="18">
        <v>2</v>
      </c>
      <c r="C33" s="18">
        <v>1800</v>
      </c>
      <c r="D33" s="19">
        <v>163.79999999999995</v>
      </c>
    </row>
    <row r="34" spans="1:4" ht="12.75" customHeight="1" x14ac:dyDescent="0.2">
      <c r="A34" s="18">
        <v>25</v>
      </c>
      <c r="B34" s="18">
        <v>2</v>
      </c>
      <c r="C34" s="18">
        <v>1900</v>
      </c>
      <c r="D34" s="19">
        <v>168.89999999999995</v>
      </c>
    </row>
    <row r="35" spans="1:4" ht="12.75" customHeight="1" x14ac:dyDescent="0.2">
      <c r="A35" s="18">
        <v>25</v>
      </c>
      <c r="B35" s="18">
        <v>2</v>
      </c>
      <c r="C35" s="18">
        <v>2000</v>
      </c>
      <c r="D35" s="19">
        <v>174</v>
      </c>
    </row>
    <row r="36" spans="1:4" ht="12.75" customHeight="1" x14ac:dyDescent="0.2">
      <c r="A36" s="18">
        <v>25</v>
      </c>
      <c r="B36" s="18">
        <v>3</v>
      </c>
      <c r="C36" s="18">
        <v>50</v>
      </c>
      <c r="D36" s="19">
        <v>67</v>
      </c>
    </row>
    <row r="37" spans="1:4" ht="12.75" customHeight="1" x14ac:dyDescent="0.2">
      <c r="A37" s="18">
        <v>25</v>
      </c>
      <c r="B37" s="18">
        <v>3</v>
      </c>
      <c r="C37" s="18">
        <v>60</v>
      </c>
      <c r="D37" s="19">
        <v>69.599999999999994</v>
      </c>
    </row>
    <row r="38" spans="1:4" ht="12.75" customHeight="1" x14ac:dyDescent="0.2">
      <c r="A38" s="18">
        <v>25</v>
      </c>
      <c r="B38" s="18">
        <v>3</v>
      </c>
      <c r="C38" s="18">
        <v>70</v>
      </c>
      <c r="D38" s="19">
        <v>72.199999999999989</v>
      </c>
    </row>
    <row r="39" spans="1:4" ht="12.75" customHeight="1" x14ac:dyDescent="0.2">
      <c r="A39" s="18">
        <v>25</v>
      </c>
      <c r="B39" s="18">
        <v>3</v>
      </c>
      <c r="C39" s="18">
        <v>80</v>
      </c>
      <c r="D39" s="19">
        <v>74.799999999999983</v>
      </c>
    </row>
    <row r="40" spans="1:4" ht="12.75" customHeight="1" x14ac:dyDescent="0.2">
      <c r="A40" s="18">
        <v>25</v>
      </c>
      <c r="B40" s="18">
        <v>3</v>
      </c>
      <c r="C40" s="18">
        <v>90</v>
      </c>
      <c r="D40" s="19">
        <v>77.399999999999977</v>
      </c>
    </row>
    <row r="41" spans="1:4" ht="12.75" customHeight="1" x14ac:dyDescent="0.2">
      <c r="A41" s="18">
        <v>25</v>
      </c>
      <c r="B41" s="18">
        <v>3</v>
      </c>
      <c r="C41" s="18">
        <v>100</v>
      </c>
      <c r="D41" s="19">
        <v>80</v>
      </c>
    </row>
    <row r="42" spans="1:4" ht="12.75" customHeight="1" x14ac:dyDescent="0.2">
      <c r="A42" s="18">
        <v>25</v>
      </c>
      <c r="B42" s="18">
        <v>3</v>
      </c>
      <c r="C42" s="18">
        <v>150</v>
      </c>
      <c r="D42" s="19">
        <v>88.75</v>
      </c>
    </row>
    <row r="43" spans="1:4" ht="12.75" customHeight="1" x14ac:dyDescent="0.2">
      <c r="A43" s="18">
        <v>25</v>
      </c>
      <c r="B43" s="18">
        <v>3</v>
      </c>
      <c r="C43" s="18">
        <v>200</v>
      </c>
      <c r="D43" s="19">
        <v>97.5</v>
      </c>
    </row>
    <row r="44" spans="1:4" ht="12.75" customHeight="1" x14ac:dyDescent="0.2">
      <c r="A44" s="18">
        <v>25</v>
      </c>
      <c r="B44" s="18">
        <v>3</v>
      </c>
      <c r="C44" s="18">
        <v>250</v>
      </c>
      <c r="D44" s="19">
        <v>106.25</v>
      </c>
    </row>
    <row r="45" spans="1:4" ht="12.75" customHeight="1" x14ac:dyDescent="0.2">
      <c r="A45" s="18">
        <v>25</v>
      </c>
      <c r="B45" s="18">
        <v>3</v>
      </c>
      <c r="C45" s="18">
        <v>300</v>
      </c>
      <c r="D45" s="19">
        <v>115</v>
      </c>
    </row>
    <row r="46" spans="1:4" ht="12.75" customHeight="1" x14ac:dyDescent="0.2">
      <c r="A46" s="18">
        <v>25</v>
      </c>
      <c r="B46" s="18">
        <v>3</v>
      </c>
      <c r="C46" s="18">
        <v>350</v>
      </c>
      <c r="D46" s="19">
        <v>119.75</v>
      </c>
    </row>
    <row r="47" spans="1:4" ht="12.75" customHeight="1" x14ac:dyDescent="0.2">
      <c r="A47" s="18">
        <v>25</v>
      </c>
      <c r="B47" s="18">
        <v>3</v>
      </c>
      <c r="C47" s="18">
        <v>400</v>
      </c>
      <c r="D47" s="19">
        <v>124.5</v>
      </c>
    </row>
    <row r="48" spans="1:4" ht="12.75" customHeight="1" x14ac:dyDescent="0.2">
      <c r="A48" s="18">
        <v>25</v>
      </c>
      <c r="B48" s="18">
        <v>3</v>
      </c>
      <c r="C48" s="18">
        <v>450</v>
      </c>
      <c r="D48" s="19">
        <v>129.25</v>
      </c>
    </row>
    <row r="49" spans="1:4" ht="12.75" customHeight="1" x14ac:dyDescent="0.2">
      <c r="A49" s="18">
        <v>25</v>
      </c>
      <c r="B49" s="18">
        <v>3</v>
      </c>
      <c r="C49" s="18">
        <v>500</v>
      </c>
      <c r="D49" s="19">
        <v>134</v>
      </c>
    </row>
    <row r="50" spans="1:4" ht="12.75" customHeight="1" x14ac:dyDescent="0.2">
      <c r="A50" s="18">
        <v>25</v>
      </c>
      <c r="B50" s="18">
        <v>3</v>
      </c>
      <c r="C50" s="18">
        <v>550</v>
      </c>
      <c r="D50" s="19">
        <v>142.30000000000001</v>
      </c>
    </row>
    <row r="51" spans="1:4" ht="12.75" customHeight="1" x14ac:dyDescent="0.2">
      <c r="A51" s="18">
        <v>25</v>
      </c>
      <c r="B51" s="18">
        <v>3</v>
      </c>
      <c r="C51" s="18">
        <v>600</v>
      </c>
      <c r="D51" s="19">
        <v>150.60000000000002</v>
      </c>
    </row>
    <row r="52" spans="1:4" ht="12.75" customHeight="1" x14ac:dyDescent="0.2">
      <c r="A52" s="18">
        <v>25</v>
      </c>
      <c r="B52" s="18">
        <v>3</v>
      </c>
      <c r="C52" s="18">
        <v>650</v>
      </c>
      <c r="D52" s="19">
        <v>158.90000000000003</v>
      </c>
    </row>
    <row r="53" spans="1:4" ht="12.75" customHeight="1" x14ac:dyDescent="0.2">
      <c r="A53" s="18">
        <v>25</v>
      </c>
      <c r="B53" s="18">
        <v>3</v>
      </c>
      <c r="C53" s="18">
        <v>700</v>
      </c>
      <c r="D53" s="19">
        <v>167.20000000000005</v>
      </c>
    </row>
    <row r="54" spans="1:4" ht="12.75" customHeight="1" x14ac:dyDescent="0.2">
      <c r="A54" s="18">
        <v>25</v>
      </c>
      <c r="B54" s="18">
        <v>3</v>
      </c>
      <c r="C54" s="18">
        <v>750</v>
      </c>
      <c r="D54" s="19">
        <v>175.50000000000006</v>
      </c>
    </row>
    <row r="55" spans="1:4" ht="12.75" customHeight="1" x14ac:dyDescent="0.2">
      <c r="A55" s="18">
        <v>25</v>
      </c>
      <c r="B55" s="18">
        <v>3</v>
      </c>
      <c r="C55" s="18">
        <v>800</v>
      </c>
      <c r="D55" s="19">
        <v>183.80000000000007</v>
      </c>
    </row>
    <row r="56" spans="1:4" ht="12.75" customHeight="1" x14ac:dyDescent="0.2">
      <c r="A56" s="18">
        <v>25</v>
      </c>
      <c r="B56" s="18">
        <v>3</v>
      </c>
      <c r="C56" s="18">
        <v>850</v>
      </c>
      <c r="D56" s="19">
        <v>192.10000000000008</v>
      </c>
    </row>
    <row r="57" spans="1:4" ht="12.75" customHeight="1" x14ac:dyDescent="0.2">
      <c r="A57" s="18">
        <v>25</v>
      </c>
      <c r="B57" s="18">
        <v>3</v>
      </c>
      <c r="C57" s="18">
        <v>900</v>
      </c>
      <c r="D57" s="19">
        <v>200.40000000000009</v>
      </c>
    </row>
    <row r="58" spans="1:4" ht="12.75" customHeight="1" x14ac:dyDescent="0.2">
      <c r="A58" s="18">
        <v>25</v>
      </c>
      <c r="B58" s="18">
        <v>3</v>
      </c>
      <c r="C58" s="18">
        <v>950</v>
      </c>
      <c r="D58" s="19">
        <v>208.7000000000001</v>
      </c>
    </row>
    <row r="59" spans="1:4" ht="12.75" customHeight="1" x14ac:dyDescent="0.2">
      <c r="A59" s="18">
        <v>25</v>
      </c>
      <c r="B59" s="18">
        <v>3</v>
      </c>
      <c r="C59" s="18">
        <v>1000</v>
      </c>
      <c r="D59" s="19">
        <v>217</v>
      </c>
    </row>
    <row r="60" spans="1:4" ht="12.75" customHeight="1" x14ac:dyDescent="0.2">
      <c r="A60" s="18">
        <v>25</v>
      </c>
      <c r="B60" s="18">
        <v>3</v>
      </c>
      <c r="C60" s="18">
        <v>1100</v>
      </c>
      <c r="D60" s="19">
        <v>229.1</v>
      </c>
    </row>
    <row r="61" spans="1:4" ht="12.75" customHeight="1" x14ac:dyDescent="0.2">
      <c r="A61" s="18">
        <v>25</v>
      </c>
      <c r="B61" s="18">
        <v>3</v>
      </c>
      <c r="C61" s="18">
        <v>1200</v>
      </c>
      <c r="D61" s="19">
        <v>241.2</v>
      </c>
    </row>
    <row r="62" spans="1:4" ht="12.75" customHeight="1" x14ac:dyDescent="0.2">
      <c r="A62" s="18">
        <v>25</v>
      </c>
      <c r="B62" s="18">
        <v>3</v>
      </c>
      <c r="C62" s="18">
        <v>1300</v>
      </c>
      <c r="D62" s="19">
        <v>253.29999999999998</v>
      </c>
    </row>
    <row r="63" spans="1:4" ht="12.75" customHeight="1" x14ac:dyDescent="0.2">
      <c r="A63" s="18">
        <v>25</v>
      </c>
      <c r="B63" s="18">
        <v>3</v>
      </c>
      <c r="C63" s="18">
        <v>1400</v>
      </c>
      <c r="D63" s="19">
        <v>265.39999999999998</v>
      </c>
    </row>
    <row r="64" spans="1:4" ht="12.75" customHeight="1" x14ac:dyDescent="0.2">
      <c r="A64" s="18">
        <v>25</v>
      </c>
      <c r="B64" s="18">
        <v>3</v>
      </c>
      <c r="C64" s="18">
        <v>1500</v>
      </c>
      <c r="D64" s="19">
        <v>277.5</v>
      </c>
    </row>
    <row r="65" spans="1:4" ht="12.75" customHeight="1" x14ac:dyDescent="0.2">
      <c r="A65" s="18">
        <v>25</v>
      </c>
      <c r="B65" s="18">
        <v>3</v>
      </c>
      <c r="C65" s="18">
        <v>1600</v>
      </c>
      <c r="D65" s="19">
        <v>289.60000000000002</v>
      </c>
    </row>
    <row r="66" spans="1:4" ht="12.75" customHeight="1" x14ac:dyDescent="0.2">
      <c r="A66" s="18">
        <v>25</v>
      </c>
      <c r="B66" s="18">
        <v>3</v>
      </c>
      <c r="C66" s="18">
        <v>1700</v>
      </c>
      <c r="D66" s="19">
        <v>301.70000000000005</v>
      </c>
    </row>
    <row r="67" spans="1:4" ht="12.75" customHeight="1" x14ac:dyDescent="0.2">
      <c r="A67" s="18">
        <v>25</v>
      </c>
      <c r="B67" s="18">
        <v>3</v>
      </c>
      <c r="C67" s="18">
        <v>1800</v>
      </c>
      <c r="D67" s="19">
        <v>313.80000000000007</v>
      </c>
    </row>
    <row r="68" spans="1:4" ht="12.75" customHeight="1" x14ac:dyDescent="0.2">
      <c r="A68" s="18">
        <v>25</v>
      </c>
      <c r="B68" s="18">
        <v>3</v>
      </c>
      <c r="C68" s="18">
        <v>1900</v>
      </c>
      <c r="D68" s="19">
        <v>325.90000000000009</v>
      </c>
    </row>
    <row r="69" spans="1:4" ht="12.75" customHeight="1" x14ac:dyDescent="0.2">
      <c r="A69" s="18">
        <v>25</v>
      </c>
      <c r="B69" s="18">
        <v>3</v>
      </c>
      <c r="C69" s="18">
        <v>2000</v>
      </c>
      <c r="D69" s="19">
        <v>338</v>
      </c>
    </row>
    <row r="70" spans="1:4" ht="12.75" customHeight="1" x14ac:dyDescent="0.2">
      <c r="A70" s="18">
        <v>25</v>
      </c>
      <c r="B70" s="18">
        <v>4</v>
      </c>
      <c r="C70" s="18">
        <v>50</v>
      </c>
      <c r="D70" s="19">
        <v>81</v>
      </c>
    </row>
    <row r="71" spans="1:4" ht="12.75" customHeight="1" x14ac:dyDescent="0.2">
      <c r="A71" s="18">
        <v>25</v>
      </c>
      <c r="B71" s="18">
        <v>4</v>
      </c>
      <c r="C71" s="18">
        <v>60</v>
      </c>
      <c r="D71" s="19">
        <v>85</v>
      </c>
    </row>
    <row r="72" spans="1:4" ht="12.75" customHeight="1" x14ac:dyDescent="0.2">
      <c r="A72" s="18">
        <v>25</v>
      </c>
      <c r="B72" s="18">
        <v>4</v>
      </c>
      <c r="C72" s="18">
        <v>70</v>
      </c>
      <c r="D72" s="19">
        <v>89</v>
      </c>
    </row>
    <row r="73" spans="1:4" ht="12.75" customHeight="1" x14ac:dyDescent="0.2">
      <c r="A73" s="18">
        <v>25</v>
      </c>
      <c r="B73" s="18">
        <v>4</v>
      </c>
      <c r="C73" s="18">
        <v>80</v>
      </c>
      <c r="D73" s="19">
        <v>93</v>
      </c>
    </row>
    <row r="74" spans="1:4" ht="12.75" customHeight="1" x14ac:dyDescent="0.2">
      <c r="A74" s="18">
        <v>25</v>
      </c>
      <c r="B74" s="18">
        <v>4</v>
      </c>
      <c r="C74" s="18">
        <v>90</v>
      </c>
      <c r="D74" s="19">
        <v>97</v>
      </c>
    </row>
    <row r="75" spans="1:4" ht="12.75" customHeight="1" x14ac:dyDescent="0.2">
      <c r="A75" s="18">
        <v>25</v>
      </c>
      <c r="B75" s="18">
        <v>4</v>
      </c>
      <c r="C75" s="18">
        <v>100</v>
      </c>
      <c r="D75" s="19">
        <v>101</v>
      </c>
    </row>
    <row r="76" spans="1:4" ht="12.75" customHeight="1" x14ac:dyDescent="0.2">
      <c r="A76" s="18">
        <v>25</v>
      </c>
      <c r="B76" s="18">
        <v>4</v>
      </c>
      <c r="C76" s="18">
        <v>150</v>
      </c>
      <c r="D76" s="19">
        <v>116.25</v>
      </c>
    </row>
    <row r="77" spans="1:4" ht="12.75" customHeight="1" x14ac:dyDescent="0.2">
      <c r="A77" s="18">
        <v>25</v>
      </c>
      <c r="B77" s="18">
        <v>4</v>
      </c>
      <c r="C77" s="18">
        <v>200</v>
      </c>
      <c r="D77" s="19">
        <v>131.5</v>
      </c>
    </row>
    <row r="78" spans="1:4" ht="12.75" customHeight="1" x14ac:dyDescent="0.2">
      <c r="A78" s="18">
        <v>25</v>
      </c>
      <c r="B78" s="18">
        <v>4</v>
      </c>
      <c r="C78" s="18">
        <v>250</v>
      </c>
      <c r="D78" s="19">
        <v>146.75</v>
      </c>
    </row>
    <row r="79" spans="1:4" ht="12.75" customHeight="1" x14ac:dyDescent="0.2">
      <c r="A79" s="18">
        <v>25</v>
      </c>
      <c r="B79" s="18">
        <v>4</v>
      </c>
      <c r="C79" s="18">
        <v>300</v>
      </c>
      <c r="D79" s="19">
        <v>162</v>
      </c>
    </row>
    <row r="80" spans="1:4" ht="12.75" customHeight="1" x14ac:dyDescent="0.2">
      <c r="A80" s="18">
        <v>25</v>
      </c>
      <c r="B80" s="18">
        <v>4</v>
      </c>
      <c r="C80" s="18">
        <v>350</v>
      </c>
      <c r="D80" s="19">
        <v>176.25</v>
      </c>
    </row>
    <row r="81" spans="1:4" ht="12.75" customHeight="1" x14ac:dyDescent="0.2">
      <c r="A81" s="18">
        <v>25</v>
      </c>
      <c r="B81" s="18">
        <v>4</v>
      </c>
      <c r="C81" s="18">
        <v>400</v>
      </c>
      <c r="D81" s="19">
        <v>190.5</v>
      </c>
    </row>
    <row r="82" spans="1:4" ht="12.75" customHeight="1" x14ac:dyDescent="0.2">
      <c r="A82" s="18">
        <v>25</v>
      </c>
      <c r="B82" s="18">
        <v>4</v>
      </c>
      <c r="C82" s="18">
        <v>450</v>
      </c>
      <c r="D82" s="19">
        <v>204.75</v>
      </c>
    </row>
    <row r="83" spans="1:4" ht="12.75" customHeight="1" x14ac:dyDescent="0.2">
      <c r="A83" s="18">
        <v>25</v>
      </c>
      <c r="B83" s="18">
        <v>4</v>
      </c>
      <c r="C83" s="18">
        <v>500</v>
      </c>
      <c r="D83" s="19">
        <v>219</v>
      </c>
    </row>
    <row r="84" spans="1:4" ht="12.75" customHeight="1" x14ac:dyDescent="0.2">
      <c r="A84" s="18">
        <v>25</v>
      </c>
      <c r="B84" s="18">
        <v>4</v>
      </c>
      <c r="C84" s="18">
        <v>550</v>
      </c>
      <c r="D84" s="19">
        <v>231.7</v>
      </c>
    </row>
    <row r="85" spans="1:4" ht="12.75" customHeight="1" x14ac:dyDescent="0.2">
      <c r="A85" s="18">
        <v>25</v>
      </c>
      <c r="B85" s="18">
        <v>4</v>
      </c>
      <c r="C85" s="18">
        <v>600</v>
      </c>
      <c r="D85" s="19">
        <v>244.39999999999998</v>
      </c>
    </row>
    <row r="86" spans="1:4" ht="12.75" customHeight="1" x14ac:dyDescent="0.2">
      <c r="A86" s="18">
        <v>25</v>
      </c>
      <c r="B86" s="18">
        <v>4</v>
      </c>
      <c r="C86" s="18">
        <v>650</v>
      </c>
      <c r="D86" s="19">
        <v>257.09999999999997</v>
      </c>
    </row>
    <row r="87" spans="1:4" ht="12.75" customHeight="1" x14ac:dyDescent="0.2">
      <c r="A87" s="18">
        <v>25</v>
      </c>
      <c r="B87" s="18">
        <v>4</v>
      </c>
      <c r="C87" s="18">
        <v>700</v>
      </c>
      <c r="D87" s="19">
        <v>269.79999999999995</v>
      </c>
    </row>
    <row r="88" spans="1:4" ht="12.75" customHeight="1" x14ac:dyDescent="0.2">
      <c r="A88" s="18">
        <v>25</v>
      </c>
      <c r="B88" s="18">
        <v>4</v>
      </c>
      <c r="C88" s="18">
        <v>750</v>
      </c>
      <c r="D88" s="19">
        <v>282.49999999999994</v>
      </c>
    </row>
    <row r="89" spans="1:4" ht="12.75" customHeight="1" x14ac:dyDescent="0.2">
      <c r="A89" s="18">
        <v>25</v>
      </c>
      <c r="B89" s="18">
        <v>4</v>
      </c>
      <c r="C89" s="18">
        <v>800</v>
      </c>
      <c r="D89" s="19">
        <v>295.19999999999993</v>
      </c>
    </row>
    <row r="90" spans="1:4" ht="12.75" customHeight="1" x14ac:dyDescent="0.2">
      <c r="A90" s="18">
        <v>25</v>
      </c>
      <c r="B90" s="18">
        <v>4</v>
      </c>
      <c r="C90" s="18">
        <v>850</v>
      </c>
      <c r="D90" s="19">
        <v>307.89999999999992</v>
      </c>
    </row>
    <row r="91" spans="1:4" ht="12.75" customHeight="1" x14ac:dyDescent="0.2">
      <c r="A91" s="18">
        <v>25</v>
      </c>
      <c r="B91" s="18">
        <v>4</v>
      </c>
      <c r="C91" s="18">
        <v>900</v>
      </c>
      <c r="D91" s="19">
        <v>320.59999999999991</v>
      </c>
    </row>
    <row r="92" spans="1:4" ht="12.75" customHeight="1" x14ac:dyDescent="0.2">
      <c r="A92" s="18">
        <v>25</v>
      </c>
      <c r="B92" s="18">
        <v>4</v>
      </c>
      <c r="C92" s="18">
        <v>950</v>
      </c>
      <c r="D92" s="19">
        <v>333.2999999999999</v>
      </c>
    </row>
    <row r="93" spans="1:4" ht="12.75" customHeight="1" x14ac:dyDescent="0.2">
      <c r="A93" s="18">
        <v>25</v>
      </c>
      <c r="B93" s="18">
        <v>4</v>
      </c>
      <c r="C93" s="18">
        <v>1000</v>
      </c>
      <c r="D93" s="19">
        <v>346</v>
      </c>
    </row>
    <row r="94" spans="1:4" ht="12.75" customHeight="1" x14ac:dyDescent="0.2">
      <c r="A94" s="18">
        <v>25</v>
      </c>
      <c r="B94" s="18">
        <v>4</v>
      </c>
      <c r="C94" s="18">
        <v>1100</v>
      </c>
      <c r="D94" s="19">
        <v>368.1</v>
      </c>
    </row>
    <row r="95" spans="1:4" ht="12.75" customHeight="1" x14ac:dyDescent="0.2">
      <c r="A95" s="18">
        <v>25</v>
      </c>
      <c r="B95" s="18">
        <v>4</v>
      </c>
      <c r="C95" s="18">
        <v>1200</v>
      </c>
      <c r="D95" s="19">
        <v>390.20000000000005</v>
      </c>
    </row>
    <row r="96" spans="1:4" ht="12.75" customHeight="1" x14ac:dyDescent="0.2">
      <c r="A96" s="18">
        <v>25</v>
      </c>
      <c r="B96" s="18">
        <v>4</v>
      </c>
      <c r="C96" s="18">
        <v>1300</v>
      </c>
      <c r="D96" s="19">
        <v>412.30000000000007</v>
      </c>
    </row>
    <row r="97" spans="1:4" ht="12.75" customHeight="1" x14ac:dyDescent="0.2">
      <c r="A97" s="18">
        <v>25</v>
      </c>
      <c r="B97" s="18">
        <v>4</v>
      </c>
      <c r="C97" s="18">
        <v>1400</v>
      </c>
      <c r="D97" s="19">
        <v>434.40000000000009</v>
      </c>
    </row>
    <row r="98" spans="1:4" ht="12.75" customHeight="1" x14ac:dyDescent="0.2">
      <c r="A98" s="18">
        <v>25</v>
      </c>
      <c r="B98" s="18">
        <v>4</v>
      </c>
      <c r="C98" s="18">
        <v>1500</v>
      </c>
      <c r="D98" s="19">
        <v>456.50000000000011</v>
      </c>
    </row>
    <row r="99" spans="1:4" ht="12.75" customHeight="1" x14ac:dyDescent="0.2">
      <c r="A99" s="18">
        <v>25</v>
      </c>
      <c r="B99" s="18">
        <v>4</v>
      </c>
      <c r="C99" s="18">
        <v>1600</v>
      </c>
      <c r="D99" s="19">
        <v>478.60000000000014</v>
      </c>
    </row>
    <row r="100" spans="1:4" ht="12.75" customHeight="1" x14ac:dyDescent="0.2">
      <c r="A100" s="18">
        <v>25</v>
      </c>
      <c r="B100" s="18">
        <v>4</v>
      </c>
      <c r="C100" s="18">
        <v>1700</v>
      </c>
      <c r="D100" s="19">
        <v>500.70000000000016</v>
      </c>
    </row>
    <row r="101" spans="1:4" ht="12.75" customHeight="1" x14ac:dyDescent="0.2">
      <c r="A101" s="18">
        <v>25</v>
      </c>
      <c r="B101" s="18">
        <v>4</v>
      </c>
      <c r="C101" s="18">
        <v>1800</v>
      </c>
      <c r="D101" s="19">
        <v>522.80000000000018</v>
      </c>
    </row>
    <row r="102" spans="1:4" ht="12.75" customHeight="1" x14ac:dyDescent="0.2">
      <c r="A102" s="18">
        <v>25</v>
      </c>
      <c r="B102" s="18">
        <v>4</v>
      </c>
      <c r="C102" s="18">
        <v>1900</v>
      </c>
      <c r="D102" s="19">
        <v>544.9000000000002</v>
      </c>
    </row>
    <row r="103" spans="1:4" ht="12.75" customHeight="1" x14ac:dyDescent="0.2">
      <c r="A103" s="18">
        <v>25</v>
      </c>
      <c r="B103" s="18">
        <v>4</v>
      </c>
      <c r="C103" s="18">
        <v>2000</v>
      </c>
      <c r="D103" s="19">
        <v>567</v>
      </c>
    </row>
    <row r="104" spans="1:4" ht="12.75" customHeight="1" x14ac:dyDescent="0.2">
      <c r="A104" s="18">
        <v>25</v>
      </c>
      <c r="B104" s="18">
        <v>5</v>
      </c>
      <c r="C104" s="18">
        <v>50</v>
      </c>
      <c r="D104" s="19">
        <v>97</v>
      </c>
    </row>
    <row r="105" spans="1:4" ht="12.75" customHeight="1" x14ac:dyDescent="0.2">
      <c r="A105" s="18">
        <v>25</v>
      </c>
      <c r="B105" s="18">
        <v>5</v>
      </c>
      <c r="C105" s="18">
        <v>60</v>
      </c>
      <c r="D105" s="19">
        <v>102.8</v>
      </c>
    </row>
    <row r="106" spans="1:4" ht="12.75" customHeight="1" x14ac:dyDescent="0.2">
      <c r="A106" s="18">
        <v>25</v>
      </c>
      <c r="B106" s="18">
        <v>5</v>
      </c>
      <c r="C106" s="18">
        <v>70</v>
      </c>
      <c r="D106" s="19">
        <v>108.6</v>
      </c>
    </row>
    <row r="107" spans="1:4" ht="12.75" customHeight="1" x14ac:dyDescent="0.2">
      <c r="A107" s="18">
        <v>25</v>
      </c>
      <c r="B107" s="18">
        <v>5</v>
      </c>
      <c r="C107" s="18">
        <v>80</v>
      </c>
      <c r="D107" s="19">
        <v>114.39999999999999</v>
      </c>
    </row>
    <row r="108" spans="1:4" ht="12.75" customHeight="1" x14ac:dyDescent="0.2">
      <c r="A108" s="18">
        <v>25</v>
      </c>
      <c r="B108" s="18">
        <v>5</v>
      </c>
      <c r="C108" s="18">
        <v>90</v>
      </c>
      <c r="D108" s="19">
        <v>120.19999999999999</v>
      </c>
    </row>
    <row r="109" spans="1:4" ht="12.75" customHeight="1" x14ac:dyDescent="0.2">
      <c r="A109" s="18">
        <v>25</v>
      </c>
      <c r="B109" s="18">
        <v>5</v>
      </c>
      <c r="C109" s="18">
        <v>100</v>
      </c>
      <c r="D109" s="19">
        <v>126</v>
      </c>
    </row>
    <row r="110" spans="1:4" ht="12.75" customHeight="1" x14ac:dyDescent="0.2">
      <c r="A110" s="18">
        <v>25</v>
      </c>
      <c r="B110" s="18">
        <v>5</v>
      </c>
      <c r="C110" s="18">
        <v>150</v>
      </c>
      <c r="D110" s="19">
        <v>150.75</v>
      </c>
    </row>
    <row r="111" spans="1:4" ht="12.75" customHeight="1" x14ac:dyDescent="0.2">
      <c r="A111" s="18">
        <v>25</v>
      </c>
      <c r="B111" s="18">
        <v>5</v>
      </c>
      <c r="C111" s="18">
        <v>200</v>
      </c>
      <c r="D111" s="19">
        <v>175.5</v>
      </c>
    </row>
    <row r="112" spans="1:4" ht="12.75" customHeight="1" x14ac:dyDescent="0.2">
      <c r="A112" s="18">
        <v>25</v>
      </c>
      <c r="B112" s="18">
        <v>5</v>
      </c>
      <c r="C112" s="18">
        <v>250</v>
      </c>
      <c r="D112" s="19">
        <v>200.25</v>
      </c>
    </row>
    <row r="113" spans="1:4" ht="12.75" customHeight="1" x14ac:dyDescent="0.2">
      <c r="A113" s="18">
        <v>25</v>
      </c>
      <c r="B113" s="18">
        <v>5</v>
      </c>
      <c r="C113" s="18">
        <v>300</v>
      </c>
      <c r="D113" s="19">
        <v>225</v>
      </c>
    </row>
    <row r="114" spans="1:4" ht="12.75" customHeight="1" x14ac:dyDescent="0.2">
      <c r="A114" s="18">
        <v>25</v>
      </c>
      <c r="B114" s="18">
        <v>5</v>
      </c>
      <c r="C114" s="18">
        <v>350</v>
      </c>
      <c r="D114" s="19">
        <v>243.75</v>
      </c>
    </row>
    <row r="115" spans="1:4" ht="12.75" customHeight="1" x14ac:dyDescent="0.2">
      <c r="A115" s="18">
        <v>25</v>
      </c>
      <c r="B115" s="18">
        <v>5</v>
      </c>
      <c r="C115" s="18">
        <v>400</v>
      </c>
      <c r="D115" s="19">
        <v>262.5</v>
      </c>
    </row>
    <row r="116" spans="1:4" ht="12.75" customHeight="1" x14ac:dyDescent="0.2">
      <c r="A116" s="18">
        <v>25</v>
      </c>
      <c r="B116" s="18">
        <v>5</v>
      </c>
      <c r="C116" s="18">
        <v>450</v>
      </c>
      <c r="D116" s="19">
        <v>281.25</v>
      </c>
    </row>
    <row r="117" spans="1:4" ht="12.75" customHeight="1" x14ac:dyDescent="0.2">
      <c r="A117" s="18">
        <v>25</v>
      </c>
      <c r="B117" s="18">
        <v>5</v>
      </c>
      <c r="C117" s="18">
        <v>500</v>
      </c>
      <c r="D117" s="19">
        <v>300</v>
      </c>
    </row>
    <row r="118" spans="1:4" ht="12.75" customHeight="1" x14ac:dyDescent="0.2">
      <c r="A118" s="18">
        <v>25</v>
      </c>
      <c r="B118" s="18">
        <v>5</v>
      </c>
      <c r="C118" s="18">
        <v>550</v>
      </c>
      <c r="D118" s="19">
        <v>321.8</v>
      </c>
    </row>
    <row r="119" spans="1:4" ht="12.75" customHeight="1" x14ac:dyDescent="0.2">
      <c r="A119" s="18">
        <v>25</v>
      </c>
      <c r="B119" s="18">
        <v>5</v>
      </c>
      <c r="C119" s="18">
        <v>600</v>
      </c>
      <c r="D119" s="19">
        <v>343.6</v>
      </c>
    </row>
    <row r="120" spans="1:4" ht="12.75" customHeight="1" x14ac:dyDescent="0.2">
      <c r="A120" s="18">
        <v>25</v>
      </c>
      <c r="B120" s="18">
        <v>5</v>
      </c>
      <c r="C120" s="18">
        <v>650</v>
      </c>
      <c r="D120" s="19">
        <v>365.40000000000003</v>
      </c>
    </row>
    <row r="121" spans="1:4" ht="12.75" customHeight="1" x14ac:dyDescent="0.2">
      <c r="A121" s="18">
        <v>25</v>
      </c>
      <c r="B121" s="18">
        <v>5</v>
      </c>
      <c r="C121" s="18">
        <v>700</v>
      </c>
      <c r="D121" s="19">
        <v>387.20000000000005</v>
      </c>
    </row>
    <row r="122" spans="1:4" ht="12.75" customHeight="1" x14ac:dyDescent="0.2">
      <c r="A122" s="18">
        <v>25</v>
      </c>
      <c r="B122" s="18">
        <v>5</v>
      </c>
      <c r="C122" s="18">
        <v>750</v>
      </c>
      <c r="D122" s="19">
        <v>409.00000000000006</v>
      </c>
    </row>
    <row r="123" spans="1:4" ht="12.75" customHeight="1" x14ac:dyDescent="0.2">
      <c r="A123" s="18">
        <v>25</v>
      </c>
      <c r="B123" s="18">
        <v>5</v>
      </c>
      <c r="C123" s="18">
        <v>800</v>
      </c>
      <c r="D123" s="19">
        <v>430.80000000000007</v>
      </c>
    </row>
    <row r="124" spans="1:4" ht="12.75" customHeight="1" x14ac:dyDescent="0.2">
      <c r="A124" s="18">
        <v>25</v>
      </c>
      <c r="B124" s="18">
        <v>5</v>
      </c>
      <c r="C124" s="18">
        <v>850</v>
      </c>
      <c r="D124" s="19">
        <v>452.60000000000008</v>
      </c>
    </row>
    <row r="125" spans="1:4" ht="12.75" customHeight="1" x14ac:dyDescent="0.2">
      <c r="A125" s="18">
        <v>25</v>
      </c>
      <c r="B125" s="18">
        <v>5</v>
      </c>
      <c r="C125" s="18">
        <v>900</v>
      </c>
      <c r="D125" s="19">
        <v>474.40000000000009</v>
      </c>
    </row>
    <row r="126" spans="1:4" ht="12.75" customHeight="1" x14ac:dyDescent="0.2">
      <c r="A126" s="18">
        <v>25</v>
      </c>
      <c r="B126" s="18">
        <v>5</v>
      </c>
      <c r="C126" s="18">
        <v>950</v>
      </c>
      <c r="D126" s="19">
        <v>496.2000000000001</v>
      </c>
    </row>
    <row r="127" spans="1:4" ht="12.75" customHeight="1" x14ac:dyDescent="0.2">
      <c r="A127" s="18">
        <v>25</v>
      </c>
      <c r="B127" s="18">
        <v>5</v>
      </c>
      <c r="C127" s="18">
        <v>1000</v>
      </c>
      <c r="D127" s="19">
        <v>518</v>
      </c>
    </row>
    <row r="128" spans="1:4" ht="12.75" customHeight="1" x14ac:dyDescent="0.2">
      <c r="A128" s="18">
        <v>25</v>
      </c>
      <c r="B128" s="18">
        <v>5</v>
      </c>
      <c r="C128" s="18">
        <v>1100</v>
      </c>
      <c r="D128" s="19">
        <v>553.70000000000005</v>
      </c>
    </row>
    <row r="129" spans="1:4" ht="12.75" customHeight="1" x14ac:dyDescent="0.2">
      <c r="A129" s="18">
        <v>25</v>
      </c>
      <c r="B129" s="18">
        <v>5</v>
      </c>
      <c r="C129" s="18">
        <v>1200</v>
      </c>
      <c r="D129" s="19">
        <v>589.40000000000009</v>
      </c>
    </row>
    <row r="130" spans="1:4" ht="12.75" customHeight="1" x14ac:dyDescent="0.2">
      <c r="A130" s="18">
        <v>25</v>
      </c>
      <c r="B130" s="18">
        <v>5</v>
      </c>
      <c r="C130" s="18">
        <v>1300</v>
      </c>
      <c r="D130" s="19">
        <v>625.10000000000014</v>
      </c>
    </row>
    <row r="131" spans="1:4" ht="12.75" customHeight="1" x14ac:dyDescent="0.2">
      <c r="A131" s="18">
        <v>25</v>
      </c>
      <c r="B131" s="18">
        <v>5</v>
      </c>
      <c r="C131" s="18">
        <v>1400</v>
      </c>
      <c r="D131" s="19">
        <v>660.80000000000018</v>
      </c>
    </row>
    <row r="132" spans="1:4" ht="12.75" customHeight="1" x14ac:dyDescent="0.2">
      <c r="A132" s="18">
        <v>25</v>
      </c>
      <c r="B132" s="18">
        <v>5</v>
      </c>
      <c r="C132" s="18">
        <v>1500</v>
      </c>
      <c r="D132" s="19">
        <v>696.50000000000023</v>
      </c>
    </row>
    <row r="133" spans="1:4" ht="12.75" customHeight="1" x14ac:dyDescent="0.2">
      <c r="A133" s="18">
        <v>25</v>
      </c>
      <c r="B133" s="18">
        <v>5</v>
      </c>
      <c r="C133" s="18">
        <v>1600</v>
      </c>
      <c r="D133" s="19">
        <v>732.20000000000027</v>
      </c>
    </row>
    <row r="134" spans="1:4" ht="12.75" customHeight="1" x14ac:dyDescent="0.2">
      <c r="A134" s="18">
        <v>25</v>
      </c>
      <c r="B134" s="18">
        <v>5</v>
      </c>
      <c r="C134" s="18">
        <v>1700</v>
      </c>
      <c r="D134" s="19">
        <v>767.90000000000032</v>
      </c>
    </row>
    <row r="135" spans="1:4" ht="12.75" customHeight="1" x14ac:dyDescent="0.2">
      <c r="A135" s="18">
        <v>25</v>
      </c>
      <c r="B135" s="18">
        <v>5</v>
      </c>
      <c r="C135" s="18">
        <v>1800</v>
      </c>
      <c r="D135" s="19">
        <v>803.60000000000036</v>
      </c>
    </row>
    <row r="136" spans="1:4" ht="12.75" customHeight="1" x14ac:dyDescent="0.2">
      <c r="A136" s="18">
        <v>25</v>
      </c>
      <c r="B136" s="18">
        <v>5</v>
      </c>
      <c r="C136" s="18">
        <v>1900</v>
      </c>
      <c r="D136" s="19">
        <v>839.30000000000041</v>
      </c>
    </row>
    <row r="137" spans="1:4" ht="12.75" customHeight="1" x14ac:dyDescent="0.2">
      <c r="A137" s="18">
        <v>25</v>
      </c>
      <c r="B137" s="18">
        <v>5</v>
      </c>
      <c r="C137" s="18">
        <v>2000</v>
      </c>
      <c r="D137" s="19">
        <v>875</v>
      </c>
    </row>
    <row r="138" spans="1:4" ht="12.75" customHeight="1" x14ac:dyDescent="0.2">
      <c r="A138" s="18">
        <v>25</v>
      </c>
      <c r="B138" s="18">
        <v>6</v>
      </c>
      <c r="C138" s="18">
        <v>50</v>
      </c>
      <c r="D138" s="19">
        <v>115</v>
      </c>
    </row>
    <row r="139" spans="1:4" ht="12.75" customHeight="1" x14ac:dyDescent="0.2">
      <c r="A139" s="18">
        <v>25</v>
      </c>
      <c r="B139" s="18">
        <v>6</v>
      </c>
      <c r="C139" s="18">
        <v>60</v>
      </c>
      <c r="D139" s="19">
        <v>123.4</v>
      </c>
    </row>
    <row r="140" spans="1:4" ht="12.75" customHeight="1" x14ac:dyDescent="0.2">
      <c r="A140" s="18">
        <v>25</v>
      </c>
      <c r="B140" s="18">
        <v>6</v>
      </c>
      <c r="C140" s="18">
        <v>70</v>
      </c>
      <c r="D140" s="19">
        <v>131.80000000000001</v>
      </c>
    </row>
    <row r="141" spans="1:4" ht="12.75" customHeight="1" x14ac:dyDescent="0.2">
      <c r="A141" s="18">
        <v>25</v>
      </c>
      <c r="B141" s="18">
        <v>6</v>
      </c>
      <c r="C141" s="18">
        <v>80</v>
      </c>
      <c r="D141" s="19">
        <v>140.20000000000002</v>
      </c>
    </row>
    <row r="142" spans="1:4" ht="12.75" customHeight="1" x14ac:dyDescent="0.2">
      <c r="A142" s="18">
        <v>25</v>
      </c>
      <c r="B142" s="18">
        <v>6</v>
      </c>
      <c r="C142" s="18">
        <v>90</v>
      </c>
      <c r="D142" s="19">
        <v>148.60000000000002</v>
      </c>
    </row>
    <row r="143" spans="1:4" ht="12.75" customHeight="1" x14ac:dyDescent="0.2">
      <c r="A143" s="18">
        <v>25</v>
      </c>
      <c r="B143" s="18">
        <v>6</v>
      </c>
      <c r="C143" s="18">
        <v>100</v>
      </c>
      <c r="D143" s="19">
        <v>157</v>
      </c>
    </row>
    <row r="144" spans="1:4" ht="12.75" customHeight="1" x14ac:dyDescent="0.2">
      <c r="A144" s="18">
        <v>25</v>
      </c>
      <c r="B144" s="18">
        <v>6</v>
      </c>
      <c r="C144" s="18">
        <v>150</v>
      </c>
      <c r="D144" s="19">
        <v>192.75</v>
      </c>
    </row>
    <row r="145" spans="1:4" ht="12.75" customHeight="1" x14ac:dyDescent="0.2">
      <c r="A145" s="18">
        <v>25</v>
      </c>
      <c r="B145" s="18">
        <v>6</v>
      </c>
      <c r="C145" s="18">
        <v>200</v>
      </c>
      <c r="D145" s="19">
        <v>228.5</v>
      </c>
    </row>
    <row r="146" spans="1:4" ht="12.75" customHeight="1" x14ac:dyDescent="0.2">
      <c r="A146" s="18">
        <v>25</v>
      </c>
      <c r="B146" s="18">
        <v>6</v>
      </c>
      <c r="C146" s="18">
        <v>250</v>
      </c>
      <c r="D146" s="19">
        <v>264.25</v>
      </c>
    </row>
    <row r="147" spans="1:4" ht="12.75" customHeight="1" x14ac:dyDescent="0.2">
      <c r="A147" s="18">
        <v>25</v>
      </c>
      <c r="B147" s="18">
        <v>6</v>
      </c>
      <c r="C147" s="18">
        <v>300</v>
      </c>
      <c r="D147" s="19">
        <v>300</v>
      </c>
    </row>
    <row r="148" spans="1:4" ht="12.75" customHeight="1" x14ac:dyDescent="0.2">
      <c r="A148" s="18">
        <v>25</v>
      </c>
      <c r="B148" s="18">
        <v>6</v>
      </c>
      <c r="C148" s="18">
        <v>350</v>
      </c>
      <c r="D148" s="19">
        <v>333</v>
      </c>
    </row>
    <row r="149" spans="1:4" ht="12.75" customHeight="1" x14ac:dyDescent="0.2">
      <c r="A149" s="18">
        <v>25</v>
      </c>
      <c r="B149" s="18">
        <v>6</v>
      </c>
      <c r="C149" s="18">
        <v>400</v>
      </c>
      <c r="D149" s="19">
        <v>366</v>
      </c>
    </row>
    <row r="150" spans="1:4" ht="12.75" customHeight="1" x14ac:dyDescent="0.2">
      <c r="A150" s="18">
        <v>25</v>
      </c>
      <c r="B150" s="18">
        <v>6</v>
      </c>
      <c r="C150" s="18">
        <v>450</v>
      </c>
      <c r="D150" s="19">
        <v>399</v>
      </c>
    </row>
    <row r="151" spans="1:4" ht="12.75" customHeight="1" x14ac:dyDescent="0.2">
      <c r="A151" s="18">
        <v>25</v>
      </c>
      <c r="B151" s="18">
        <v>6</v>
      </c>
      <c r="C151" s="18">
        <v>500</v>
      </c>
      <c r="D151" s="19">
        <v>432</v>
      </c>
    </row>
    <row r="152" spans="1:4" ht="12.75" customHeight="1" x14ac:dyDescent="0.2">
      <c r="A152" s="18">
        <v>25</v>
      </c>
      <c r="B152" s="18">
        <v>6</v>
      </c>
      <c r="C152" s="18">
        <v>550</v>
      </c>
      <c r="D152" s="19">
        <v>462.7</v>
      </c>
    </row>
    <row r="153" spans="1:4" ht="12.75" customHeight="1" x14ac:dyDescent="0.2">
      <c r="A153" s="18">
        <v>25</v>
      </c>
      <c r="B153" s="18">
        <v>6</v>
      </c>
      <c r="C153" s="18">
        <v>600</v>
      </c>
      <c r="D153" s="19">
        <v>493.4</v>
      </c>
    </row>
    <row r="154" spans="1:4" ht="12.75" customHeight="1" x14ac:dyDescent="0.2">
      <c r="A154" s="18">
        <v>25</v>
      </c>
      <c r="B154" s="18">
        <v>6</v>
      </c>
      <c r="C154" s="18">
        <v>650</v>
      </c>
      <c r="D154" s="19">
        <v>524.1</v>
      </c>
    </row>
    <row r="155" spans="1:4" ht="12.75" customHeight="1" x14ac:dyDescent="0.2">
      <c r="A155" s="18">
        <v>25</v>
      </c>
      <c r="B155" s="18">
        <v>6</v>
      </c>
      <c r="C155" s="18">
        <v>700</v>
      </c>
      <c r="D155" s="19">
        <v>554.80000000000007</v>
      </c>
    </row>
    <row r="156" spans="1:4" ht="12.75" customHeight="1" x14ac:dyDescent="0.2">
      <c r="A156" s="18">
        <v>25</v>
      </c>
      <c r="B156" s="18">
        <v>6</v>
      </c>
      <c r="C156" s="18">
        <v>750</v>
      </c>
      <c r="D156" s="19">
        <v>585.50000000000011</v>
      </c>
    </row>
    <row r="157" spans="1:4" ht="12.75" customHeight="1" x14ac:dyDescent="0.2">
      <c r="A157" s="18">
        <v>25</v>
      </c>
      <c r="B157" s="18">
        <v>6</v>
      </c>
      <c r="C157" s="18">
        <v>800</v>
      </c>
      <c r="D157" s="19">
        <v>616.20000000000016</v>
      </c>
    </row>
    <row r="158" spans="1:4" ht="12.75" customHeight="1" x14ac:dyDescent="0.2">
      <c r="A158" s="18">
        <v>25</v>
      </c>
      <c r="B158" s="18">
        <v>6</v>
      </c>
      <c r="C158" s="18">
        <v>850</v>
      </c>
      <c r="D158" s="19">
        <v>646.9000000000002</v>
      </c>
    </row>
    <row r="159" spans="1:4" ht="12.75" customHeight="1" x14ac:dyDescent="0.2">
      <c r="A159" s="18">
        <v>25</v>
      </c>
      <c r="B159" s="18">
        <v>6</v>
      </c>
      <c r="C159" s="18">
        <v>900</v>
      </c>
      <c r="D159" s="19">
        <v>677.60000000000025</v>
      </c>
    </row>
    <row r="160" spans="1:4" ht="12.75" customHeight="1" x14ac:dyDescent="0.2">
      <c r="A160" s="18">
        <v>25</v>
      </c>
      <c r="B160" s="18">
        <v>6</v>
      </c>
      <c r="C160" s="18">
        <v>950</v>
      </c>
      <c r="D160" s="19">
        <v>708.3000000000003</v>
      </c>
    </row>
    <row r="161" spans="1:4" ht="12.75" customHeight="1" x14ac:dyDescent="0.2">
      <c r="A161" s="18">
        <v>25</v>
      </c>
      <c r="B161" s="18">
        <v>6</v>
      </c>
      <c r="C161" s="18">
        <v>1000</v>
      </c>
      <c r="D161" s="19">
        <v>739</v>
      </c>
    </row>
    <row r="162" spans="1:4" ht="12.75" customHeight="1" x14ac:dyDescent="0.2">
      <c r="A162" s="18">
        <v>25</v>
      </c>
      <c r="B162" s="18">
        <v>6</v>
      </c>
      <c r="C162" s="18">
        <v>1100</v>
      </c>
      <c r="D162" s="19">
        <v>792.3</v>
      </c>
    </row>
    <row r="163" spans="1:4" ht="12.75" customHeight="1" x14ac:dyDescent="0.2">
      <c r="A163" s="18">
        <v>25</v>
      </c>
      <c r="B163" s="18">
        <v>6</v>
      </c>
      <c r="C163" s="18">
        <v>1200</v>
      </c>
      <c r="D163" s="19">
        <v>845.59999999999991</v>
      </c>
    </row>
    <row r="164" spans="1:4" ht="12.75" customHeight="1" x14ac:dyDescent="0.2">
      <c r="A164" s="18">
        <v>25</v>
      </c>
      <c r="B164" s="18">
        <v>6</v>
      </c>
      <c r="C164" s="18">
        <v>1300</v>
      </c>
      <c r="D164" s="19">
        <v>898.89999999999986</v>
      </c>
    </row>
    <row r="165" spans="1:4" ht="12.75" customHeight="1" x14ac:dyDescent="0.2">
      <c r="A165" s="18">
        <v>25</v>
      </c>
      <c r="B165" s="18">
        <v>6</v>
      </c>
      <c r="C165" s="18">
        <v>1400</v>
      </c>
      <c r="D165" s="19">
        <v>952.19999999999982</v>
      </c>
    </row>
    <row r="166" spans="1:4" ht="12.75" customHeight="1" x14ac:dyDescent="0.2">
      <c r="A166" s="18">
        <v>25</v>
      </c>
      <c r="B166" s="18">
        <v>6</v>
      </c>
      <c r="C166" s="18">
        <v>1500</v>
      </c>
      <c r="D166" s="19">
        <v>1005.4999999999998</v>
      </c>
    </row>
    <row r="167" spans="1:4" ht="12.75" customHeight="1" x14ac:dyDescent="0.2">
      <c r="A167" s="18">
        <v>25</v>
      </c>
      <c r="B167" s="18">
        <v>6</v>
      </c>
      <c r="C167" s="18">
        <v>1600</v>
      </c>
      <c r="D167" s="19">
        <v>1058.7999999999997</v>
      </c>
    </row>
    <row r="168" spans="1:4" ht="12.75" customHeight="1" x14ac:dyDescent="0.2">
      <c r="A168" s="18">
        <v>25</v>
      </c>
      <c r="B168" s="18">
        <v>6</v>
      </c>
      <c r="C168" s="18">
        <v>1700</v>
      </c>
      <c r="D168" s="19">
        <v>1112.0999999999997</v>
      </c>
    </row>
    <row r="169" spans="1:4" ht="12.75" customHeight="1" x14ac:dyDescent="0.2">
      <c r="A169" s="18">
        <v>25</v>
      </c>
      <c r="B169" s="18">
        <v>6</v>
      </c>
      <c r="C169" s="18">
        <v>1800</v>
      </c>
      <c r="D169" s="19">
        <v>1165.3999999999996</v>
      </c>
    </row>
    <row r="170" spans="1:4" ht="12.75" customHeight="1" x14ac:dyDescent="0.2">
      <c r="A170" s="18">
        <v>25</v>
      </c>
      <c r="B170" s="18">
        <v>6</v>
      </c>
      <c r="C170" s="18">
        <v>1900</v>
      </c>
      <c r="D170" s="19">
        <v>1218.6999999999996</v>
      </c>
    </row>
    <row r="171" spans="1:4" ht="12.75" customHeight="1" x14ac:dyDescent="0.2">
      <c r="A171" s="18">
        <v>25</v>
      </c>
      <c r="B171" s="18">
        <v>6</v>
      </c>
      <c r="C171" s="18">
        <v>2000</v>
      </c>
      <c r="D171" s="19">
        <v>1272</v>
      </c>
    </row>
    <row r="172" spans="1:4" ht="12.75" customHeight="1" x14ac:dyDescent="0.2">
      <c r="A172" s="18">
        <v>50</v>
      </c>
      <c r="B172" s="18">
        <v>2</v>
      </c>
      <c r="C172" s="18">
        <v>50</v>
      </c>
      <c r="D172" s="19">
        <v>81</v>
      </c>
    </row>
    <row r="173" spans="1:4" ht="12.75" customHeight="1" x14ac:dyDescent="0.2">
      <c r="A173" s="18">
        <v>50</v>
      </c>
      <c r="B173" s="18">
        <v>2</v>
      </c>
      <c r="C173" s="18">
        <v>60</v>
      </c>
      <c r="D173" s="19">
        <v>82.4</v>
      </c>
    </row>
    <row r="174" spans="1:4" ht="12.75" customHeight="1" x14ac:dyDescent="0.2">
      <c r="A174" s="18">
        <v>50</v>
      </c>
      <c r="B174" s="18">
        <v>2</v>
      </c>
      <c r="C174" s="18">
        <v>70</v>
      </c>
      <c r="D174" s="19">
        <v>83.800000000000011</v>
      </c>
    </row>
    <row r="175" spans="1:4" ht="12.75" customHeight="1" x14ac:dyDescent="0.2">
      <c r="A175" s="18">
        <v>50</v>
      </c>
      <c r="B175" s="18">
        <v>2</v>
      </c>
      <c r="C175" s="18">
        <v>80</v>
      </c>
      <c r="D175" s="19">
        <v>85.200000000000017</v>
      </c>
    </row>
    <row r="176" spans="1:4" ht="12.75" customHeight="1" x14ac:dyDescent="0.2">
      <c r="A176" s="18">
        <v>50</v>
      </c>
      <c r="B176" s="18">
        <v>2</v>
      </c>
      <c r="C176" s="18">
        <v>90</v>
      </c>
      <c r="D176" s="19">
        <v>86.600000000000023</v>
      </c>
    </row>
    <row r="177" spans="1:4" ht="12.75" customHeight="1" x14ac:dyDescent="0.2">
      <c r="A177" s="18">
        <v>50</v>
      </c>
      <c r="B177" s="18">
        <v>2</v>
      </c>
      <c r="C177" s="18">
        <v>100</v>
      </c>
      <c r="D177" s="19">
        <v>88</v>
      </c>
    </row>
    <row r="178" spans="1:4" ht="12.75" customHeight="1" x14ac:dyDescent="0.2">
      <c r="A178" s="18">
        <v>50</v>
      </c>
      <c r="B178" s="18">
        <v>2</v>
      </c>
      <c r="C178" s="18">
        <v>150</v>
      </c>
      <c r="D178" s="19">
        <v>92.25</v>
      </c>
    </row>
    <row r="179" spans="1:4" ht="12.75" customHeight="1" x14ac:dyDescent="0.2">
      <c r="A179" s="18">
        <v>50</v>
      </c>
      <c r="B179" s="18">
        <v>2</v>
      </c>
      <c r="C179" s="18">
        <v>200</v>
      </c>
      <c r="D179" s="19">
        <v>96.5</v>
      </c>
    </row>
    <row r="180" spans="1:4" ht="12.75" customHeight="1" x14ac:dyDescent="0.2">
      <c r="A180" s="18">
        <v>50</v>
      </c>
      <c r="B180" s="18">
        <v>2</v>
      </c>
      <c r="C180" s="18">
        <v>250</v>
      </c>
      <c r="D180" s="19">
        <v>100.75</v>
      </c>
    </row>
    <row r="181" spans="1:4" ht="12.75" customHeight="1" x14ac:dyDescent="0.2">
      <c r="A181" s="18">
        <v>50</v>
      </c>
      <c r="B181" s="18">
        <v>2</v>
      </c>
      <c r="C181" s="18">
        <v>300</v>
      </c>
      <c r="D181" s="19">
        <v>105</v>
      </c>
    </row>
    <row r="182" spans="1:4" ht="12.75" customHeight="1" x14ac:dyDescent="0.2">
      <c r="A182" s="18">
        <v>50</v>
      </c>
      <c r="B182" s="18">
        <v>2</v>
      </c>
      <c r="C182" s="18">
        <v>350</v>
      </c>
      <c r="D182" s="19">
        <v>108.5</v>
      </c>
    </row>
    <row r="183" spans="1:4" ht="12.75" customHeight="1" x14ac:dyDescent="0.2">
      <c r="A183" s="18">
        <v>50</v>
      </c>
      <c r="B183" s="18">
        <v>2</v>
      </c>
      <c r="C183" s="18">
        <v>400</v>
      </c>
      <c r="D183" s="19">
        <v>112</v>
      </c>
    </row>
    <row r="184" spans="1:4" ht="12.75" customHeight="1" x14ac:dyDescent="0.2">
      <c r="A184" s="18">
        <v>50</v>
      </c>
      <c r="B184" s="18">
        <v>2</v>
      </c>
      <c r="C184" s="18">
        <v>450</v>
      </c>
      <c r="D184" s="19">
        <v>115.5</v>
      </c>
    </row>
    <row r="185" spans="1:4" ht="12.75" customHeight="1" x14ac:dyDescent="0.2">
      <c r="A185" s="18">
        <v>50</v>
      </c>
      <c r="B185" s="18">
        <v>2</v>
      </c>
      <c r="C185" s="18">
        <v>500</v>
      </c>
      <c r="D185" s="19">
        <v>119</v>
      </c>
    </row>
    <row r="186" spans="1:4" ht="12.75" customHeight="1" x14ac:dyDescent="0.2">
      <c r="A186" s="18">
        <v>50</v>
      </c>
      <c r="B186" s="18">
        <v>2</v>
      </c>
      <c r="C186" s="18">
        <v>550</v>
      </c>
      <c r="D186" s="19">
        <v>121.9</v>
      </c>
    </row>
    <row r="187" spans="1:4" ht="12.75" customHeight="1" x14ac:dyDescent="0.2">
      <c r="A187" s="18">
        <v>50</v>
      </c>
      <c r="B187" s="18">
        <v>2</v>
      </c>
      <c r="C187" s="18">
        <v>600</v>
      </c>
      <c r="D187" s="19">
        <v>124.80000000000001</v>
      </c>
    </row>
    <row r="188" spans="1:4" ht="12.75" customHeight="1" x14ac:dyDescent="0.2">
      <c r="A188" s="18">
        <v>50</v>
      </c>
      <c r="B188" s="18">
        <v>2</v>
      </c>
      <c r="C188" s="18">
        <v>650</v>
      </c>
      <c r="D188" s="19">
        <v>127.70000000000002</v>
      </c>
    </row>
    <row r="189" spans="1:4" ht="12.75" customHeight="1" x14ac:dyDescent="0.2">
      <c r="A189" s="18">
        <v>50</v>
      </c>
      <c r="B189" s="18">
        <v>2</v>
      </c>
      <c r="C189" s="18">
        <v>700</v>
      </c>
      <c r="D189" s="19">
        <v>130.60000000000002</v>
      </c>
    </row>
    <row r="190" spans="1:4" ht="12.75" customHeight="1" x14ac:dyDescent="0.2">
      <c r="A190" s="18">
        <v>50</v>
      </c>
      <c r="B190" s="18">
        <v>2</v>
      </c>
      <c r="C190" s="18">
        <v>750</v>
      </c>
      <c r="D190" s="19">
        <v>133.50000000000003</v>
      </c>
    </row>
    <row r="191" spans="1:4" ht="12.75" customHeight="1" x14ac:dyDescent="0.2">
      <c r="A191" s="18">
        <v>50</v>
      </c>
      <c r="B191" s="18">
        <v>2</v>
      </c>
      <c r="C191" s="18">
        <v>800</v>
      </c>
      <c r="D191" s="19">
        <v>136.40000000000003</v>
      </c>
    </row>
    <row r="192" spans="1:4" ht="12.75" customHeight="1" x14ac:dyDescent="0.2">
      <c r="A192" s="18">
        <v>50</v>
      </c>
      <c r="B192" s="18">
        <v>2</v>
      </c>
      <c r="C192" s="18">
        <v>850</v>
      </c>
      <c r="D192" s="19">
        <v>139.30000000000004</v>
      </c>
    </row>
    <row r="193" spans="1:4" ht="12.75" customHeight="1" x14ac:dyDescent="0.2">
      <c r="A193" s="18">
        <v>50</v>
      </c>
      <c r="B193" s="18">
        <v>2</v>
      </c>
      <c r="C193" s="18">
        <v>900</v>
      </c>
      <c r="D193" s="19">
        <v>142.20000000000005</v>
      </c>
    </row>
    <row r="194" spans="1:4" ht="12.75" customHeight="1" x14ac:dyDescent="0.2">
      <c r="A194" s="18">
        <v>50</v>
      </c>
      <c r="B194" s="18">
        <v>2</v>
      </c>
      <c r="C194" s="18">
        <v>950</v>
      </c>
      <c r="D194" s="19">
        <v>145.10000000000005</v>
      </c>
    </row>
    <row r="195" spans="1:4" ht="12.75" customHeight="1" x14ac:dyDescent="0.2">
      <c r="A195" s="18">
        <v>50</v>
      </c>
      <c r="B195" s="18">
        <v>2</v>
      </c>
      <c r="C195" s="18">
        <v>1000</v>
      </c>
      <c r="D195" s="19">
        <v>148</v>
      </c>
    </row>
    <row r="196" spans="1:4" ht="12.75" customHeight="1" x14ac:dyDescent="0.2">
      <c r="A196" s="18">
        <v>50</v>
      </c>
      <c r="B196" s="18">
        <v>2</v>
      </c>
      <c r="C196" s="18">
        <v>1100</v>
      </c>
      <c r="D196" s="19">
        <v>153.1</v>
      </c>
    </row>
    <row r="197" spans="1:4" ht="12.75" customHeight="1" x14ac:dyDescent="0.2">
      <c r="A197" s="18">
        <v>50</v>
      </c>
      <c r="B197" s="18">
        <v>2</v>
      </c>
      <c r="C197" s="18">
        <v>1200</v>
      </c>
      <c r="D197" s="19">
        <v>158.19999999999999</v>
      </c>
    </row>
    <row r="198" spans="1:4" ht="12.75" customHeight="1" x14ac:dyDescent="0.2">
      <c r="A198" s="18">
        <v>50</v>
      </c>
      <c r="B198" s="18">
        <v>2</v>
      </c>
      <c r="C198" s="18">
        <v>1300</v>
      </c>
      <c r="D198" s="19">
        <v>163.29999999999998</v>
      </c>
    </row>
    <row r="199" spans="1:4" ht="12.75" customHeight="1" x14ac:dyDescent="0.2">
      <c r="A199" s="18">
        <v>50</v>
      </c>
      <c r="B199" s="18">
        <v>2</v>
      </c>
      <c r="C199" s="18">
        <v>1400</v>
      </c>
      <c r="D199" s="19">
        <v>168.39999999999998</v>
      </c>
    </row>
    <row r="200" spans="1:4" ht="12.75" customHeight="1" x14ac:dyDescent="0.2">
      <c r="A200" s="18">
        <v>50</v>
      </c>
      <c r="B200" s="18">
        <v>2</v>
      </c>
      <c r="C200" s="18">
        <v>1500</v>
      </c>
      <c r="D200" s="19">
        <v>173.49999999999997</v>
      </c>
    </row>
    <row r="201" spans="1:4" ht="12.75" customHeight="1" x14ac:dyDescent="0.2">
      <c r="A201" s="18">
        <v>50</v>
      </c>
      <c r="B201" s="18">
        <v>2</v>
      </c>
      <c r="C201" s="18">
        <v>1600</v>
      </c>
      <c r="D201" s="19">
        <v>178.59999999999997</v>
      </c>
    </row>
    <row r="202" spans="1:4" ht="12.75" customHeight="1" x14ac:dyDescent="0.2">
      <c r="A202" s="18">
        <v>50</v>
      </c>
      <c r="B202" s="18">
        <v>2</v>
      </c>
      <c r="C202" s="18">
        <v>1700</v>
      </c>
      <c r="D202" s="19">
        <v>183.69999999999996</v>
      </c>
    </row>
    <row r="203" spans="1:4" ht="12.75" customHeight="1" x14ac:dyDescent="0.2">
      <c r="A203" s="18">
        <v>50</v>
      </c>
      <c r="B203" s="18">
        <v>2</v>
      </c>
      <c r="C203" s="18">
        <v>1800</v>
      </c>
      <c r="D203" s="19">
        <v>188.79999999999995</v>
      </c>
    </row>
    <row r="204" spans="1:4" ht="12.75" customHeight="1" x14ac:dyDescent="0.2">
      <c r="A204" s="18">
        <v>50</v>
      </c>
      <c r="B204" s="18">
        <v>2</v>
      </c>
      <c r="C204" s="18">
        <v>1900</v>
      </c>
      <c r="D204" s="19">
        <v>193.89999999999995</v>
      </c>
    </row>
    <row r="205" spans="1:4" ht="12.75" customHeight="1" x14ac:dyDescent="0.2">
      <c r="A205" s="18">
        <v>50</v>
      </c>
      <c r="B205" s="18">
        <v>2</v>
      </c>
      <c r="C205" s="18">
        <v>2000</v>
      </c>
      <c r="D205" s="19">
        <v>199</v>
      </c>
    </row>
    <row r="206" spans="1:4" ht="12.75" customHeight="1" x14ac:dyDescent="0.2">
      <c r="A206" s="18">
        <v>50</v>
      </c>
      <c r="B206" s="18">
        <v>3</v>
      </c>
      <c r="C206" s="18">
        <v>50</v>
      </c>
      <c r="D206" s="19">
        <v>92</v>
      </c>
    </row>
    <row r="207" spans="1:4" ht="12.75" customHeight="1" x14ac:dyDescent="0.2">
      <c r="A207" s="18">
        <v>50</v>
      </c>
      <c r="B207" s="18">
        <v>3</v>
      </c>
      <c r="C207" s="18">
        <v>60</v>
      </c>
      <c r="D207" s="19">
        <v>94.6</v>
      </c>
    </row>
    <row r="208" spans="1:4" ht="12.75" customHeight="1" x14ac:dyDescent="0.2">
      <c r="A208" s="18">
        <v>50</v>
      </c>
      <c r="B208" s="18">
        <v>3</v>
      </c>
      <c r="C208" s="18">
        <v>70</v>
      </c>
      <c r="D208" s="19">
        <v>97.199999999999989</v>
      </c>
    </row>
    <row r="209" spans="1:4" ht="12.75" customHeight="1" x14ac:dyDescent="0.2">
      <c r="A209" s="18">
        <v>50</v>
      </c>
      <c r="B209" s="18">
        <v>3</v>
      </c>
      <c r="C209" s="18">
        <v>80</v>
      </c>
      <c r="D209" s="19">
        <v>99.799999999999983</v>
      </c>
    </row>
    <row r="210" spans="1:4" ht="12.75" customHeight="1" x14ac:dyDescent="0.2">
      <c r="A210" s="18">
        <v>50</v>
      </c>
      <c r="B210" s="18">
        <v>3</v>
      </c>
      <c r="C210" s="18">
        <v>90</v>
      </c>
      <c r="D210" s="19">
        <v>102.39999999999998</v>
      </c>
    </row>
    <row r="211" spans="1:4" ht="12.75" customHeight="1" x14ac:dyDescent="0.2">
      <c r="A211" s="18">
        <v>50</v>
      </c>
      <c r="B211" s="18">
        <v>3</v>
      </c>
      <c r="C211" s="18">
        <v>100</v>
      </c>
      <c r="D211" s="19">
        <v>105</v>
      </c>
    </row>
    <row r="212" spans="1:4" ht="12.75" customHeight="1" x14ac:dyDescent="0.2">
      <c r="A212" s="18">
        <v>50</v>
      </c>
      <c r="B212" s="18">
        <v>3</v>
      </c>
      <c r="C212" s="18">
        <v>150</v>
      </c>
      <c r="D212" s="19">
        <v>113.75</v>
      </c>
    </row>
    <row r="213" spans="1:4" ht="12.75" customHeight="1" x14ac:dyDescent="0.2">
      <c r="A213" s="18">
        <v>50</v>
      </c>
      <c r="B213" s="18">
        <v>3</v>
      </c>
      <c r="C213" s="18">
        <v>200</v>
      </c>
      <c r="D213" s="19">
        <v>122.5</v>
      </c>
    </row>
    <row r="214" spans="1:4" ht="12.75" customHeight="1" x14ac:dyDescent="0.2">
      <c r="A214" s="18">
        <v>50</v>
      </c>
      <c r="B214" s="18">
        <v>3</v>
      </c>
      <c r="C214" s="18">
        <v>250</v>
      </c>
      <c r="D214" s="19">
        <v>131.25</v>
      </c>
    </row>
    <row r="215" spans="1:4" ht="12.75" customHeight="1" x14ac:dyDescent="0.2">
      <c r="A215" s="18">
        <v>50</v>
      </c>
      <c r="B215" s="18">
        <v>3</v>
      </c>
      <c r="C215" s="18">
        <v>300</v>
      </c>
      <c r="D215" s="19">
        <v>140</v>
      </c>
    </row>
    <row r="216" spans="1:4" ht="12.75" customHeight="1" x14ac:dyDescent="0.2">
      <c r="A216" s="18">
        <v>50</v>
      </c>
      <c r="B216" s="18">
        <v>3</v>
      </c>
      <c r="C216" s="18">
        <v>350</v>
      </c>
      <c r="D216" s="19">
        <v>144.75</v>
      </c>
    </row>
    <row r="217" spans="1:4" ht="12.75" customHeight="1" x14ac:dyDescent="0.2">
      <c r="A217" s="18">
        <v>50</v>
      </c>
      <c r="B217" s="18">
        <v>3</v>
      </c>
      <c r="C217" s="18">
        <v>400</v>
      </c>
      <c r="D217" s="19">
        <v>149.5</v>
      </c>
    </row>
    <row r="218" spans="1:4" ht="12.75" customHeight="1" x14ac:dyDescent="0.2">
      <c r="A218" s="18">
        <v>50</v>
      </c>
      <c r="B218" s="18">
        <v>3</v>
      </c>
      <c r="C218" s="18">
        <v>450</v>
      </c>
      <c r="D218" s="19">
        <v>154.25</v>
      </c>
    </row>
    <row r="219" spans="1:4" ht="12.75" customHeight="1" x14ac:dyDescent="0.2">
      <c r="A219" s="18">
        <v>50</v>
      </c>
      <c r="B219" s="18">
        <v>3</v>
      </c>
      <c r="C219" s="18">
        <v>500</v>
      </c>
      <c r="D219" s="19">
        <v>159</v>
      </c>
    </row>
    <row r="220" spans="1:4" ht="12.75" customHeight="1" x14ac:dyDescent="0.2">
      <c r="A220" s="18">
        <v>50</v>
      </c>
      <c r="B220" s="18">
        <v>3</v>
      </c>
      <c r="C220" s="18">
        <v>550</v>
      </c>
      <c r="D220" s="19">
        <v>167.3</v>
      </c>
    </row>
    <row r="221" spans="1:4" ht="12.75" customHeight="1" x14ac:dyDescent="0.2">
      <c r="A221" s="18">
        <v>50</v>
      </c>
      <c r="B221" s="18">
        <v>3</v>
      </c>
      <c r="C221" s="18">
        <v>600</v>
      </c>
      <c r="D221" s="19">
        <v>175.60000000000002</v>
      </c>
    </row>
    <row r="222" spans="1:4" ht="12.75" customHeight="1" x14ac:dyDescent="0.2">
      <c r="A222" s="18">
        <v>50</v>
      </c>
      <c r="B222" s="18">
        <v>3</v>
      </c>
      <c r="C222" s="18">
        <v>650</v>
      </c>
      <c r="D222" s="19">
        <v>183.90000000000003</v>
      </c>
    </row>
    <row r="223" spans="1:4" ht="12.75" customHeight="1" x14ac:dyDescent="0.2">
      <c r="A223" s="18">
        <v>50</v>
      </c>
      <c r="B223" s="18">
        <v>3</v>
      </c>
      <c r="C223" s="18">
        <v>700</v>
      </c>
      <c r="D223" s="19">
        <v>192.20000000000005</v>
      </c>
    </row>
    <row r="224" spans="1:4" ht="12.75" customHeight="1" x14ac:dyDescent="0.2">
      <c r="A224" s="18">
        <v>50</v>
      </c>
      <c r="B224" s="18">
        <v>3</v>
      </c>
      <c r="C224" s="18">
        <v>750</v>
      </c>
      <c r="D224" s="19">
        <v>200.50000000000006</v>
      </c>
    </row>
    <row r="225" spans="1:4" ht="12.75" customHeight="1" x14ac:dyDescent="0.2">
      <c r="A225" s="18">
        <v>50</v>
      </c>
      <c r="B225" s="18">
        <v>3</v>
      </c>
      <c r="C225" s="18">
        <v>800</v>
      </c>
      <c r="D225" s="19">
        <v>208.80000000000007</v>
      </c>
    </row>
    <row r="226" spans="1:4" ht="12.75" customHeight="1" x14ac:dyDescent="0.2">
      <c r="A226" s="18">
        <v>50</v>
      </c>
      <c r="B226" s="18">
        <v>3</v>
      </c>
      <c r="C226" s="18">
        <v>850</v>
      </c>
      <c r="D226" s="19">
        <v>217.10000000000008</v>
      </c>
    </row>
    <row r="227" spans="1:4" ht="12.75" customHeight="1" x14ac:dyDescent="0.2">
      <c r="A227" s="18">
        <v>50</v>
      </c>
      <c r="B227" s="18">
        <v>3</v>
      </c>
      <c r="C227" s="18">
        <v>900</v>
      </c>
      <c r="D227" s="19">
        <v>225.40000000000009</v>
      </c>
    </row>
    <row r="228" spans="1:4" ht="12.75" customHeight="1" x14ac:dyDescent="0.2">
      <c r="A228" s="18">
        <v>50</v>
      </c>
      <c r="B228" s="18">
        <v>3</v>
      </c>
      <c r="C228" s="18">
        <v>950</v>
      </c>
      <c r="D228" s="19">
        <v>233.7000000000001</v>
      </c>
    </row>
    <row r="229" spans="1:4" ht="12.75" customHeight="1" x14ac:dyDescent="0.2">
      <c r="A229" s="18">
        <v>50</v>
      </c>
      <c r="B229" s="18">
        <v>3</v>
      </c>
      <c r="C229" s="18">
        <v>1000</v>
      </c>
      <c r="D229" s="19">
        <v>242</v>
      </c>
    </row>
    <row r="230" spans="1:4" ht="12.75" customHeight="1" x14ac:dyDescent="0.2">
      <c r="A230" s="18">
        <v>50</v>
      </c>
      <c r="B230" s="18">
        <v>3</v>
      </c>
      <c r="C230" s="18">
        <v>1100</v>
      </c>
      <c r="D230" s="19">
        <v>254.1</v>
      </c>
    </row>
    <row r="231" spans="1:4" ht="12.75" customHeight="1" x14ac:dyDescent="0.2">
      <c r="A231" s="18">
        <v>50</v>
      </c>
      <c r="B231" s="18">
        <v>3</v>
      </c>
      <c r="C231" s="18">
        <v>1200</v>
      </c>
      <c r="D231" s="19">
        <v>266.2</v>
      </c>
    </row>
    <row r="232" spans="1:4" ht="12.75" customHeight="1" x14ac:dyDescent="0.2">
      <c r="A232" s="18">
        <v>50</v>
      </c>
      <c r="B232" s="18">
        <v>3</v>
      </c>
      <c r="C232" s="18">
        <v>1300</v>
      </c>
      <c r="D232" s="19">
        <v>278.3</v>
      </c>
    </row>
    <row r="233" spans="1:4" ht="12.75" customHeight="1" x14ac:dyDescent="0.2">
      <c r="A233" s="18">
        <v>50</v>
      </c>
      <c r="B233" s="18">
        <v>3</v>
      </c>
      <c r="C233" s="18">
        <v>1400</v>
      </c>
      <c r="D233" s="19">
        <v>290.40000000000003</v>
      </c>
    </row>
    <row r="234" spans="1:4" ht="12.75" customHeight="1" x14ac:dyDescent="0.2">
      <c r="A234" s="18">
        <v>50</v>
      </c>
      <c r="B234" s="18">
        <v>3</v>
      </c>
      <c r="C234" s="18">
        <v>1500</v>
      </c>
      <c r="D234" s="19">
        <v>302.50000000000006</v>
      </c>
    </row>
    <row r="235" spans="1:4" ht="12.75" customHeight="1" x14ac:dyDescent="0.2">
      <c r="A235" s="18">
        <v>50</v>
      </c>
      <c r="B235" s="18">
        <v>3</v>
      </c>
      <c r="C235" s="18">
        <v>1600</v>
      </c>
      <c r="D235" s="19">
        <v>314.60000000000008</v>
      </c>
    </row>
    <row r="236" spans="1:4" ht="12.75" customHeight="1" x14ac:dyDescent="0.2">
      <c r="A236" s="18">
        <v>50</v>
      </c>
      <c r="B236" s="18">
        <v>3</v>
      </c>
      <c r="C236" s="18">
        <v>1700</v>
      </c>
      <c r="D236" s="19">
        <v>326.7000000000001</v>
      </c>
    </row>
    <row r="237" spans="1:4" ht="12.75" customHeight="1" x14ac:dyDescent="0.2">
      <c r="A237" s="18">
        <v>50</v>
      </c>
      <c r="B237" s="18">
        <v>3</v>
      </c>
      <c r="C237" s="18">
        <v>1800</v>
      </c>
      <c r="D237" s="19">
        <v>338.80000000000013</v>
      </c>
    </row>
    <row r="238" spans="1:4" ht="12.75" customHeight="1" x14ac:dyDescent="0.2">
      <c r="A238" s="18">
        <v>50</v>
      </c>
      <c r="B238" s="18">
        <v>3</v>
      </c>
      <c r="C238" s="18">
        <v>1900</v>
      </c>
      <c r="D238" s="19">
        <v>350.90000000000015</v>
      </c>
    </row>
    <row r="239" spans="1:4" ht="12.75" customHeight="1" x14ac:dyDescent="0.2">
      <c r="A239" s="18">
        <v>50</v>
      </c>
      <c r="B239" s="18">
        <v>3</v>
      </c>
      <c r="C239" s="18">
        <v>2000</v>
      </c>
      <c r="D239" s="19">
        <v>363</v>
      </c>
    </row>
    <row r="240" spans="1:4" ht="12.75" customHeight="1" x14ac:dyDescent="0.2">
      <c r="A240" s="18">
        <v>50</v>
      </c>
      <c r="B240" s="18">
        <v>4</v>
      </c>
      <c r="C240" s="18">
        <v>50</v>
      </c>
      <c r="D240" s="19">
        <v>106</v>
      </c>
    </row>
    <row r="241" spans="1:4" ht="12.75" customHeight="1" x14ac:dyDescent="0.2">
      <c r="A241" s="18">
        <v>50</v>
      </c>
      <c r="B241" s="18">
        <v>4</v>
      </c>
      <c r="C241" s="18">
        <v>60</v>
      </c>
      <c r="D241" s="19">
        <v>110</v>
      </c>
    </row>
    <row r="242" spans="1:4" ht="12.75" customHeight="1" x14ac:dyDescent="0.2">
      <c r="A242" s="18">
        <v>50</v>
      </c>
      <c r="B242" s="18">
        <v>4</v>
      </c>
      <c r="C242" s="18">
        <v>70</v>
      </c>
      <c r="D242" s="19">
        <v>114</v>
      </c>
    </row>
    <row r="243" spans="1:4" ht="12.75" customHeight="1" x14ac:dyDescent="0.2">
      <c r="A243" s="18">
        <v>50</v>
      </c>
      <c r="B243" s="18">
        <v>4</v>
      </c>
      <c r="C243" s="18">
        <v>80</v>
      </c>
      <c r="D243" s="19">
        <v>118</v>
      </c>
    </row>
    <row r="244" spans="1:4" ht="12.75" customHeight="1" x14ac:dyDescent="0.2">
      <c r="A244" s="18">
        <v>50</v>
      </c>
      <c r="B244" s="18">
        <v>4</v>
      </c>
      <c r="C244" s="18">
        <v>90</v>
      </c>
      <c r="D244" s="19">
        <v>122</v>
      </c>
    </row>
    <row r="245" spans="1:4" ht="12.75" customHeight="1" x14ac:dyDescent="0.2">
      <c r="A245" s="18">
        <v>50</v>
      </c>
      <c r="B245" s="18">
        <v>4</v>
      </c>
      <c r="C245" s="18">
        <v>100</v>
      </c>
      <c r="D245" s="19">
        <v>126</v>
      </c>
    </row>
    <row r="246" spans="1:4" ht="12.75" customHeight="1" x14ac:dyDescent="0.2">
      <c r="A246" s="18">
        <v>50</v>
      </c>
      <c r="B246" s="18">
        <v>4</v>
      </c>
      <c r="C246" s="18">
        <v>150</v>
      </c>
      <c r="D246" s="19">
        <v>141.25</v>
      </c>
    </row>
    <row r="247" spans="1:4" ht="12.75" customHeight="1" x14ac:dyDescent="0.2">
      <c r="A247" s="18">
        <v>50</v>
      </c>
      <c r="B247" s="18">
        <v>4</v>
      </c>
      <c r="C247" s="18">
        <v>200</v>
      </c>
      <c r="D247" s="19">
        <v>156.5</v>
      </c>
    </row>
    <row r="248" spans="1:4" ht="12.75" customHeight="1" x14ac:dyDescent="0.2">
      <c r="A248" s="18">
        <v>50</v>
      </c>
      <c r="B248" s="18">
        <v>4</v>
      </c>
      <c r="C248" s="18">
        <v>250</v>
      </c>
      <c r="D248" s="19">
        <v>171.75</v>
      </c>
    </row>
    <row r="249" spans="1:4" ht="12.75" customHeight="1" x14ac:dyDescent="0.2">
      <c r="A249" s="18">
        <v>50</v>
      </c>
      <c r="B249" s="18">
        <v>4</v>
      </c>
      <c r="C249" s="18">
        <v>300</v>
      </c>
      <c r="D249" s="19">
        <v>187</v>
      </c>
    </row>
    <row r="250" spans="1:4" ht="12.75" customHeight="1" x14ac:dyDescent="0.2">
      <c r="A250" s="18">
        <v>50</v>
      </c>
      <c r="B250" s="18">
        <v>4</v>
      </c>
      <c r="C250" s="18">
        <v>350</v>
      </c>
      <c r="D250" s="19">
        <v>201.25</v>
      </c>
    </row>
    <row r="251" spans="1:4" ht="12.75" customHeight="1" x14ac:dyDescent="0.2">
      <c r="A251" s="18">
        <v>50</v>
      </c>
      <c r="B251" s="18">
        <v>4</v>
      </c>
      <c r="C251" s="18">
        <v>400</v>
      </c>
      <c r="D251" s="19">
        <v>215.5</v>
      </c>
    </row>
    <row r="252" spans="1:4" ht="12.75" customHeight="1" x14ac:dyDescent="0.2">
      <c r="A252" s="18">
        <v>50</v>
      </c>
      <c r="B252" s="18">
        <v>4</v>
      </c>
      <c r="C252" s="18">
        <v>450</v>
      </c>
      <c r="D252" s="19">
        <v>229.75</v>
      </c>
    </row>
    <row r="253" spans="1:4" ht="12.75" customHeight="1" x14ac:dyDescent="0.2">
      <c r="A253" s="18">
        <v>50</v>
      </c>
      <c r="B253" s="18">
        <v>4</v>
      </c>
      <c r="C253" s="18">
        <v>500</v>
      </c>
      <c r="D253" s="19">
        <v>244</v>
      </c>
    </row>
    <row r="254" spans="1:4" ht="12.75" customHeight="1" x14ac:dyDescent="0.2">
      <c r="A254" s="18">
        <v>50</v>
      </c>
      <c r="B254" s="18">
        <v>4</v>
      </c>
      <c r="C254" s="18">
        <v>550</v>
      </c>
      <c r="D254" s="19">
        <v>256.7</v>
      </c>
    </row>
    <row r="255" spans="1:4" ht="12.75" customHeight="1" x14ac:dyDescent="0.2">
      <c r="A255" s="18">
        <v>50</v>
      </c>
      <c r="B255" s="18">
        <v>4</v>
      </c>
      <c r="C255" s="18">
        <v>600</v>
      </c>
      <c r="D255" s="19">
        <v>269.39999999999998</v>
      </c>
    </row>
    <row r="256" spans="1:4" ht="12.75" customHeight="1" x14ac:dyDescent="0.2">
      <c r="A256" s="18">
        <v>50</v>
      </c>
      <c r="B256" s="18">
        <v>4</v>
      </c>
      <c r="C256" s="18">
        <v>650</v>
      </c>
      <c r="D256" s="19">
        <v>282.09999999999997</v>
      </c>
    </row>
    <row r="257" spans="1:4" ht="12.75" customHeight="1" x14ac:dyDescent="0.2">
      <c r="A257" s="18">
        <v>50</v>
      </c>
      <c r="B257" s="18">
        <v>4</v>
      </c>
      <c r="C257" s="18">
        <v>700</v>
      </c>
      <c r="D257" s="19">
        <v>294.79999999999995</v>
      </c>
    </row>
    <row r="258" spans="1:4" ht="12.75" customHeight="1" x14ac:dyDescent="0.2">
      <c r="A258" s="18">
        <v>50</v>
      </c>
      <c r="B258" s="18">
        <v>4</v>
      </c>
      <c r="C258" s="18">
        <v>750</v>
      </c>
      <c r="D258" s="19">
        <v>307.49999999999994</v>
      </c>
    </row>
    <row r="259" spans="1:4" ht="12.75" customHeight="1" x14ac:dyDescent="0.2">
      <c r="A259" s="18">
        <v>50</v>
      </c>
      <c r="B259" s="18">
        <v>4</v>
      </c>
      <c r="C259" s="18">
        <v>800</v>
      </c>
      <c r="D259" s="19">
        <v>320.19999999999993</v>
      </c>
    </row>
    <row r="260" spans="1:4" ht="12.75" customHeight="1" x14ac:dyDescent="0.2">
      <c r="A260" s="18">
        <v>50</v>
      </c>
      <c r="B260" s="18">
        <v>4</v>
      </c>
      <c r="C260" s="18">
        <v>850</v>
      </c>
      <c r="D260" s="19">
        <v>332.89999999999992</v>
      </c>
    </row>
    <row r="261" spans="1:4" ht="12.75" customHeight="1" x14ac:dyDescent="0.2">
      <c r="A261" s="18">
        <v>50</v>
      </c>
      <c r="B261" s="18">
        <v>4</v>
      </c>
      <c r="C261" s="18">
        <v>900</v>
      </c>
      <c r="D261" s="19">
        <v>345.59999999999991</v>
      </c>
    </row>
    <row r="262" spans="1:4" ht="12.75" customHeight="1" x14ac:dyDescent="0.2">
      <c r="A262" s="18">
        <v>50</v>
      </c>
      <c r="B262" s="18">
        <v>4</v>
      </c>
      <c r="C262" s="18">
        <v>950</v>
      </c>
      <c r="D262" s="19">
        <v>358.2999999999999</v>
      </c>
    </row>
    <row r="263" spans="1:4" ht="12.75" customHeight="1" x14ac:dyDescent="0.2">
      <c r="A263" s="18">
        <v>50</v>
      </c>
      <c r="B263" s="18">
        <v>4</v>
      </c>
      <c r="C263" s="18">
        <v>1000</v>
      </c>
      <c r="D263" s="19">
        <v>371</v>
      </c>
    </row>
    <row r="264" spans="1:4" ht="12.75" customHeight="1" x14ac:dyDescent="0.2">
      <c r="A264" s="18">
        <v>50</v>
      </c>
      <c r="B264" s="18">
        <v>4</v>
      </c>
      <c r="C264" s="18">
        <v>1100</v>
      </c>
      <c r="D264" s="19">
        <v>393.1</v>
      </c>
    </row>
    <row r="265" spans="1:4" ht="12.75" customHeight="1" x14ac:dyDescent="0.2">
      <c r="A265" s="18">
        <v>50</v>
      </c>
      <c r="B265" s="18">
        <v>4</v>
      </c>
      <c r="C265" s="18">
        <v>1200</v>
      </c>
      <c r="D265" s="19">
        <v>415.20000000000005</v>
      </c>
    </row>
    <row r="266" spans="1:4" ht="12.75" customHeight="1" x14ac:dyDescent="0.2">
      <c r="A266" s="18">
        <v>50</v>
      </c>
      <c r="B266" s="18">
        <v>4</v>
      </c>
      <c r="C266" s="18">
        <v>1300</v>
      </c>
      <c r="D266" s="19">
        <v>437.30000000000007</v>
      </c>
    </row>
    <row r="267" spans="1:4" ht="12.75" customHeight="1" x14ac:dyDescent="0.2">
      <c r="A267" s="18">
        <v>50</v>
      </c>
      <c r="B267" s="18">
        <v>4</v>
      </c>
      <c r="C267" s="18">
        <v>1400</v>
      </c>
      <c r="D267" s="19">
        <v>459.40000000000009</v>
      </c>
    </row>
    <row r="268" spans="1:4" ht="12.75" customHeight="1" x14ac:dyDescent="0.2">
      <c r="A268" s="18">
        <v>50</v>
      </c>
      <c r="B268" s="18">
        <v>4</v>
      </c>
      <c r="C268" s="18">
        <v>1500</v>
      </c>
      <c r="D268" s="19">
        <v>481.50000000000011</v>
      </c>
    </row>
    <row r="269" spans="1:4" ht="12.75" customHeight="1" x14ac:dyDescent="0.2">
      <c r="A269" s="18">
        <v>50</v>
      </c>
      <c r="B269" s="18">
        <v>4</v>
      </c>
      <c r="C269" s="18">
        <v>1600</v>
      </c>
      <c r="D269" s="19">
        <v>503.60000000000014</v>
      </c>
    </row>
    <row r="270" spans="1:4" ht="12.75" customHeight="1" x14ac:dyDescent="0.2">
      <c r="A270" s="18">
        <v>50</v>
      </c>
      <c r="B270" s="18">
        <v>4</v>
      </c>
      <c r="C270" s="18">
        <v>1700</v>
      </c>
      <c r="D270" s="19">
        <v>525.70000000000016</v>
      </c>
    </row>
    <row r="271" spans="1:4" ht="12.75" customHeight="1" x14ac:dyDescent="0.2">
      <c r="A271" s="18">
        <v>50</v>
      </c>
      <c r="B271" s="18">
        <v>4</v>
      </c>
      <c r="C271" s="18">
        <v>1800</v>
      </c>
      <c r="D271" s="19">
        <v>547.80000000000018</v>
      </c>
    </row>
    <row r="272" spans="1:4" ht="12.75" customHeight="1" x14ac:dyDescent="0.2">
      <c r="A272" s="18">
        <v>50</v>
      </c>
      <c r="B272" s="18">
        <v>4</v>
      </c>
      <c r="C272" s="18">
        <v>1900</v>
      </c>
      <c r="D272" s="19">
        <v>569.9000000000002</v>
      </c>
    </row>
    <row r="273" spans="1:4" ht="12.75" customHeight="1" x14ac:dyDescent="0.2">
      <c r="A273" s="18">
        <v>50</v>
      </c>
      <c r="B273" s="18">
        <v>4</v>
      </c>
      <c r="C273" s="18">
        <v>2000</v>
      </c>
      <c r="D273" s="19">
        <v>592</v>
      </c>
    </row>
    <row r="274" spans="1:4" ht="12.75" customHeight="1" x14ac:dyDescent="0.2">
      <c r="A274" s="18">
        <v>50</v>
      </c>
      <c r="B274" s="18">
        <v>5</v>
      </c>
      <c r="C274" s="18">
        <v>50</v>
      </c>
      <c r="D274" s="19">
        <v>122</v>
      </c>
    </row>
    <row r="275" spans="1:4" ht="12.75" customHeight="1" x14ac:dyDescent="0.2">
      <c r="A275" s="18">
        <v>50</v>
      </c>
      <c r="B275" s="18">
        <v>5</v>
      </c>
      <c r="C275" s="18">
        <v>60</v>
      </c>
      <c r="D275" s="19">
        <v>127.8</v>
      </c>
    </row>
    <row r="276" spans="1:4" ht="12.75" customHeight="1" x14ac:dyDescent="0.2">
      <c r="A276" s="18">
        <v>50</v>
      </c>
      <c r="B276" s="18">
        <v>5</v>
      </c>
      <c r="C276" s="18">
        <v>70</v>
      </c>
      <c r="D276" s="19">
        <v>133.6</v>
      </c>
    </row>
    <row r="277" spans="1:4" ht="12.75" customHeight="1" x14ac:dyDescent="0.2">
      <c r="A277" s="18">
        <v>50</v>
      </c>
      <c r="B277" s="18">
        <v>5</v>
      </c>
      <c r="C277" s="18">
        <v>80</v>
      </c>
      <c r="D277" s="19">
        <v>139.4</v>
      </c>
    </row>
    <row r="278" spans="1:4" ht="12.75" customHeight="1" x14ac:dyDescent="0.2">
      <c r="A278" s="18">
        <v>50</v>
      </c>
      <c r="B278" s="18">
        <v>5</v>
      </c>
      <c r="C278" s="18">
        <v>90</v>
      </c>
      <c r="D278" s="19">
        <v>145.20000000000002</v>
      </c>
    </row>
    <row r="279" spans="1:4" ht="12.75" customHeight="1" x14ac:dyDescent="0.2">
      <c r="A279" s="18">
        <v>50</v>
      </c>
      <c r="B279" s="18">
        <v>5</v>
      </c>
      <c r="C279" s="18">
        <v>100</v>
      </c>
      <c r="D279" s="19">
        <v>151</v>
      </c>
    </row>
    <row r="280" spans="1:4" ht="12.75" customHeight="1" x14ac:dyDescent="0.2">
      <c r="A280" s="18">
        <v>50</v>
      </c>
      <c r="B280" s="18">
        <v>5</v>
      </c>
      <c r="C280" s="18">
        <v>150</v>
      </c>
      <c r="D280" s="19">
        <v>175.75</v>
      </c>
    </row>
    <row r="281" spans="1:4" ht="12.75" customHeight="1" x14ac:dyDescent="0.2">
      <c r="A281" s="18">
        <v>50</v>
      </c>
      <c r="B281" s="18">
        <v>5</v>
      </c>
      <c r="C281" s="18">
        <v>200</v>
      </c>
      <c r="D281" s="19">
        <v>200.5</v>
      </c>
    </row>
    <row r="282" spans="1:4" ht="12.75" customHeight="1" x14ac:dyDescent="0.2">
      <c r="A282" s="18">
        <v>50</v>
      </c>
      <c r="B282" s="18">
        <v>5</v>
      </c>
      <c r="C282" s="18">
        <v>250</v>
      </c>
      <c r="D282" s="19">
        <v>225.25</v>
      </c>
    </row>
    <row r="283" spans="1:4" ht="12.75" customHeight="1" x14ac:dyDescent="0.2">
      <c r="A283" s="18">
        <v>50</v>
      </c>
      <c r="B283" s="18">
        <v>5</v>
      </c>
      <c r="C283" s="18">
        <v>300</v>
      </c>
      <c r="D283" s="19">
        <v>250</v>
      </c>
    </row>
    <row r="284" spans="1:4" ht="12.75" customHeight="1" x14ac:dyDescent="0.2">
      <c r="A284" s="18">
        <v>50</v>
      </c>
      <c r="B284" s="18">
        <v>5</v>
      </c>
      <c r="C284" s="18">
        <v>350</v>
      </c>
      <c r="D284" s="19">
        <v>268.75</v>
      </c>
    </row>
    <row r="285" spans="1:4" ht="12.75" customHeight="1" x14ac:dyDescent="0.2">
      <c r="A285" s="18">
        <v>50</v>
      </c>
      <c r="B285" s="18">
        <v>5</v>
      </c>
      <c r="C285" s="18">
        <v>400</v>
      </c>
      <c r="D285" s="19">
        <v>287.5</v>
      </c>
    </row>
    <row r="286" spans="1:4" ht="12.75" customHeight="1" x14ac:dyDescent="0.2">
      <c r="A286" s="18">
        <v>50</v>
      </c>
      <c r="B286" s="18">
        <v>5</v>
      </c>
      <c r="C286" s="18">
        <v>450</v>
      </c>
      <c r="D286" s="19">
        <v>306.25</v>
      </c>
    </row>
    <row r="287" spans="1:4" ht="12.75" customHeight="1" x14ac:dyDescent="0.2">
      <c r="A287" s="18">
        <v>50</v>
      </c>
      <c r="B287" s="18">
        <v>5</v>
      </c>
      <c r="C287" s="18">
        <v>500</v>
      </c>
      <c r="D287" s="19">
        <v>325</v>
      </c>
    </row>
    <row r="288" spans="1:4" ht="12.75" customHeight="1" x14ac:dyDescent="0.2">
      <c r="A288" s="18">
        <v>50</v>
      </c>
      <c r="B288" s="18">
        <v>5</v>
      </c>
      <c r="C288" s="18">
        <v>550</v>
      </c>
      <c r="D288" s="19">
        <v>346.8</v>
      </c>
    </row>
    <row r="289" spans="1:4" ht="12.75" customHeight="1" x14ac:dyDescent="0.2">
      <c r="A289" s="18">
        <v>50</v>
      </c>
      <c r="B289" s="18">
        <v>5</v>
      </c>
      <c r="C289" s="18">
        <v>600</v>
      </c>
      <c r="D289" s="19">
        <v>368.6</v>
      </c>
    </row>
    <row r="290" spans="1:4" ht="12.75" customHeight="1" x14ac:dyDescent="0.2">
      <c r="A290" s="18">
        <v>50</v>
      </c>
      <c r="B290" s="18">
        <v>5</v>
      </c>
      <c r="C290" s="18">
        <v>650</v>
      </c>
      <c r="D290" s="19">
        <v>390.40000000000003</v>
      </c>
    </row>
    <row r="291" spans="1:4" ht="12.75" customHeight="1" x14ac:dyDescent="0.2">
      <c r="A291" s="18">
        <v>50</v>
      </c>
      <c r="B291" s="18">
        <v>5</v>
      </c>
      <c r="C291" s="18">
        <v>700</v>
      </c>
      <c r="D291" s="19">
        <v>412.20000000000005</v>
      </c>
    </row>
    <row r="292" spans="1:4" ht="12.75" customHeight="1" x14ac:dyDescent="0.2">
      <c r="A292" s="18">
        <v>50</v>
      </c>
      <c r="B292" s="18">
        <v>5</v>
      </c>
      <c r="C292" s="18">
        <v>750</v>
      </c>
      <c r="D292" s="19">
        <v>434.00000000000006</v>
      </c>
    </row>
    <row r="293" spans="1:4" ht="12.75" customHeight="1" x14ac:dyDescent="0.2">
      <c r="A293" s="18">
        <v>50</v>
      </c>
      <c r="B293" s="18">
        <v>5</v>
      </c>
      <c r="C293" s="18">
        <v>800</v>
      </c>
      <c r="D293" s="19">
        <v>455.80000000000007</v>
      </c>
    </row>
    <row r="294" spans="1:4" ht="12.75" customHeight="1" x14ac:dyDescent="0.2">
      <c r="A294" s="18">
        <v>50</v>
      </c>
      <c r="B294" s="18">
        <v>5</v>
      </c>
      <c r="C294" s="18">
        <v>850</v>
      </c>
      <c r="D294" s="19">
        <v>477.60000000000008</v>
      </c>
    </row>
    <row r="295" spans="1:4" ht="12.75" customHeight="1" x14ac:dyDescent="0.2">
      <c r="A295" s="18">
        <v>50</v>
      </c>
      <c r="B295" s="18">
        <v>5</v>
      </c>
      <c r="C295" s="18">
        <v>900</v>
      </c>
      <c r="D295" s="19">
        <v>499.40000000000009</v>
      </c>
    </row>
    <row r="296" spans="1:4" ht="12.75" customHeight="1" x14ac:dyDescent="0.2">
      <c r="A296" s="18">
        <v>50</v>
      </c>
      <c r="B296" s="18">
        <v>5</v>
      </c>
      <c r="C296" s="18">
        <v>950</v>
      </c>
      <c r="D296" s="19">
        <v>521.20000000000005</v>
      </c>
    </row>
    <row r="297" spans="1:4" ht="12.75" customHeight="1" x14ac:dyDescent="0.2">
      <c r="A297" s="18">
        <v>50</v>
      </c>
      <c r="B297" s="18">
        <v>5</v>
      </c>
      <c r="C297" s="18">
        <v>1000</v>
      </c>
      <c r="D297" s="19">
        <v>543</v>
      </c>
    </row>
    <row r="298" spans="1:4" ht="12.75" customHeight="1" x14ac:dyDescent="0.2">
      <c r="A298" s="18">
        <v>50</v>
      </c>
      <c r="B298" s="18">
        <v>5</v>
      </c>
      <c r="C298" s="18">
        <v>1100</v>
      </c>
      <c r="D298" s="19">
        <v>578.70000000000005</v>
      </c>
    </row>
    <row r="299" spans="1:4" ht="12.75" customHeight="1" x14ac:dyDescent="0.2">
      <c r="A299" s="18">
        <v>50</v>
      </c>
      <c r="B299" s="18">
        <v>5</v>
      </c>
      <c r="C299" s="18">
        <v>1200</v>
      </c>
      <c r="D299" s="19">
        <v>614.40000000000009</v>
      </c>
    </row>
    <row r="300" spans="1:4" ht="12.75" customHeight="1" x14ac:dyDescent="0.2">
      <c r="A300" s="18">
        <v>50</v>
      </c>
      <c r="B300" s="18">
        <v>5</v>
      </c>
      <c r="C300" s="18">
        <v>1300</v>
      </c>
      <c r="D300" s="19">
        <v>650.10000000000014</v>
      </c>
    </row>
    <row r="301" spans="1:4" ht="12.75" customHeight="1" x14ac:dyDescent="0.2">
      <c r="A301" s="18">
        <v>50</v>
      </c>
      <c r="B301" s="18">
        <v>5</v>
      </c>
      <c r="C301" s="18">
        <v>1400</v>
      </c>
      <c r="D301" s="19">
        <v>685.80000000000018</v>
      </c>
    </row>
    <row r="302" spans="1:4" ht="12.75" customHeight="1" x14ac:dyDescent="0.2">
      <c r="A302" s="18">
        <v>50</v>
      </c>
      <c r="B302" s="18">
        <v>5</v>
      </c>
      <c r="C302" s="18">
        <v>1500</v>
      </c>
      <c r="D302" s="19">
        <v>721.50000000000023</v>
      </c>
    </row>
    <row r="303" spans="1:4" ht="12.75" customHeight="1" x14ac:dyDescent="0.2">
      <c r="A303" s="18">
        <v>50</v>
      </c>
      <c r="B303" s="18">
        <v>5</v>
      </c>
      <c r="C303" s="18">
        <v>1600</v>
      </c>
      <c r="D303" s="19">
        <v>757.20000000000027</v>
      </c>
    </row>
    <row r="304" spans="1:4" ht="12.75" customHeight="1" x14ac:dyDescent="0.2">
      <c r="A304" s="18">
        <v>50</v>
      </c>
      <c r="B304" s="18">
        <v>5</v>
      </c>
      <c r="C304" s="18">
        <v>1700</v>
      </c>
      <c r="D304" s="19">
        <v>792.90000000000032</v>
      </c>
    </row>
    <row r="305" spans="1:4" ht="12.75" customHeight="1" x14ac:dyDescent="0.2">
      <c r="A305" s="18">
        <v>50</v>
      </c>
      <c r="B305" s="18">
        <v>5</v>
      </c>
      <c r="C305" s="18">
        <v>1800</v>
      </c>
      <c r="D305" s="19">
        <v>828.60000000000036</v>
      </c>
    </row>
    <row r="306" spans="1:4" ht="12.75" customHeight="1" x14ac:dyDescent="0.2">
      <c r="A306" s="18">
        <v>50</v>
      </c>
      <c r="B306" s="18">
        <v>5</v>
      </c>
      <c r="C306" s="18">
        <v>1900</v>
      </c>
      <c r="D306" s="19">
        <v>864.30000000000041</v>
      </c>
    </row>
    <row r="307" spans="1:4" ht="12.75" customHeight="1" x14ac:dyDescent="0.2">
      <c r="A307" s="18">
        <v>50</v>
      </c>
      <c r="B307" s="18">
        <v>5</v>
      </c>
      <c r="C307" s="18">
        <v>2000</v>
      </c>
      <c r="D307" s="19">
        <v>900</v>
      </c>
    </row>
    <row r="308" spans="1:4" ht="12.75" customHeight="1" x14ac:dyDescent="0.2">
      <c r="A308" s="18">
        <v>50</v>
      </c>
      <c r="B308" s="18">
        <v>6</v>
      </c>
      <c r="C308" s="18">
        <v>50</v>
      </c>
      <c r="D308" s="19">
        <v>140</v>
      </c>
    </row>
    <row r="309" spans="1:4" ht="12.75" customHeight="1" x14ac:dyDescent="0.2">
      <c r="A309" s="18">
        <v>50</v>
      </c>
      <c r="B309" s="18">
        <v>6</v>
      </c>
      <c r="C309" s="18">
        <v>60</v>
      </c>
      <c r="D309" s="19">
        <v>148.4</v>
      </c>
    </row>
    <row r="310" spans="1:4" ht="12.75" customHeight="1" x14ac:dyDescent="0.2">
      <c r="A310" s="18">
        <v>50</v>
      </c>
      <c r="B310" s="18">
        <v>6</v>
      </c>
      <c r="C310" s="18">
        <v>70</v>
      </c>
      <c r="D310" s="19">
        <v>156.80000000000001</v>
      </c>
    </row>
    <row r="311" spans="1:4" ht="12.75" customHeight="1" x14ac:dyDescent="0.2">
      <c r="A311" s="18">
        <v>50</v>
      </c>
      <c r="B311" s="18">
        <v>6</v>
      </c>
      <c r="C311" s="18">
        <v>80</v>
      </c>
      <c r="D311" s="19">
        <v>165.20000000000002</v>
      </c>
    </row>
    <row r="312" spans="1:4" ht="12.75" customHeight="1" x14ac:dyDescent="0.2">
      <c r="A312" s="18">
        <v>50</v>
      </c>
      <c r="B312" s="18">
        <v>6</v>
      </c>
      <c r="C312" s="18">
        <v>90</v>
      </c>
      <c r="D312" s="19">
        <v>173.60000000000002</v>
      </c>
    </row>
    <row r="313" spans="1:4" ht="12.75" customHeight="1" x14ac:dyDescent="0.2">
      <c r="A313" s="18">
        <v>50</v>
      </c>
      <c r="B313" s="18">
        <v>6</v>
      </c>
      <c r="C313" s="18">
        <v>100</v>
      </c>
      <c r="D313" s="19">
        <v>182</v>
      </c>
    </row>
    <row r="314" spans="1:4" ht="12.75" customHeight="1" x14ac:dyDescent="0.2">
      <c r="A314" s="18">
        <v>50</v>
      </c>
      <c r="B314" s="18">
        <v>6</v>
      </c>
      <c r="C314" s="18">
        <v>150</v>
      </c>
      <c r="D314" s="19">
        <v>217.75</v>
      </c>
    </row>
    <row r="315" spans="1:4" ht="12.75" customHeight="1" x14ac:dyDescent="0.2">
      <c r="A315" s="18">
        <v>50</v>
      </c>
      <c r="B315" s="18">
        <v>6</v>
      </c>
      <c r="C315" s="18">
        <v>200</v>
      </c>
      <c r="D315" s="19">
        <v>253.5</v>
      </c>
    </row>
    <row r="316" spans="1:4" ht="12.75" customHeight="1" x14ac:dyDescent="0.2">
      <c r="A316" s="18">
        <v>50</v>
      </c>
      <c r="B316" s="18">
        <v>6</v>
      </c>
      <c r="C316" s="18">
        <v>250</v>
      </c>
      <c r="D316" s="19">
        <v>289.25</v>
      </c>
    </row>
    <row r="317" spans="1:4" ht="12.75" customHeight="1" x14ac:dyDescent="0.2">
      <c r="A317" s="18">
        <v>50</v>
      </c>
      <c r="B317" s="18">
        <v>6</v>
      </c>
      <c r="C317" s="18">
        <v>300</v>
      </c>
      <c r="D317" s="19">
        <v>325</v>
      </c>
    </row>
    <row r="318" spans="1:4" ht="12.75" customHeight="1" x14ac:dyDescent="0.2">
      <c r="A318" s="18">
        <v>50</v>
      </c>
      <c r="B318" s="18">
        <v>6</v>
      </c>
      <c r="C318" s="18">
        <v>350</v>
      </c>
      <c r="D318" s="19">
        <v>358</v>
      </c>
    </row>
    <row r="319" spans="1:4" ht="12.75" customHeight="1" x14ac:dyDescent="0.2">
      <c r="A319" s="18">
        <v>50</v>
      </c>
      <c r="B319" s="18">
        <v>6</v>
      </c>
      <c r="C319" s="18">
        <v>400</v>
      </c>
      <c r="D319" s="19">
        <v>391</v>
      </c>
    </row>
    <row r="320" spans="1:4" ht="12.75" customHeight="1" x14ac:dyDescent="0.2">
      <c r="A320" s="18">
        <v>50</v>
      </c>
      <c r="B320" s="18">
        <v>6</v>
      </c>
      <c r="C320" s="18">
        <v>450</v>
      </c>
      <c r="D320" s="19">
        <v>424</v>
      </c>
    </row>
    <row r="321" spans="1:4" ht="12.75" customHeight="1" x14ac:dyDescent="0.2">
      <c r="A321" s="18">
        <v>50</v>
      </c>
      <c r="B321" s="18">
        <v>6</v>
      </c>
      <c r="C321" s="18">
        <v>500</v>
      </c>
      <c r="D321" s="19">
        <v>457</v>
      </c>
    </row>
    <row r="322" spans="1:4" ht="12.75" customHeight="1" x14ac:dyDescent="0.2">
      <c r="A322" s="18">
        <v>50</v>
      </c>
      <c r="B322" s="18">
        <v>6</v>
      </c>
      <c r="C322" s="18">
        <v>550</v>
      </c>
      <c r="D322" s="19">
        <v>487.7</v>
      </c>
    </row>
    <row r="323" spans="1:4" ht="12.75" customHeight="1" x14ac:dyDescent="0.2">
      <c r="A323" s="18">
        <v>50</v>
      </c>
      <c r="B323" s="18">
        <v>6</v>
      </c>
      <c r="C323" s="18">
        <v>600</v>
      </c>
      <c r="D323" s="19">
        <v>518.4</v>
      </c>
    </row>
    <row r="324" spans="1:4" ht="12.75" customHeight="1" x14ac:dyDescent="0.2">
      <c r="A324" s="18">
        <v>50</v>
      </c>
      <c r="B324" s="18">
        <v>6</v>
      </c>
      <c r="C324" s="18">
        <v>650</v>
      </c>
      <c r="D324" s="19">
        <v>549.1</v>
      </c>
    </row>
    <row r="325" spans="1:4" ht="12.75" customHeight="1" x14ac:dyDescent="0.2">
      <c r="A325" s="18">
        <v>50</v>
      </c>
      <c r="B325" s="18">
        <v>6</v>
      </c>
      <c r="C325" s="18">
        <v>700</v>
      </c>
      <c r="D325" s="19">
        <v>579.80000000000007</v>
      </c>
    </row>
    <row r="326" spans="1:4" ht="12.75" customHeight="1" x14ac:dyDescent="0.2">
      <c r="A326" s="18">
        <v>50</v>
      </c>
      <c r="B326" s="18">
        <v>6</v>
      </c>
      <c r="C326" s="18">
        <v>750</v>
      </c>
      <c r="D326" s="19">
        <v>610.50000000000011</v>
      </c>
    </row>
    <row r="327" spans="1:4" ht="12.75" customHeight="1" x14ac:dyDescent="0.2">
      <c r="A327" s="18">
        <v>50</v>
      </c>
      <c r="B327" s="18">
        <v>6</v>
      </c>
      <c r="C327" s="18">
        <v>800</v>
      </c>
      <c r="D327" s="19">
        <v>641.20000000000016</v>
      </c>
    </row>
    <row r="328" spans="1:4" ht="12.75" customHeight="1" x14ac:dyDescent="0.2">
      <c r="A328" s="18">
        <v>50</v>
      </c>
      <c r="B328" s="18">
        <v>6</v>
      </c>
      <c r="C328" s="18">
        <v>850</v>
      </c>
      <c r="D328" s="19">
        <v>671.9000000000002</v>
      </c>
    </row>
    <row r="329" spans="1:4" ht="12.75" customHeight="1" x14ac:dyDescent="0.2">
      <c r="A329" s="18">
        <v>50</v>
      </c>
      <c r="B329" s="18">
        <v>6</v>
      </c>
      <c r="C329" s="18">
        <v>900</v>
      </c>
      <c r="D329" s="19">
        <v>702.60000000000025</v>
      </c>
    </row>
    <row r="330" spans="1:4" ht="12.75" customHeight="1" x14ac:dyDescent="0.2">
      <c r="A330" s="18">
        <v>50</v>
      </c>
      <c r="B330" s="18">
        <v>6</v>
      </c>
      <c r="C330" s="18">
        <v>950</v>
      </c>
      <c r="D330" s="19">
        <v>733.3000000000003</v>
      </c>
    </row>
    <row r="331" spans="1:4" ht="12.75" customHeight="1" x14ac:dyDescent="0.2">
      <c r="A331" s="18">
        <v>50</v>
      </c>
      <c r="B331" s="18">
        <v>6</v>
      </c>
      <c r="C331" s="18">
        <v>1000</v>
      </c>
      <c r="D331" s="19">
        <v>764</v>
      </c>
    </row>
    <row r="332" spans="1:4" ht="12.75" customHeight="1" x14ac:dyDescent="0.2">
      <c r="A332" s="18">
        <v>50</v>
      </c>
      <c r="B332" s="18">
        <v>6</v>
      </c>
      <c r="C332" s="18">
        <v>1100</v>
      </c>
      <c r="D332" s="19">
        <v>817.3</v>
      </c>
    </row>
    <row r="333" spans="1:4" ht="12.75" customHeight="1" x14ac:dyDescent="0.2">
      <c r="A333" s="18">
        <v>50</v>
      </c>
      <c r="B333" s="18">
        <v>6</v>
      </c>
      <c r="C333" s="18">
        <v>1200</v>
      </c>
      <c r="D333" s="19">
        <v>870.59999999999991</v>
      </c>
    </row>
    <row r="334" spans="1:4" ht="12.75" customHeight="1" x14ac:dyDescent="0.2">
      <c r="A334" s="18">
        <v>50</v>
      </c>
      <c r="B334" s="18">
        <v>6</v>
      </c>
      <c r="C334" s="18">
        <v>1300</v>
      </c>
      <c r="D334" s="19">
        <v>923.89999999999986</v>
      </c>
    </row>
    <row r="335" spans="1:4" ht="12.75" customHeight="1" x14ac:dyDescent="0.2">
      <c r="A335" s="18">
        <v>50</v>
      </c>
      <c r="B335" s="18">
        <v>6</v>
      </c>
      <c r="C335" s="18">
        <v>1400</v>
      </c>
      <c r="D335" s="19">
        <v>977.19999999999982</v>
      </c>
    </row>
    <row r="336" spans="1:4" ht="12.75" customHeight="1" x14ac:dyDescent="0.2">
      <c r="A336" s="18">
        <v>50</v>
      </c>
      <c r="B336" s="18">
        <v>6</v>
      </c>
      <c r="C336" s="18">
        <v>1500</v>
      </c>
      <c r="D336" s="19">
        <v>1030.4999999999998</v>
      </c>
    </row>
    <row r="337" spans="1:4" ht="12.75" customHeight="1" x14ac:dyDescent="0.2">
      <c r="A337" s="18">
        <v>50</v>
      </c>
      <c r="B337" s="18">
        <v>6</v>
      </c>
      <c r="C337" s="18">
        <v>1600</v>
      </c>
      <c r="D337" s="19">
        <v>1083.7999999999997</v>
      </c>
    </row>
    <row r="338" spans="1:4" ht="12.75" customHeight="1" x14ac:dyDescent="0.2">
      <c r="A338" s="18">
        <v>50</v>
      </c>
      <c r="B338" s="18">
        <v>6</v>
      </c>
      <c r="C338" s="18">
        <v>1700</v>
      </c>
      <c r="D338" s="19">
        <v>1137.0999999999997</v>
      </c>
    </row>
    <row r="339" spans="1:4" ht="12.75" customHeight="1" x14ac:dyDescent="0.2">
      <c r="A339" s="18">
        <v>50</v>
      </c>
      <c r="B339" s="18">
        <v>6</v>
      </c>
      <c r="C339" s="18">
        <v>1800</v>
      </c>
      <c r="D339" s="19">
        <v>1190.3999999999996</v>
      </c>
    </row>
    <row r="340" spans="1:4" ht="12.75" customHeight="1" x14ac:dyDescent="0.2">
      <c r="A340" s="18">
        <v>50</v>
      </c>
      <c r="B340" s="18">
        <v>6</v>
      </c>
      <c r="C340" s="18">
        <v>1900</v>
      </c>
      <c r="D340" s="19">
        <v>1243.6999999999996</v>
      </c>
    </row>
    <row r="341" spans="1:4" ht="12.75" customHeight="1" x14ac:dyDescent="0.2">
      <c r="A341" s="18">
        <v>50</v>
      </c>
      <c r="B341" s="18">
        <v>6</v>
      </c>
      <c r="C341" s="18">
        <v>2000</v>
      </c>
      <c r="D341" s="19">
        <v>1297</v>
      </c>
    </row>
    <row r="342" spans="1:4" ht="12.75" customHeight="1" x14ac:dyDescent="0.2">
      <c r="A342" s="18">
        <v>100</v>
      </c>
      <c r="B342" s="18">
        <v>2</v>
      </c>
      <c r="C342" s="18">
        <v>50</v>
      </c>
      <c r="D342" s="19">
        <v>131</v>
      </c>
    </row>
    <row r="343" spans="1:4" ht="12.75" customHeight="1" x14ac:dyDescent="0.2">
      <c r="A343" s="18">
        <v>100</v>
      </c>
      <c r="B343" s="18">
        <v>2</v>
      </c>
      <c r="C343" s="18">
        <v>60</v>
      </c>
      <c r="D343" s="19">
        <v>132.6</v>
      </c>
    </row>
    <row r="344" spans="1:4" ht="12.75" customHeight="1" x14ac:dyDescent="0.2">
      <c r="A344" s="18">
        <v>100</v>
      </c>
      <c r="B344" s="18">
        <v>2</v>
      </c>
      <c r="C344" s="18">
        <v>70</v>
      </c>
      <c r="D344" s="19">
        <v>134.19999999999999</v>
      </c>
    </row>
    <row r="345" spans="1:4" ht="12.75" customHeight="1" x14ac:dyDescent="0.2">
      <c r="A345" s="18">
        <v>100</v>
      </c>
      <c r="B345" s="18">
        <v>2</v>
      </c>
      <c r="C345" s="18">
        <v>80</v>
      </c>
      <c r="D345" s="19">
        <v>135.79999999999998</v>
      </c>
    </row>
    <row r="346" spans="1:4" ht="12.75" customHeight="1" x14ac:dyDescent="0.2">
      <c r="A346" s="18">
        <v>100</v>
      </c>
      <c r="B346" s="18">
        <v>2</v>
      </c>
      <c r="C346" s="18">
        <v>90</v>
      </c>
      <c r="D346" s="19">
        <v>137.39999999999998</v>
      </c>
    </row>
    <row r="347" spans="1:4" ht="12.75" customHeight="1" x14ac:dyDescent="0.2">
      <c r="A347" s="18">
        <v>100</v>
      </c>
      <c r="B347" s="18">
        <v>2</v>
      </c>
      <c r="C347" s="18">
        <v>100</v>
      </c>
      <c r="D347" s="19">
        <v>139</v>
      </c>
    </row>
    <row r="348" spans="1:4" ht="12.75" customHeight="1" x14ac:dyDescent="0.2">
      <c r="A348" s="18">
        <v>100</v>
      </c>
      <c r="B348" s="18">
        <v>2</v>
      </c>
      <c r="C348" s="18">
        <v>150</v>
      </c>
      <c r="D348" s="19">
        <v>143.25</v>
      </c>
    </row>
    <row r="349" spans="1:4" ht="12.75" customHeight="1" x14ac:dyDescent="0.2">
      <c r="A349" s="18">
        <v>100</v>
      </c>
      <c r="B349" s="18">
        <v>2</v>
      </c>
      <c r="C349" s="18">
        <v>200</v>
      </c>
      <c r="D349" s="19">
        <v>147.5</v>
      </c>
    </row>
    <row r="350" spans="1:4" ht="12.75" customHeight="1" x14ac:dyDescent="0.2">
      <c r="A350" s="18">
        <v>100</v>
      </c>
      <c r="B350" s="18">
        <v>2</v>
      </c>
      <c r="C350" s="18">
        <v>250</v>
      </c>
      <c r="D350" s="19">
        <v>151.75</v>
      </c>
    </row>
    <row r="351" spans="1:4" ht="12.75" customHeight="1" x14ac:dyDescent="0.2">
      <c r="A351" s="18">
        <v>100</v>
      </c>
      <c r="B351" s="18">
        <v>2</v>
      </c>
      <c r="C351" s="18">
        <v>300</v>
      </c>
      <c r="D351" s="19">
        <v>156</v>
      </c>
    </row>
    <row r="352" spans="1:4" ht="12.75" customHeight="1" x14ac:dyDescent="0.2">
      <c r="A352" s="18">
        <v>100</v>
      </c>
      <c r="B352" s="18">
        <v>2</v>
      </c>
      <c r="C352" s="18">
        <v>350</v>
      </c>
      <c r="D352" s="19">
        <v>159.5</v>
      </c>
    </row>
    <row r="353" spans="1:4" ht="12.75" customHeight="1" x14ac:dyDescent="0.2">
      <c r="A353" s="18">
        <v>100</v>
      </c>
      <c r="B353" s="18">
        <v>2</v>
      </c>
      <c r="C353" s="18">
        <v>400</v>
      </c>
      <c r="D353" s="19">
        <v>163</v>
      </c>
    </row>
    <row r="354" spans="1:4" ht="12.75" customHeight="1" x14ac:dyDescent="0.2">
      <c r="A354" s="18">
        <v>100</v>
      </c>
      <c r="B354" s="18">
        <v>2</v>
      </c>
      <c r="C354" s="18">
        <v>450</v>
      </c>
      <c r="D354" s="19">
        <v>166.5</v>
      </c>
    </row>
    <row r="355" spans="1:4" ht="12.75" customHeight="1" x14ac:dyDescent="0.2">
      <c r="A355" s="18">
        <v>100</v>
      </c>
      <c r="B355" s="18">
        <v>2</v>
      </c>
      <c r="C355" s="18">
        <v>500</v>
      </c>
      <c r="D355" s="19">
        <v>170</v>
      </c>
    </row>
    <row r="356" spans="1:4" ht="12.75" customHeight="1" x14ac:dyDescent="0.2">
      <c r="A356" s="18">
        <v>100</v>
      </c>
      <c r="B356" s="18">
        <v>2</v>
      </c>
      <c r="C356" s="18">
        <v>550</v>
      </c>
      <c r="D356" s="19">
        <v>172.9</v>
      </c>
    </row>
    <row r="357" spans="1:4" ht="12.75" customHeight="1" x14ac:dyDescent="0.2">
      <c r="A357" s="18">
        <v>100</v>
      </c>
      <c r="B357" s="18">
        <v>2</v>
      </c>
      <c r="C357" s="18">
        <v>600</v>
      </c>
      <c r="D357" s="19">
        <v>175.8</v>
      </c>
    </row>
    <row r="358" spans="1:4" ht="12.75" customHeight="1" x14ac:dyDescent="0.2">
      <c r="A358" s="18">
        <v>100</v>
      </c>
      <c r="B358" s="18">
        <v>2</v>
      </c>
      <c r="C358" s="18">
        <v>650</v>
      </c>
      <c r="D358" s="19">
        <v>178.70000000000002</v>
      </c>
    </row>
    <row r="359" spans="1:4" ht="12.75" customHeight="1" x14ac:dyDescent="0.2">
      <c r="A359" s="18">
        <v>100</v>
      </c>
      <c r="B359" s="18">
        <v>2</v>
      </c>
      <c r="C359" s="18">
        <v>700</v>
      </c>
      <c r="D359" s="19">
        <v>181.60000000000002</v>
      </c>
    </row>
    <row r="360" spans="1:4" ht="12.75" customHeight="1" x14ac:dyDescent="0.2">
      <c r="A360" s="18">
        <v>100</v>
      </c>
      <c r="B360" s="18">
        <v>2</v>
      </c>
      <c r="C360" s="18">
        <v>750</v>
      </c>
      <c r="D360" s="19">
        <v>184.50000000000003</v>
      </c>
    </row>
    <row r="361" spans="1:4" ht="12.75" customHeight="1" x14ac:dyDescent="0.2">
      <c r="A361" s="18">
        <v>100</v>
      </c>
      <c r="B361" s="18">
        <v>2</v>
      </c>
      <c r="C361" s="18">
        <v>800</v>
      </c>
      <c r="D361" s="19">
        <v>187.40000000000003</v>
      </c>
    </row>
    <row r="362" spans="1:4" ht="12.75" customHeight="1" x14ac:dyDescent="0.2">
      <c r="A362" s="18">
        <v>100</v>
      </c>
      <c r="B362" s="18">
        <v>2</v>
      </c>
      <c r="C362" s="18">
        <v>850</v>
      </c>
      <c r="D362" s="19">
        <v>190.30000000000004</v>
      </c>
    </row>
    <row r="363" spans="1:4" ht="12.75" customHeight="1" x14ac:dyDescent="0.2">
      <c r="A363" s="18">
        <v>100</v>
      </c>
      <c r="B363" s="18">
        <v>2</v>
      </c>
      <c r="C363" s="18">
        <v>900</v>
      </c>
      <c r="D363" s="19">
        <v>193.20000000000005</v>
      </c>
    </row>
    <row r="364" spans="1:4" ht="12.75" customHeight="1" x14ac:dyDescent="0.2">
      <c r="A364" s="18">
        <v>100</v>
      </c>
      <c r="B364" s="18">
        <v>2</v>
      </c>
      <c r="C364" s="18">
        <v>950</v>
      </c>
      <c r="D364" s="19">
        <v>196.10000000000005</v>
      </c>
    </row>
    <row r="365" spans="1:4" ht="12.75" customHeight="1" x14ac:dyDescent="0.2">
      <c r="A365" s="18">
        <v>100</v>
      </c>
      <c r="B365" s="18">
        <v>2</v>
      </c>
      <c r="C365" s="18">
        <v>1000</v>
      </c>
      <c r="D365" s="19">
        <v>199</v>
      </c>
    </row>
    <row r="366" spans="1:4" ht="12.75" customHeight="1" x14ac:dyDescent="0.2">
      <c r="A366" s="18">
        <v>100</v>
      </c>
      <c r="B366" s="18">
        <v>2</v>
      </c>
      <c r="C366" s="18">
        <v>1100</v>
      </c>
      <c r="D366" s="19">
        <v>204.1</v>
      </c>
    </row>
    <row r="367" spans="1:4" ht="12.75" customHeight="1" x14ac:dyDescent="0.2">
      <c r="A367" s="18">
        <v>100</v>
      </c>
      <c r="B367" s="18">
        <v>2</v>
      </c>
      <c r="C367" s="18">
        <v>1200</v>
      </c>
      <c r="D367" s="19">
        <v>209.2</v>
      </c>
    </row>
    <row r="368" spans="1:4" ht="12.75" customHeight="1" x14ac:dyDescent="0.2">
      <c r="A368" s="18">
        <v>100</v>
      </c>
      <c r="B368" s="18">
        <v>2</v>
      </c>
      <c r="C368" s="18">
        <v>1300</v>
      </c>
      <c r="D368" s="19">
        <v>214.29999999999998</v>
      </c>
    </row>
    <row r="369" spans="1:4" ht="12.75" customHeight="1" x14ac:dyDescent="0.2">
      <c r="A369" s="18">
        <v>100</v>
      </c>
      <c r="B369" s="18">
        <v>2</v>
      </c>
      <c r="C369" s="18">
        <v>1400</v>
      </c>
      <c r="D369" s="19">
        <v>219.39999999999998</v>
      </c>
    </row>
    <row r="370" spans="1:4" ht="12.75" customHeight="1" x14ac:dyDescent="0.2">
      <c r="A370" s="18">
        <v>100</v>
      </c>
      <c r="B370" s="18">
        <v>2</v>
      </c>
      <c r="C370" s="18">
        <v>1500</v>
      </c>
      <c r="D370" s="19">
        <v>224.49999999999997</v>
      </c>
    </row>
    <row r="371" spans="1:4" ht="12.75" customHeight="1" x14ac:dyDescent="0.2">
      <c r="A371" s="18">
        <v>100</v>
      </c>
      <c r="B371" s="18">
        <v>2</v>
      </c>
      <c r="C371" s="18">
        <v>1600</v>
      </c>
      <c r="D371" s="19">
        <v>229.59999999999997</v>
      </c>
    </row>
    <row r="372" spans="1:4" ht="12.75" customHeight="1" x14ac:dyDescent="0.2">
      <c r="A372" s="18">
        <v>100</v>
      </c>
      <c r="B372" s="18">
        <v>2</v>
      </c>
      <c r="C372" s="18">
        <v>1700</v>
      </c>
      <c r="D372" s="19">
        <v>234.69999999999996</v>
      </c>
    </row>
    <row r="373" spans="1:4" ht="12.75" customHeight="1" x14ac:dyDescent="0.2">
      <c r="A373" s="18">
        <v>100</v>
      </c>
      <c r="B373" s="18">
        <v>2</v>
      </c>
      <c r="C373" s="18">
        <v>1800</v>
      </c>
      <c r="D373" s="19">
        <v>239.79999999999995</v>
      </c>
    </row>
    <row r="374" spans="1:4" ht="12.75" customHeight="1" x14ac:dyDescent="0.2">
      <c r="A374" s="18">
        <v>100</v>
      </c>
      <c r="B374" s="18">
        <v>2</v>
      </c>
      <c r="C374" s="18">
        <v>1900</v>
      </c>
      <c r="D374" s="19">
        <v>244.89999999999995</v>
      </c>
    </row>
    <row r="375" spans="1:4" ht="12.75" customHeight="1" x14ac:dyDescent="0.2">
      <c r="A375" s="18">
        <v>100</v>
      </c>
      <c r="B375" s="18">
        <v>2</v>
      </c>
      <c r="C375" s="18">
        <v>2000</v>
      </c>
      <c r="D375" s="19">
        <v>250</v>
      </c>
    </row>
    <row r="376" spans="1:4" ht="12.75" customHeight="1" x14ac:dyDescent="0.2">
      <c r="A376" s="18">
        <v>100</v>
      </c>
      <c r="B376" s="18">
        <v>3</v>
      </c>
      <c r="C376" s="18">
        <v>50</v>
      </c>
      <c r="D376" s="19">
        <v>143</v>
      </c>
    </row>
    <row r="377" spans="1:4" ht="12.75" customHeight="1" x14ac:dyDescent="0.2">
      <c r="A377" s="18">
        <v>100</v>
      </c>
      <c r="B377" s="18">
        <v>3</v>
      </c>
      <c r="C377" s="18">
        <v>60</v>
      </c>
      <c r="D377" s="19">
        <v>145.6</v>
      </c>
    </row>
    <row r="378" spans="1:4" ht="12.75" customHeight="1" x14ac:dyDescent="0.2">
      <c r="A378" s="18">
        <v>100</v>
      </c>
      <c r="B378" s="18">
        <v>3</v>
      </c>
      <c r="C378" s="18">
        <v>70</v>
      </c>
      <c r="D378" s="19">
        <v>148.19999999999999</v>
      </c>
    </row>
    <row r="379" spans="1:4" ht="12.75" customHeight="1" x14ac:dyDescent="0.2">
      <c r="A379" s="18">
        <v>100</v>
      </c>
      <c r="B379" s="18">
        <v>3</v>
      </c>
      <c r="C379" s="18">
        <v>80</v>
      </c>
      <c r="D379" s="19">
        <v>150.79999999999998</v>
      </c>
    </row>
    <row r="380" spans="1:4" ht="12.75" customHeight="1" x14ac:dyDescent="0.2">
      <c r="A380" s="18">
        <v>100</v>
      </c>
      <c r="B380" s="18">
        <v>3</v>
      </c>
      <c r="C380" s="18">
        <v>90</v>
      </c>
      <c r="D380" s="19">
        <v>153.39999999999998</v>
      </c>
    </row>
    <row r="381" spans="1:4" ht="12.75" customHeight="1" x14ac:dyDescent="0.2">
      <c r="A381" s="18">
        <v>100</v>
      </c>
      <c r="B381" s="18">
        <v>3</v>
      </c>
      <c r="C381" s="18">
        <v>100</v>
      </c>
      <c r="D381" s="19">
        <v>156</v>
      </c>
    </row>
    <row r="382" spans="1:4" ht="12.75" customHeight="1" x14ac:dyDescent="0.2">
      <c r="A382" s="18">
        <v>100</v>
      </c>
      <c r="B382" s="18">
        <v>3</v>
      </c>
      <c r="C382" s="18">
        <v>150</v>
      </c>
      <c r="D382" s="19">
        <v>164.5</v>
      </c>
    </row>
    <row r="383" spans="1:4" ht="12.75" customHeight="1" x14ac:dyDescent="0.2">
      <c r="A383" s="18">
        <v>100</v>
      </c>
      <c r="B383" s="18">
        <v>3</v>
      </c>
      <c r="C383" s="18">
        <v>200</v>
      </c>
      <c r="D383" s="19">
        <v>173</v>
      </c>
    </row>
    <row r="384" spans="1:4" ht="12.75" customHeight="1" x14ac:dyDescent="0.2">
      <c r="A384" s="18">
        <v>100</v>
      </c>
      <c r="B384" s="18">
        <v>3</v>
      </c>
      <c r="C384" s="18">
        <v>250</v>
      </c>
      <c r="D384" s="19">
        <v>181.5</v>
      </c>
    </row>
    <row r="385" spans="1:4" ht="12.75" customHeight="1" x14ac:dyDescent="0.2">
      <c r="A385" s="18">
        <v>100</v>
      </c>
      <c r="B385" s="18">
        <v>3</v>
      </c>
      <c r="C385" s="18">
        <v>300</v>
      </c>
      <c r="D385" s="19">
        <v>190</v>
      </c>
    </row>
    <row r="386" spans="1:4" ht="12.75" customHeight="1" x14ac:dyDescent="0.2">
      <c r="A386" s="18">
        <v>100</v>
      </c>
      <c r="B386" s="18">
        <v>3</v>
      </c>
      <c r="C386" s="18">
        <v>350</v>
      </c>
      <c r="D386" s="19">
        <v>197.75</v>
      </c>
    </row>
    <row r="387" spans="1:4" ht="12.75" customHeight="1" x14ac:dyDescent="0.2">
      <c r="A387" s="18">
        <v>100</v>
      </c>
      <c r="B387" s="18">
        <v>3</v>
      </c>
      <c r="C387" s="18">
        <v>400</v>
      </c>
      <c r="D387" s="19">
        <v>205.5</v>
      </c>
    </row>
    <row r="388" spans="1:4" ht="12.75" customHeight="1" x14ac:dyDescent="0.2">
      <c r="A388" s="18">
        <v>100</v>
      </c>
      <c r="B388" s="18">
        <v>3</v>
      </c>
      <c r="C388" s="18">
        <v>450</v>
      </c>
      <c r="D388" s="19">
        <v>213.25</v>
      </c>
    </row>
    <row r="389" spans="1:4" ht="12.75" customHeight="1" x14ac:dyDescent="0.2">
      <c r="A389" s="18">
        <v>100</v>
      </c>
      <c r="B389" s="18">
        <v>3</v>
      </c>
      <c r="C389" s="18">
        <v>500</v>
      </c>
      <c r="D389" s="19">
        <v>221</v>
      </c>
    </row>
    <row r="390" spans="1:4" ht="12.75" customHeight="1" x14ac:dyDescent="0.2">
      <c r="A390" s="18">
        <v>100</v>
      </c>
      <c r="B390" s="18">
        <v>3</v>
      </c>
      <c r="C390" s="18">
        <v>550</v>
      </c>
      <c r="D390" s="19">
        <v>228.1</v>
      </c>
    </row>
    <row r="391" spans="1:4" ht="12.75" customHeight="1" x14ac:dyDescent="0.2">
      <c r="A391" s="18">
        <v>100</v>
      </c>
      <c r="B391" s="18">
        <v>3</v>
      </c>
      <c r="C391" s="18">
        <v>600</v>
      </c>
      <c r="D391" s="19">
        <v>235.2</v>
      </c>
    </row>
    <row r="392" spans="1:4" ht="12.75" customHeight="1" x14ac:dyDescent="0.2">
      <c r="A392" s="18">
        <v>100</v>
      </c>
      <c r="B392" s="18">
        <v>3</v>
      </c>
      <c r="C392" s="18">
        <v>650</v>
      </c>
      <c r="D392" s="19">
        <v>242.29999999999998</v>
      </c>
    </row>
    <row r="393" spans="1:4" ht="12.75" customHeight="1" x14ac:dyDescent="0.2">
      <c r="A393" s="18">
        <v>100</v>
      </c>
      <c r="B393" s="18">
        <v>3</v>
      </c>
      <c r="C393" s="18">
        <v>700</v>
      </c>
      <c r="D393" s="19">
        <v>249.39999999999998</v>
      </c>
    </row>
    <row r="394" spans="1:4" ht="12.75" customHeight="1" x14ac:dyDescent="0.2">
      <c r="A394" s="18">
        <v>100</v>
      </c>
      <c r="B394" s="18">
        <v>3</v>
      </c>
      <c r="C394" s="18">
        <v>750</v>
      </c>
      <c r="D394" s="19">
        <v>256.5</v>
      </c>
    </row>
    <row r="395" spans="1:4" ht="12.75" customHeight="1" x14ac:dyDescent="0.2">
      <c r="A395" s="18">
        <v>100</v>
      </c>
      <c r="B395" s="18">
        <v>3</v>
      </c>
      <c r="C395" s="18">
        <v>800</v>
      </c>
      <c r="D395" s="19">
        <v>263.60000000000002</v>
      </c>
    </row>
    <row r="396" spans="1:4" ht="12.75" customHeight="1" x14ac:dyDescent="0.2">
      <c r="A396" s="18">
        <v>100</v>
      </c>
      <c r="B396" s="18">
        <v>3</v>
      </c>
      <c r="C396" s="18">
        <v>850</v>
      </c>
      <c r="D396" s="19">
        <v>270.70000000000005</v>
      </c>
    </row>
    <row r="397" spans="1:4" ht="12.75" customHeight="1" x14ac:dyDescent="0.2">
      <c r="A397" s="18">
        <v>100</v>
      </c>
      <c r="B397" s="18">
        <v>3</v>
      </c>
      <c r="C397" s="18">
        <v>900</v>
      </c>
      <c r="D397" s="19">
        <v>277.80000000000007</v>
      </c>
    </row>
    <row r="398" spans="1:4" ht="12.75" customHeight="1" x14ac:dyDescent="0.2">
      <c r="A398" s="18">
        <v>100</v>
      </c>
      <c r="B398" s="18">
        <v>3</v>
      </c>
      <c r="C398" s="18">
        <v>950</v>
      </c>
      <c r="D398" s="19">
        <v>284.90000000000009</v>
      </c>
    </row>
    <row r="399" spans="1:4" ht="12.75" customHeight="1" x14ac:dyDescent="0.2">
      <c r="A399" s="18">
        <v>100</v>
      </c>
      <c r="B399" s="18">
        <v>3</v>
      </c>
      <c r="C399" s="18">
        <v>1000</v>
      </c>
      <c r="D399" s="19">
        <v>292</v>
      </c>
    </row>
    <row r="400" spans="1:4" ht="12.75" customHeight="1" x14ac:dyDescent="0.2">
      <c r="A400" s="18">
        <v>100</v>
      </c>
      <c r="B400" s="18">
        <v>3</v>
      </c>
      <c r="C400" s="18">
        <v>1100</v>
      </c>
      <c r="D400" s="19">
        <v>304.10000000000002</v>
      </c>
    </row>
    <row r="401" spans="1:4" ht="12.75" customHeight="1" x14ac:dyDescent="0.2">
      <c r="A401" s="18">
        <v>100</v>
      </c>
      <c r="B401" s="18">
        <v>3</v>
      </c>
      <c r="C401" s="18">
        <v>1200</v>
      </c>
      <c r="D401" s="19">
        <v>316.20000000000005</v>
      </c>
    </row>
    <row r="402" spans="1:4" ht="12.75" customHeight="1" x14ac:dyDescent="0.2">
      <c r="A402" s="18">
        <v>100</v>
      </c>
      <c r="B402" s="18">
        <v>3</v>
      </c>
      <c r="C402" s="18">
        <v>1300</v>
      </c>
      <c r="D402" s="19">
        <v>328.30000000000007</v>
      </c>
    </row>
    <row r="403" spans="1:4" ht="12.75" customHeight="1" x14ac:dyDescent="0.2">
      <c r="A403" s="18">
        <v>100</v>
      </c>
      <c r="B403" s="18">
        <v>3</v>
      </c>
      <c r="C403" s="18">
        <v>1400</v>
      </c>
      <c r="D403" s="19">
        <v>340.40000000000009</v>
      </c>
    </row>
    <row r="404" spans="1:4" ht="12.75" customHeight="1" x14ac:dyDescent="0.2">
      <c r="A404" s="18">
        <v>100</v>
      </c>
      <c r="B404" s="18">
        <v>3</v>
      </c>
      <c r="C404" s="18">
        <v>1500</v>
      </c>
      <c r="D404" s="19">
        <v>352.50000000000011</v>
      </c>
    </row>
    <row r="405" spans="1:4" ht="12.75" customHeight="1" x14ac:dyDescent="0.2">
      <c r="A405" s="18">
        <v>100</v>
      </c>
      <c r="B405" s="18">
        <v>3</v>
      </c>
      <c r="C405" s="18">
        <v>1600</v>
      </c>
      <c r="D405" s="19">
        <v>364.60000000000014</v>
      </c>
    </row>
    <row r="406" spans="1:4" ht="12.75" customHeight="1" x14ac:dyDescent="0.2">
      <c r="A406" s="18">
        <v>100</v>
      </c>
      <c r="B406" s="18">
        <v>3</v>
      </c>
      <c r="C406" s="18">
        <v>1700</v>
      </c>
      <c r="D406" s="19">
        <v>376.70000000000016</v>
      </c>
    </row>
    <row r="407" spans="1:4" ht="12.75" customHeight="1" x14ac:dyDescent="0.2">
      <c r="A407" s="18">
        <v>100</v>
      </c>
      <c r="B407" s="18">
        <v>3</v>
      </c>
      <c r="C407" s="18">
        <v>1800</v>
      </c>
      <c r="D407" s="19">
        <v>388.80000000000018</v>
      </c>
    </row>
    <row r="408" spans="1:4" ht="12.75" customHeight="1" x14ac:dyDescent="0.2">
      <c r="A408" s="18">
        <v>100</v>
      </c>
      <c r="B408" s="18">
        <v>3</v>
      </c>
      <c r="C408" s="18">
        <v>1900</v>
      </c>
      <c r="D408" s="19">
        <v>400.9000000000002</v>
      </c>
    </row>
    <row r="409" spans="1:4" ht="12.75" customHeight="1" x14ac:dyDescent="0.2">
      <c r="A409" s="18">
        <v>100</v>
      </c>
      <c r="B409" s="18">
        <v>3</v>
      </c>
      <c r="C409" s="18">
        <v>2000</v>
      </c>
      <c r="D409" s="19">
        <v>413</v>
      </c>
    </row>
    <row r="410" spans="1:4" ht="12.75" customHeight="1" x14ac:dyDescent="0.2">
      <c r="A410" s="18">
        <v>100</v>
      </c>
      <c r="B410" s="18">
        <v>4</v>
      </c>
      <c r="C410" s="18">
        <v>50</v>
      </c>
      <c r="D410" s="19">
        <v>156</v>
      </c>
    </row>
    <row r="411" spans="1:4" ht="12.75" customHeight="1" x14ac:dyDescent="0.2">
      <c r="A411" s="18">
        <v>100</v>
      </c>
      <c r="B411" s="18">
        <v>4</v>
      </c>
      <c r="C411" s="18">
        <v>60</v>
      </c>
      <c r="D411" s="19">
        <v>160</v>
      </c>
    </row>
    <row r="412" spans="1:4" ht="12.75" customHeight="1" x14ac:dyDescent="0.2">
      <c r="A412" s="18">
        <v>100</v>
      </c>
      <c r="B412" s="18">
        <v>4</v>
      </c>
      <c r="C412" s="18">
        <v>70</v>
      </c>
      <c r="D412" s="19">
        <v>164</v>
      </c>
    </row>
    <row r="413" spans="1:4" ht="12.75" customHeight="1" x14ac:dyDescent="0.2">
      <c r="A413" s="18">
        <v>100</v>
      </c>
      <c r="B413" s="18">
        <v>4</v>
      </c>
      <c r="C413" s="18">
        <v>80</v>
      </c>
      <c r="D413" s="19">
        <v>168</v>
      </c>
    </row>
    <row r="414" spans="1:4" ht="12.75" customHeight="1" x14ac:dyDescent="0.2">
      <c r="A414" s="18">
        <v>100</v>
      </c>
      <c r="B414" s="18">
        <v>4</v>
      </c>
      <c r="C414" s="18">
        <v>90</v>
      </c>
      <c r="D414" s="19">
        <v>172</v>
      </c>
    </row>
    <row r="415" spans="1:4" ht="12.75" customHeight="1" x14ac:dyDescent="0.2">
      <c r="A415" s="18">
        <v>100</v>
      </c>
      <c r="B415" s="18">
        <v>4</v>
      </c>
      <c r="C415" s="18">
        <v>100</v>
      </c>
      <c r="D415" s="19">
        <v>176</v>
      </c>
    </row>
    <row r="416" spans="1:4" ht="12.75" customHeight="1" x14ac:dyDescent="0.2">
      <c r="A416" s="18">
        <v>100</v>
      </c>
      <c r="B416" s="18">
        <v>4</v>
      </c>
      <c r="C416" s="18">
        <v>150</v>
      </c>
      <c r="D416" s="19">
        <v>191.5</v>
      </c>
    </row>
    <row r="417" spans="1:4" ht="12.75" customHeight="1" x14ac:dyDescent="0.2">
      <c r="A417" s="18">
        <v>100</v>
      </c>
      <c r="B417" s="18">
        <v>4</v>
      </c>
      <c r="C417" s="18">
        <v>200</v>
      </c>
      <c r="D417" s="19">
        <v>207</v>
      </c>
    </row>
    <row r="418" spans="1:4" ht="12.75" customHeight="1" x14ac:dyDescent="0.2">
      <c r="A418" s="18">
        <v>100</v>
      </c>
      <c r="B418" s="18">
        <v>4</v>
      </c>
      <c r="C418" s="18">
        <v>250</v>
      </c>
      <c r="D418" s="19">
        <v>222.5</v>
      </c>
    </row>
    <row r="419" spans="1:4" ht="12.75" customHeight="1" x14ac:dyDescent="0.2">
      <c r="A419" s="18">
        <v>100</v>
      </c>
      <c r="B419" s="18">
        <v>4</v>
      </c>
      <c r="C419" s="18">
        <v>300</v>
      </c>
      <c r="D419" s="19">
        <v>238</v>
      </c>
    </row>
    <row r="420" spans="1:4" ht="12.75" customHeight="1" x14ac:dyDescent="0.2">
      <c r="A420" s="18">
        <v>100</v>
      </c>
      <c r="B420" s="18">
        <v>4</v>
      </c>
      <c r="C420" s="18">
        <v>350</v>
      </c>
      <c r="D420" s="19">
        <v>251.75</v>
      </c>
    </row>
    <row r="421" spans="1:4" ht="12.75" customHeight="1" x14ac:dyDescent="0.2">
      <c r="A421" s="18">
        <v>100</v>
      </c>
      <c r="B421" s="18">
        <v>4</v>
      </c>
      <c r="C421" s="18">
        <v>400</v>
      </c>
      <c r="D421" s="19">
        <v>265.5</v>
      </c>
    </row>
    <row r="422" spans="1:4" ht="12.75" customHeight="1" x14ac:dyDescent="0.2">
      <c r="A422" s="18">
        <v>100</v>
      </c>
      <c r="B422" s="18">
        <v>4</v>
      </c>
      <c r="C422" s="18">
        <v>450</v>
      </c>
      <c r="D422" s="19">
        <v>279.25</v>
      </c>
    </row>
    <row r="423" spans="1:4" ht="12.75" customHeight="1" x14ac:dyDescent="0.2">
      <c r="A423" s="18">
        <v>100</v>
      </c>
      <c r="B423" s="18">
        <v>4</v>
      </c>
      <c r="C423" s="18">
        <v>500</v>
      </c>
      <c r="D423" s="19">
        <v>293</v>
      </c>
    </row>
    <row r="424" spans="1:4" ht="12.75" customHeight="1" x14ac:dyDescent="0.2">
      <c r="A424" s="18">
        <v>100</v>
      </c>
      <c r="B424" s="18">
        <v>4</v>
      </c>
      <c r="C424" s="18">
        <v>550</v>
      </c>
      <c r="D424" s="19">
        <v>305.7</v>
      </c>
    </row>
    <row r="425" spans="1:4" ht="12.75" customHeight="1" x14ac:dyDescent="0.2">
      <c r="A425" s="18">
        <v>100</v>
      </c>
      <c r="B425" s="18">
        <v>4</v>
      </c>
      <c r="C425" s="18">
        <v>600</v>
      </c>
      <c r="D425" s="19">
        <v>318.39999999999998</v>
      </c>
    </row>
    <row r="426" spans="1:4" ht="12.75" customHeight="1" x14ac:dyDescent="0.2">
      <c r="A426" s="18">
        <v>100</v>
      </c>
      <c r="B426" s="18">
        <v>4</v>
      </c>
      <c r="C426" s="18">
        <v>650</v>
      </c>
      <c r="D426" s="19">
        <v>331.09999999999997</v>
      </c>
    </row>
    <row r="427" spans="1:4" ht="12.75" customHeight="1" x14ac:dyDescent="0.2">
      <c r="A427" s="18">
        <v>100</v>
      </c>
      <c r="B427" s="18">
        <v>4</v>
      </c>
      <c r="C427" s="18">
        <v>700</v>
      </c>
      <c r="D427" s="19">
        <v>343.79999999999995</v>
      </c>
    </row>
    <row r="428" spans="1:4" ht="12.75" customHeight="1" x14ac:dyDescent="0.2">
      <c r="A428" s="18">
        <v>100</v>
      </c>
      <c r="B428" s="18">
        <v>4</v>
      </c>
      <c r="C428" s="18">
        <v>750</v>
      </c>
      <c r="D428" s="19">
        <v>356.49999999999994</v>
      </c>
    </row>
    <row r="429" spans="1:4" ht="12.75" customHeight="1" x14ac:dyDescent="0.2">
      <c r="A429" s="18">
        <v>100</v>
      </c>
      <c r="B429" s="18">
        <v>4</v>
      </c>
      <c r="C429" s="18">
        <v>800</v>
      </c>
      <c r="D429" s="19">
        <v>369.19999999999993</v>
      </c>
    </row>
    <row r="430" spans="1:4" ht="12.75" customHeight="1" x14ac:dyDescent="0.2">
      <c r="A430" s="18">
        <v>100</v>
      </c>
      <c r="B430" s="18">
        <v>4</v>
      </c>
      <c r="C430" s="18">
        <v>850</v>
      </c>
      <c r="D430" s="19">
        <v>381.89999999999992</v>
      </c>
    </row>
    <row r="431" spans="1:4" ht="12.75" customHeight="1" x14ac:dyDescent="0.2">
      <c r="A431" s="18">
        <v>100</v>
      </c>
      <c r="B431" s="18">
        <v>4</v>
      </c>
      <c r="C431" s="18">
        <v>900</v>
      </c>
      <c r="D431" s="19">
        <v>394.59999999999991</v>
      </c>
    </row>
    <row r="432" spans="1:4" ht="12.75" customHeight="1" x14ac:dyDescent="0.2">
      <c r="A432" s="18">
        <v>100</v>
      </c>
      <c r="B432" s="18">
        <v>4</v>
      </c>
      <c r="C432" s="18">
        <v>950</v>
      </c>
      <c r="D432" s="19">
        <v>407.2999999999999</v>
      </c>
    </row>
    <row r="433" spans="1:4" ht="12.75" customHeight="1" x14ac:dyDescent="0.2">
      <c r="A433" s="18">
        <v>100</v>
      </c>
      <c r="B433" s="18">
        <v>4</v>
      </c>
      <c r="C433" s="18">
        <v>1000</v>
      </c>
      <c r="D433" s="19">
        <v>420</v>
      </c>
    </row>
    <row r="434" spans="1:4" ht="12.75" customHeight="1" x14ac:dyDescent="0.2">
      <c r="A434" s="18">
        <v>100</v>
      </c>
      <c r="B434" s="18">
        <v>4</v>
      </c>
      <c r="C434" s="18">
        <v>1100</v>
      </c>
      <c r="D434" s="19">
        <v>442.1</v>
      </c>
    </row>
    <row r="435" spans="1:4" ht="12.75" customHeight="1" x14ac:dyDescent="0.2">
      <c r="A435" s="18">
        <v>100</v>
      </c>
      <c r="B435" s="18">
        <v>4</v>
      </c>
      <c r="C435" s="18">
        <v>1200</v>
      </c>
      <c r="D435" s="19">
        <v>464.20000000000005</v>
      </c>
    </row>
    <row r="436" spans="1:4" ht="12.75" customHeight="1" x14ac:dyDescent="0.2">
      <c r="A436" s="18">
        <v>100</v>
      </c>
      <c r="B436" s="18">
        <v>4</v>
      </c>
      <c r="C436" s="18">
        <v>1300</v>
      </c>
      <c r="D436" s="19">
        <v>486.30000000000007</v>
      </c>
    </row>
    <row r="437" spans="1:4" ht="12.75" customHeight="1" x14ac:dyDescent="0.2">
      <c r="A437" s="18">
        <v>100</v>
      </c>
      <c r="B437" s="18">
        <v>4</v>
      </c>
      <c r="C437" s="18">
        <v>1400</v>
      </c>
      <c r="D437" s="19">
        <v>508.40000000000009</v>
      </c>
    </row>
    <row r="438" spans="1:4" ht="12.75" customHeight="1" x14ac:dyDescent="0.2">
      <c r="A438" s="18">
        <v>100</v>
      </c>
      <c r="B438" s="18">
        <v>4</v>
      </c>
      <c r="C438" s="18">
        <v>1500</v>
      </c>
      <c r="D438" s="19">
        <v>530.50000000000011</v>
      </c>
    </row>
    <row r="439" spans="1:4" ht="12.75" customHeight="1" x14ac:dyDescent="0.2">
      <c r="A439" s="18">
        <v>100</v>
      </c>
      <c r="B439" s="18">
        <v>4</v>
      </c>
      <c r="C439" s="18">
        <v>1600</v>
      </c>
      <c r="D439" s="19">
        <v>552.60000000000014</v>
      </c>
    </row>
    <row r="440" spans="1:4" ht="12.75" customHeight="1" x14ac:dyDescent="0.2">
      <c r="A440" s="18">
        <v>100</v>
      </c>
      <c r="B440" s="18">
        <v>4</v>
      </c>
      <c r="C440" s="18">
        <v>1700</v>
      </c>
      <c r="D440" s="19">
        <v>574.70000000000016</v>
      </c>
    </row>
    <row r="441" spans="1:4" ht="12.75" customHeight="1" x14ac:dyDescent="0.2">
      <c r="A441" s="18">
        <v>100</v>
      </c>
      <c r="B441" s="18">
        <v>4</v>
      </c>
      <c r="C441" s="18">
        <v>1800</v>
      </c>
      <c r="D441" s="19">
        <v>596.80000000000018</v>
      </c>
    </row>
    <row r="442" spans="1:4" ht="12.75" customHeight="1" x14ac:dyDescent="0.2">
      <c r="A442" s="18">
        <v>100</v>
      </c>
      <c r="B442" s="18">
        <v>4</v>
      </c>
      <c r="C442" s="18">
        <v>1900</v>
      </c>
      <c r="D442" s="19">
        <v>618.9000000000002</v>
      </c>
    </row>
    <row r="443" spans="1:4" ht="12.75" customHeight="1" x14ac:dyDescent="0.2">
      <c r="A443" s="18">
        <v>100</v>
      </c>
      <c r="B443" s="18">
        <v>4</v>
      </c>
      <c r="C443" s="18">
        <v>2000</v>
      </c>
      <c r="D443" s="19">
        <v>641</v>
      </c>
    </row>
    <row r="444" spans="1:4" ht="12.75" customHeight="1" x14ac:dyDescent="0.2">
      <c r="A444" s="18">
        <v>100</v>
      </c>
      <c r="B444" s="18">
        <v>5</v>
      </c>
      <c r="C444" s="18">
        <v>50</v>
      </c>
      <c r="D444" s="19">
        <v>172</v>
      </c>
    </row>
    <row r="445" spans="1:4" ht="12.75" customHeight="1" x14ac:dyDescent="0.2">
      <c r="A445" s="18">
        <v>100</v>
      </c>
      <c r="B445" s="18">
        <v>5</v>
      </c>
      <c r="C445" s="18">
        <v>60</v>
      </c>
      <c r="D445" s="19">
        <v>177.8</v>
      </c>
    </row>
    <row r="446" spans="1:4" ht="12.75" customHeight="1" x14ac:dyDescent="0.2">
      <c r="A446" s="18">
        <v>100</v>
      </c>
      <c r="B446" s="18">
        <v>5</v>
      </c>
      <c r="C446" s="18">
        <v>70</v>
      </c>
      <c r="D446" s="19">
        <v>183.60000000000002</v>
      </c>
    </row>
    <row r="447" spans="1:4" ht="12.75" customHeight="1" x14ac:dyDescent="0.2">
      <c r="A447" s="18">
        <v>100</v>
      </c>
      <c r="B447" s="18">
        <v>5</v>
      </c>
      <c r="C447" s="18">
        <v>80</v>
      </c>
      <c r="D447" s="19">
        <v>189.40000000000003</v>
      </c>
    </row>
    <row r="448" spans="1:4" ht="12.75" customHeight="1" x14ac:dyDescent="0.2">
      <c r="A448" s="18">
        <v>100</v>
      </c>
      <c r="B448" s="18">
        <v>5</v>
      </c>
      <c r="C448" s="18">
        <v>90</v>
      </c>
      <c r="D448" s="19">
        <v>195.20000000000005</v>
      </c>
    </row>
    <row r="449" spans="1:4" ht="12.75" customHeight="1" x14ac:dyDescent="0.2">
      <c r="A449" s="18">
        <v>100</v>
      </c>
      <c r="B449" s="18">
        <v>5</v>
      </c>
      <c r="C449" s="18">
        <v>100</v>
      </c>
      <c r="D449" s="19">
        <v>201</v>
      </c>
    </row>
    <row r="450" spans="1:4" ht="12.75" customHeight="1" x14ac:dyDescent="0.2">
      <c r="A450" s="18">
        <v>100</v>
      </c>
      <c r="B450" s="18">
        <v>5</v>
      </c>
      <c r="C450" s="18">
        <v>150</v>
      </c>
      <c r="D450" s="19">
        <v>225.5</v>
      </c>
    </row>
    <row r="451" spans="1:4" ht="12.75" customHeight="1" x14ac:dyDescent="0.2">
      <c r="A451" s="18">
        <v>100</v>
      </c>
      <c r="B451" s="18">
        <v>5</v>
      </c>
      <c r="C451" s="18">
        <v>200</v>
      </c>
      <c r="D451" s="19">
        <v>250</v>
      </c>
    </row>
    <row r="452" spans="1:4" ht="12.75" customHeight="1" x14ac:dyDescent="0.2">
      <c r="A452" s="18">
        <v>100</v>
      </c>
      <c r="B452" s="18">
        <v>5</v>
      </c>
      <c r="C452" s="18">
        <v>250</v>
      </c>
      <c r="D452" s="19">
        <v>274.5</v>
      </c>
    </row>
    <row r="453" spans="1:4" ht="12.75" customHeight="1" x14ac:dyDescent="0.2">
      <c r="A453" s="18">
        <v>100</v>
      </c>
      <c r="B453" s="18">
        <v>5</v>
      </c>
      <c r="C453" s="18">
        <v>300</v>
      </c>
      <c r="D453" s="19">
        <v>299</v>
      </c>
    </row>
    <row r="454" spans="1:4" ht="12.75" customHeight="1" x14ac:dyDescent="0.2">
      <c r="A454" s="18">
        <v>100</v>
      </c>
      <c r="B454" s="18">
        <v>5</v>
      </c>
      <c r="C454" s="18">
        <v>350</v>
      </c>
      <c r="D454" s="19">
        <v>321.25</v>
      </c>
    </row>
    <row r="455" spans="1:4" ht="12.75" customHeight="1" x14ac:dyDescent="0.2">
      <c r="A455" s="18">
        <v>100</v>
      </c>
      <c r="B455" s="18">
        <v>5</v>
      </c>
      <c r="C455" s="18">
        <v>400</v>
      </c>
      <c r="D455" s="19">
        <v>343.5</v>
      </c>
    </row>
    <row r="456" spans="1:4" ht="12.75" customHeight="1" x14ac:dyDescent="0.2">
      <c r="A456" s="18">
        <v>100</v>
      </c>
      <c r="B456" s="18">
        <v>5</v>
      </c>
      <c r="C456" s="18">
        <v>450</v>
      </c>
      <c r="D456" s="19">
        <v>365.75</v>
      </c>
    </row>
    <row r="457" spans="1:4" ht="12.75" customHeight="1" x14ac:dyDescent="0.2">
      <c r="A457" s="18">
        <v>100</v>
      </c>
      <c r="B457" s="18">
        <v>5</v>
      </c>
      <c r="C457" s="18">
        <v>500</v>
      </c>
      <c r="D457" s="19">
        <v>388</v>
      </c>
    </row>
    <row r="458" spans="1:4" ht="12.75" customHeight="1" x14ac:dyDescent="0.2">
      <c r="A458" s="18">
        <v>100</v>
      </c>
      <c r="B458" s="18">
        <v>5</v>
      </c>
      <c r="C458" s="18">
        <v>550</v>
      </c>
      <c r="D458" s="19">
        <v>408.4</v>
      </c>
    </row>
    <row r="459" spans="1:4" ht="12.75" customHeight="1" x14ac:dyDescent="0.2">
      <c r="A459" s="18">
        <v>100</v>
      </c>
      <c r="B459" s="18">
        <v>5</v>
      </c>
      <c r="C459" s="18">
        <v>600</v>
      </c>
      <c r="D459" s="19">
        <v>428.79999999999995</v>
      </c>
    </row>
    <row r="460" spans="1:4" ht="12.75" customHeight="1" x14ac:dyDescent="0.2">
      <c r="A460" s="18">
        <v>100</v>
      </c>
      <c r="B460" s="18">
        <v>5</v>
      </c>
      <c r="C460" s="18">
        <v>650</v>
      </c>
      <c r="D460" s="19">
        <v>449.19999999999993</v>
      </c>
    </row>
    <row r="461" spans="1:4" ht="12.75" customHeight="1" x14ac:dyDescent="0.2">
      <c r="A461" s="18">
        <v>100</v>
      </c>
      <c r="B461" s="18">
        <v>5</v>
      </c>
      <c r="C461" s="18">
        <v>700</v>
      </c>
      <c r="D461" s="19">
        <v>469.59999999999991</v>
      </c>
    </row>
    <row r="462" spans="1:4" ht="12.75" customHeight="1" x14ac:dyDescent="0.2">
      <c r="A462" s="18">
        <v>100</v>
      </c>
      <c r="B462" s="18">
        <v>5</v>
      </c>
      <c r="C462" s="18">
        <v>750</v>
      </c>
      <c r="D462" s="19">
        <v>489.99999999999989</v>
      </c>
    </row>
    <row r="463" spans="1:4" ht="12.75" customHeight="1" x14ac:dyDescent="0.2">
      <c r="A463" s="18">
        <v>100</v>
      </c>
      <c r="B463" s="18">
        <v>5</v>
      </c>
      <c r="C463" s="18">
        <v>800</v>
      </c>
      <c r="D463" s="19">
        <v>510.39999999999986</v>
      </c>
    </row>
    <row r="464" spans="1:4" ht="12.75" customHeight="1" x14ac:dyDescent="0.2">
      <c r="A464" s="18">
        <v>100</v>
      </c>
      <c r="B464" s="18">
        <v>5</v>
      </c>
      <c r="C464" s="18">
        <v>850</v>
      </c>
      <c r="D464" s="19">
        <v>530.79999999999984</v>
      </c>
    </row>
    <row r="465" spans="1:4" ht="12.75" customHeight="1" x14ac:dyDescent="0.2">
      <c r="A465" s="18">
        <v>100</v>
      </c>
      <c r="B465" s="18">
        <v>5</v>
      </c>
      <c r="C465" s="18">
        <v>900</v>
      </c>
      <c r="D465" s="19">
        <v>551.19999999999982</v>
      </c>
    </row>
    <row r="466" spans="1:4" ht="12.75" customHeight="1" x14ac:dyDescent="0.2">
      <c r="A466" s="18">
        <v>100</v>
      </c>
      <c r="B466" s="18">
        <v>5</v>
      </c>
      <c r="C466" s="18">
        <v>950</v>
      </c>
      <c r="D466" s="19">
        <v>571.5999999999998</v>
      </c>
    </row>
    <row r="467" spans="1:4" ht="12.75" customHeight="1" x14ac:dyDescent="0.2">
      <c r="A467" s="18">
        <v>100</v>
      </c>
      <c r="B467" s="18">
        <v>5</v>
      </c>
      <c r="C467" s="18">
        <v>1000</v>
      </c>
      <c r="D467" s="19">
        <v>592</v>
      </c>
    </row>
    <row r="468" spans="1:4" ht="12.75" customHeight="1" x14ac:dyDescent="0.2">
      <c r="A468" s="18">
        <v>100</v>
      </c>
      <c r="B468" s="18">
        <v>5</v>
      </c>
      <c r="C468" s="18">
        <v>1100</v>
      </c>
      <c r="D468" s="19">
        <v>627.70000000000005</v>
      </c>
    </row>
    <row r="469" spans="1:4" ht="12.75" customHeight="1" x14ac:dyDescent="0.2">
      <c r="A469" s="18">
        <v>100</v>
      </c>
      <c r="B469" s="18">
        <v>5</v>
      </c>
      <c r="C469" s="18">
        <v>1200</v>
      </c>
      <c r="D469" s="19">
        <v>663.40000000000009</v>
      </c>
    </row>
    <row r="470" spans="1:4" ht="12.75" customHeight="1" x14ac:dyDescent="0.2">
      <c r="A470" s="18">
        <v>100</v>
      </c>
      <c r="B470" s="18">
        <v>5</v>
      </c>
      <c r="C470" s="18">
        <v>1300</v>
      </c>
      <c r="D470" s="19">
        <v>699.10000000000014</v>
      </c>
    </row>
    <row r="471" spans="1:4" ht="12.75" customHeight="1" x14ac:dyDescent="0.2">
      <c r="A471" s="18">
        <v>100</v>
      </c>
      <c r="B471" s="18">
        <v>5</v>
      </c>
      <c r="C471" s="18">
        <v>1400</v>
      </c>
      <c r="D471" s="19">
        <v>734.80000000000018</v>
      </c>
    </row>
    <row r="472" spans="1:4" ht="12.75" customHeight="1" x14ac:dyDescent="0.2">
      <c r="A472" s="18">
        <v>100</v>
      </c>
      <c r="B472" s="18">
        <v>5</v>
      </c>
      <c r="C472" s="18">
        <v>1500</v>
      </c>
      <c r="D472" s="19">
        <v>770.50000000000023</v>
      </c>
    </row>
    <row r="473" spans="1:4" ht="12.75" customHeight="1" x14ac:dyDescent="0.2">
      <c r="A473" s="18">
        <v>100</v>
      </c>
      <c r="B473" s="18">
        <v>5</v>
      </c>
      <c r="C473" s="18">
        <v>1600</v>
      </c>
      <c r="D473" s="19">
        <v>806.20000000000027</v>
      </c>
    </row>
    <row r="474" spans="1:4" ht="12.75" customHeight="1" x14ac:dyDescent="0.2">
      <c r="A474" s="18">
        <v>100</v>
      </c>
      <c r="B474" s="18">
        <v>5</v>
      </c>
      <c r="C474" s="18">
        <v>1700</v>
      </c>
      <c r="D474" s="19">
        <v>841.90000000000032</v>
      </c>
    </row>
    <row r="475" spans="1:4" ht="12.75" customHeight="1" x14ac:dyDescent="0.2">
      <c r="A475" s="18">
        <v>100</v>
      </c>
      <c r="B475" s="18">
        <v>5</v>
      </c>
      <c r="C475" s="18">
        <v>1800</v>
      </c>
      <c r="D475" s="19">
        <v>877.60000000000036</v>
      </c>
    </row>
    <row r="476" spans="1:4" ht="12.75" customHeight="1" x14ac:dyDescent="0.2">
      <c r="A476" s="18">
        <v>100</v>
      </c>
      <c r="B476" s="18">
        <v>5</v>
      </c>
      <c r="C476" s="18">
        <v>1900</v>
      </c>
      <c r="D476" s="19">
        <v>913.30000000000041</v>
      </c>
    </row>
    <row r="477" spans="1:4" ht="12.75" customHeight="1" x14ac:dyDescent="0.2">
      <c r="A477" s="18">
        <v>100</v>
      </c>
      <c r="B477" s="18">
        <v>5</v>
      </c>
      <c r="C477" s="18">
        <v>2000</v>
      </c>
      <c r="D477" s="19">
        <v>949</v>
      </c>
    </row>
    <row r="478" spans="1:4" ht="12.75" customHeight="1" x14ac:dyDescent="0.2">
      <c r="A478" s="18">
        <v>100</v>
      </c>
      <c r="B478" s="18">
        <v>6</v>
      </c>
      <c r="C478" s="18">
        <v>50</v>
      </c>
      <c r="D478" s="19">
        <v>189</v>
      </c>
    </row>
    <row r="479" spans="1:4" ht="12.75" customHeight="1" x14ac:dyDescent="0.2">
      <c r="A479" s="18">
        <v>100</v>
      </c>
      <c r="B479" s="18">
        <v>6</v>
      </c>
      <c r="C479" s="18">
        <v>60</v>
      </c>
      <c r="D479" s="19">
        <v>197.2</v>
      </c>
    </row>
    <row r="480" spans="1:4" ht="12.75" customHeight="1" x14ac:dyDescent="0.2">
      <c r="A480" s="18">
        <v>100</v>
      </c>
      <c r="B480" s="18">
        <v>6</v>
      </c>
      <c r="C480" s="18">
        <v>70</v>
      </c>
      <c r="D480" s="19">
        <v>205.39999999999998</v>
      </c>
    </row>
    <row r="481" spans="1:4" ht="12.75" customHeight="1" x14ac:dyDescent="0.2">
      <c r="A481" s="18">
        <v>100</v>
      </c>
      <c r="B481" s="18">
        <v>6</v>
      </c>
      <c r="C481" s="18">
        <v>80</v>
      </c>
      <c r="D481" s="19">
        <v>213.59999999999997</v>
      </c>
    </row>
    <row r="482" spans="1:4" ht="12.75" customHeight="1" x14ac:dyDescent="0.2">
      <c r="A482" s="18">
        <v>100</v>
      </c>
      <c r="B482" s="18">
        <v>6</v>
      </c>
      <c r="C482" s="18">
        <v>90</v>
      </c>
      <c r="D482" s="19">
        <v>221.79999999999995</v>
      </c>
    </row>
    <row r="483" spans="1:4" ht="12.75" customHeight="1" x14ac:dyDescent="0.2">
      <c r="A483" s="18">
        <v>100</v>
      </c>
      <c r="B483" s="18">
        <v>6</v>
      </c>
      <c r="C483" s="18">
        <v>100</v>
      </c>
      <c r="D483" s="19">
        <v>230</v>
      </c>
    </row>
    <row r="484" spans="1:4" ht="12.75" customHeight="1" x14ac:dyDescent="0.2">
      <c r="A484" s="18">
        <v>100</v>
      </c>
      <c r="B484" s="18">
        <v>6</v>
      </c>
      <c r="C484" s="18">
        <v>150</v>
      </c>
      <c r="D484" s="19">
        <v>266.25</v>
      </c>
    </row>
    <row r="485" spans="1:4" ht="12.75" customHeight="1" x14ac:dyDescent="0.2">
      <c r="A485" s="18">
        <v>100</v>
      </c>
      <c r="B485" s="18">
        <v>6</v>
      </c>
      <c r="C485" s="18">
        <v>200</v>
      </c>
      <c r="D485" s="19">
        <v>302.5</v>
      </c>
    </row>
    <row r="486" spans="1:4" ht="12.75" customHeight="1" x14ac:dyDescent="0.2">
      <c r="A486" s="18">
        <v>100</v>
      </c>
      <c r="B486" s="18">
        <v>6</v>
      </c>
      <c r="C486" s="18">
        <v>250</v>
      </c>
      <c r="D486" s="19">
        <v>338.75</v>
      </c>
    </row>
    <row r="487" spans="1:4" ht="12.75" customHeight="1" x14ac:dyDescent="0.2">
      <c r="A487" s="18">
        <v>100</v>
      </c>
      <c r="B487" s="18">
        <v>6</v>
      </c>
      <c r="C487" s="18">
        <v>300</v>
      </c>
      <c r="D487" s="19">
        <v>375</v>
      </c>
    </row>
    <row r="488" spans="1:4" ht="12.75" customHeight="1" x14ac:dyDescent="0.2">
      <c r="A488" s="18">
        <v>100</v>
      </c>
      <c r="B488" s="18">
        <v>6</v>
      </c>
      <c r="C488" s="18">
        <v>350</v>
      </c>
      <c r="D488" s="19">
        <v>408</v>
      </c>
    </row>
    <row r="489" spans="1:4" ht="12.75" customHeight="1" x14ac:dyDescent="0.2">
      <c r="A489" s="18">
        <v>100</v>
      </c>
      <c r="B489" s="18">
        <v>6</v>
      </c>
      <c r="C489" s="18">
        <v>400</v>
      </c>
      <c r="D489" s="19">
        <v>441</v>
      </c>
    </row>
    <row r="490" spans="1:4" ht="12.75" customHeight="1" x14ac:dyDescent="0.2">
      <c r="A490" s="18">
        <v>100</v>
      </c>
      <c r="B490" s="18">
        <v>6</v>
      </c>
      <c r="C490" s="18">
        <v>450</v>
      </c>
      <c r="D490" s="19">
        <v>474</v>
      </c>
    </row>
    <row r="491" spans="1:4" ht="12.75" customHeight="1" x14ac:dyDescent="0.2">
      <c r="A491" s="18">
        <v>100</v>
      </c>
      <c r="B491" s="18">
        <v>6</v>
      </c>
      <c r="C491" s="18">
        <v>500</v>
      </c>
      <c r="D491" s="19">
        <v>507</v>
      </c>
    </row>
    <row r="492" spans="1:4" ht="12.75" customHeight="1" x14ac:dyDescent="0.2">
      <c r="A492" s="18">
        <v>100</v>
      </c>
      <c r="B492" s="18">
        <v>6</v>
      </c>
      <c r="C492" s="18">
        <v>550</v>
      </c>
      <c r="D492" s="19">
        <v>537</v>
      </c>
    </row>
    <row r="493" spans="1:4" ht="12.75" customHeight="1" x14ac:dyDescent="0.2">
      <c r="A493" s="18">
        <v>100</v>
      </c>
      <c r="B493" s="18">
        <v>6</v>
      </c>
      <c r="C493" s="18">
        <v>600</v>
      </c>
      <c r="D493" s="19">
        <v>567</v>
      </c>
    </row>
    <row r="494" spans="1:4" ht="12.75" customHeight="1" x14ac:dyDescent="0.2">
      <c r="A494" s="18">
        <v>100</v>
      </c>
      <c r="B494" s="18">
        <v>6</v>
      </c>
      <c r="C494" s="18">
        <v>650</v>
      </c>
      <c r="D494" s="19">
        <v>597</v>
      </c>
    </row>
    <row r="495" spans="1:4" ht="12.75" customHeight="1" x14ac:dyDescent="0.2">
      <c r="A495" s="18">
        <v>100</v>
      </c>
      <c r="B495" s="18">
        <v>6</v>
      </c>
      <c r="C495" s="18">
        <v>700</v>
      </c>
      <c r="D495" s="19">
        <v>627</v>
      </c>
    </row>
    <row r="496" spans="1:4" ht="12.75" customHeight="1" x14ac:dyDescent="0.2">
      <c r="A496" s="18">
        <v>100</v>
      </c>
      <c r="B496" s="18">
        <v>6</v>
      </c>
      <c r="C496" s="18">
        <v>750</v>
      </c>
      <c r="D496" s="19">
        <v>657</v>
      </c>
    </row>
    <row r="497" spans="1:4" ht="12.75" customHeight="1" x14ac:dyDescent="0.2">
      <c r="A497" s="18">
        <v>100</v>
      </c>
      <c r="B497" s="18">
        <v>6</v>
      </c>
      <c r="C497" s="18">
        <v>800</v>
      </c>
      <c r="D497" s="19">
        <v>687</v>
      </c>
    </row>
    <row r="498" spans="1:4" ht="12.75" customHeight="1" x14ac:dyDescent="0.2">
      <c r="A498" s="18">
        <v>100</v>
      </c>
      <c r="B498" s="18">
        <v>6</v>
      </c>
      <c r="C498" s="18">
        <v>850</v>
      </c>
      <c r="D498" s="19">
        <v>717</v>
      </c>
    </row>
    <row r="499" spans="1:4" ht="12.75" customHeight="1" x14ac:dyDescent="0.2">
      <c r="A499" s="18">
        <v>100</v>
      </c>
      <c r="B499" s="18">
        <v>6</v>
      </c>
      <c r="C499" s="18">
        <v>900</v>
      </c>
      <c r="D499" s="19">
        <v>747</v>
      </c>
    </row>
    <row r="500" spans="1:4" ht="12.75" customHeight="1" x14ac:dyDescent="0.2">
      <c r="A500" s="18">
        <v>100</v>
      </c>
      <c r="B500" s="18">
        <v>6</v>
      </c>
      <c r="C500" s="18">
        <v>950</v>
      </c>
      <c r="D500" s="19">
        <v>777</v>
      </c>
    </row>
    <row r="501" spans="1:4" ht="12.75" customHeight="1" x14ac:dyDescent="0.2">
      <c r="A501" s="18">
        <v>100</v>
      </c>
      <c r="B501" s="18">
        <v>6</v>
      </c>
      <c r="C501" s="18">
        <v>1000</v>
      </c>
      <c r="D501" s="19">
        <v>807</v>
      </c>
    </row>
    <row r="502" spans="1:4" ht="12.75" customHeight="1" x14ac:dyDescent="0.2">
      <c r="A502" s="18">
        <v>100</v>
      </c>
      <c r="B502" s="18">
        <v>6</v>
      </c>
      <c r="C502" s="18">
        <v>1100</v>
      </c>
      <c r="D502" s="19">
        <v>861.1</v>
      </c>
    </row>
    <row r="503" spans="1:4" ht="12.75" customHeight="1" x14ac:dyDescent="0.2">
      <c r="A503" s="18">
        <v>100</v>
      </c>
      <c r="B503" s="18">
        <v>6</v>
      </c>
      <c r="C503" s="18">
        <v>1200</v>
      </c>
      <c r="D503" s="19">
        <v>915.2</v>
      </c>
    </row>
    <row r="504" spans="1:4" ht="12.75" customHeight="1" x14ac:dyDescent="0.2">
      <c r="A504" s="18">
        <v>100</v>
      </c>
      <c r="B504" s="18">
        <v>6</v>
      </c>
      <c r="C504" s="18">
        <v>1300</v>
      </c>
      <c r="D504" s="19">
        <v>969.30000000000007</v>
      </c>
    </row>
    <row r="505" spans="1:4" ht="12.75" customHeight="1" x14ac:dyDescent="0.2">
      <c r="A505" s="18">
        <v>100</v>
      </c>
      <c r="B505" s="18">
        <v>6</v>
      </c>
      <c r="C505" s="18">
        <v>1400</v>
      </c>
      <c r="D505" s="19">
        <v>1023.4000000000001</v>
      </c>
    </row>
    <row r="506" spans="1:4" ht="12.75" customHeight="1" x14ac:dyDescent="0.2">
      <c r="A506" s="18">
        <v>100</v>
      </c>
      <c r="B506" s="18">
        <v>6</v>
      </c>
      <c r="C506" s="18">
        <v>1500</v>
      </c>
      <c r="D506" s="19">
        <v>1077.5</v>
      </c>
    </row>
    <row r="507" spans="1:4" ht="12.75" customHeight="1" x14ac:dyDescent="0.2">
      <c r="A507" s="18">
        <v>100</v>
      </c>
      <c r="B507" s="18">
        <v>6</v>
      </c>
      <c r="C507" s="18">
        <v>1600</v>
      </c>
      <c r="D507" s="19">
        <v>1131.5999999999999</v>
      </c>
    </row>
    <row r="508" spans="1:4" ht="12.75" customHeight="1" x14ac:dyDescent="0.2">
      <c r="A508" s="18">
        <v>100</v>
      </c>
      <c r="B508" s="18">
        <v>6</v>
      </c>
      <c r="C508" s="18">
        <v>1700</v>
      </c>
      <c r="D508" s="19">
        <v>1185.6999999999998</v>
      </c>
    </row>
    <row r="509" spans="1:4" ht="12.75" customHeight="1" x14ac:dyDescent="0.2">
      <c r="A509" s="18">
        <v>100</v>
      </c>
      <c r="B509" s="18">
        <v>6</v>
      </c>
      <c r="C509" s="18">
        <v>1800</v>
      </c>
      <c r="D509" s="19">
        <v>1239.7999999999997</v>
      </c>
    </row>
    <row r="510" spans="1:4" ht="12.75" customHeight="1" x14ac:dyDescent="0.2">
      <c r="A510" s="18">
        <v>100</v>
      </c>
      <c r="B510" s="18">
        <v>6</v>
      </c>
      <c r="C510" s="18">
        <v>1900</v>
      </c>
      <c r="D510" s="19">
        <v>1293.8999999999996</v>
      </c>
    </row>
    <row r="511" spans="1:4" ht="12.75" customHeight="1" x14ac:dyDescent="0.2">
      <c r="A511" s="18">
        <v>100</v>
      </c>
      <c r="B511" s="18">
        <v>6</v>
      </c>
      <c r="C511" s="18">
        <v>2000</v>
      </c>
      <c r="D511" s="19">
        <v>1348</v>
      </c>
    </row>
    <row r="512" spans="1:4" ht="12.75" customHeight="1" x14ac:dyDescent="0.2">
      <c r="A512" s="18">
        <v>150</v>
      </c>
      <c r="B512" s="18">
        <v>2</v>
      </c>
      <c r="C512" s="18">
        <v>50</v>
      </c>
      <c r="D512" s="19">
        <v>180</v>
      </c>
    </row>
    <row r="513" spans="1:4" ht="12.75" customHeight="1" x14ac:dyDescent="0.2">
      <c r="A513" s="18">
        <v>150</v>
      </c>
      <c r="B513" s="18">
        <v>2</v>
      </c>
      <c r="C513" s="18">
        <v>60</v>
      </c>
      <c r="D513" s="19">
        <v>181.8</v>
      </c>
    </row>
    <row r="514" spans="1:4" ht="12.75" customHeight="1" x14ac:dyDescent="0.2">
      <c r="A514" s="18">
        <v>150</v>
      </c>
      <c r="B514" s="18">
        <v>2</v>
      </c>
      <c r="C514" s="18">
        <v>70</v>
      </c>
      <c r="D514" s="19">
        <v>183.60000000000002</v>
      </c>
    </row>
    <row r="515" spans="1:4" ht="12.75" customHeight="1" x14ac:dyDescent="0.2">
      <c r="A515" s="18">
        <v>150</v>
      </c>
      <c r="B515" s="18">
        <v>2</v>
      </c>
      <c r="C515" s="18">
        <v>80</v>
      </c>
      <c r="D515" s="19">
        <v>185.40000000000003</v>
      </c>
    </row>
    <row r="516" spans="1:4" ht="12.75" customHeight="1" x14ac:dyDescent="0.2">
      <c r="A516" s="18">
        <v>150</v>
      </c>
      <c r="B516" s="18">
        <v>2</v>
      </c>
      <c r="C516" s="18">
        <v>90</v>
      </c>
      <c r="D516" s="19">
        <v>187.20000000000005</v>
      </c>
    </row>
    <row r="517" spans="1:4" ht="12.75" customHeight="1" x14ac:dyDescent="0.2">
      <c r="A517" s="18">
        <v>150</v>
      </c>
      <c r="B517" s="18">
        <v>2</v>
      </c>
      <c r="C517" s="18">
        <v>100</v>
      </c>
      <c r="D517" s="19">
        <v>189</v>
      </c>
    </row>
    <row r="518" spans="1:4" ht="12.75" customHeight="1" x14ac:dyDescent="0.2">
      <c r="A518" s="18">
        <v>150</v>
      </c>
      <c r="B518" s="18">
        <v>2</v>
      </c>
      <c r="C518" s="18">
        <v>150</v>
      </c>
      <c r="D518" s="19">
        <v>193.25</v>
      </c>
    </row>
    <row r="519" spans="1:4" ht="12.75" customHeight="1" x14ac:dyDescent="0.2">
      <c r="A519" s="18">
        <v>150</v>
      </c>
      <c r="B519" s="18">
        <v>2</v>
      </c>
      <c r="C519" s="18">
        <v>200</v>
      </c>
      <c r="D519" s="19">
        <v>197.5</v>
      </c>
    </row>
    <row r="520" spans="1:4" ht="12.75" customHeight="1" x14ac:dyDescent="0.2">
      <c r="A520" s="18">
        <v>150</v>
      </c>
      <c r="B520" s="18">
        <v>2</v>
      </c>
      <c r="C520" s="18">
        <v>250</v>
      </c>
      <c r="D520" s="19">
        <v>201.75</v>
      </c>
    </row>
    <row r="521" spans="1:4" ht="12.75" customHeight="1" x14ac:dyDescent="0.2">
      <c r="A521" s="18">
        <v>150</v>
      </c>
      <c r="B521" s="18">
        <v>2</v>
      </c>
      <c r="C521" s="18">
        <v>300</v>
      </c>
      <c r="D521" s="19">
        <v>206</v>
      </c>
    </row>
    <row r="522" spans="1:4" ht="12.75" customHeight="1" x14ac:dyDescent="0.2">
      <c r="A522" s="18">
        <v>150</v>
      </c>
      <c r="B522" s="18">
        <v>2</v>
      </c>
      <c r="C522" s="18">
        <v>350</v>
      </c>
      <c r="D522" s="19">
        <v>209.5</v>
      </c>
    </row>
    <row r="523" spans="1:4" ht="12.75" customHeight="1" x14ac:dyDescent="0.2">
      <c r="A523" s="18">
        <v>150</v>
      </c>
      <c r="B523" s="18">
        <v>2</v>
      </c>
      <c r="C523" s="18">
        <v>400</v>
      </c>
      <c r="D523" s="19">
        <v>213</v>
      </c>
    </row>
    <row r="524" spans="1:4" ht="12.75" customHeight="1" x14ac:dyDescent="0.2">
      <c r="A524" s="18">
        <v>150</v>
      </c>
      <c r="B524" s="18">
        <v>2</v>
      </c>
      <c r="C524" s="18">
        <v>450</v>
      </c>
      <c r="D524" s="19">
        <v>216.5</v>
      </c>
    </row>
    <row r="525" spans="1:4" ht="12.75" customHeight="1" x14ac:dyDescent="0.2">
      <c r="A525" s="18">
        <v>150</v>
      </c>
      <c r="B525" s="18">
        <v>2</v>
      </c>
      <c r="C525" s="18">
        <v>500</v>
      </c>
      <c r="D525" s="19">
        <v>220</v>
      </c>
    </row>
    <row r="526" spans="1:4" ht="12.75" customHeight="1" x14ac:dyDescent="0.2">
      <c r="A526" s="18">
        <v>150</v>
      </c>
      <c r="B526" s="18">
        <v>2</v>
      </c>
      <c r="C526" s="18">
        <v>550</v>
      </c>
      <c r="D526" s="19">
        <v>222.9</v>
      </c>
    </row>
    <row r="527" spans="1:4" ht="12.75" customHeight="1" x14ac:dyDescent="0.2">
      <c r="A527" s="18">
        <v>150</v>
      </c>
      <c r="B527" s="18">
        <v>2</v>
      </c>
      <c r="C527" s="18">
        <v>600</v>
      </c>
      <c r="D527" s="19">
        <v>225.8</v>
      </c>
    </row>
    <row r="528" spans="1:4" ht="12.75" customHeight="1" x14ac:dyDescent="0.2">
      <c r="A528" s="18">
        <v>150</v>
      </c>
      <c r="B528" s="18">
        <v>2</v>
      </c>
      <c r="C528" s="18">
        <v>650</v>
      </c>
      <c r="D528" s="19">
        <v>228.70000000000002</v>
      </c>
    </row>
    <row r="529" spans="1:4" ht="12.75" customHeight="1" x14ac:dyDescent="0.2">
      <c r="A529" s="18">
        <v>150</v>
      </c>
      <c r="B529" s="18">
        <v>2</v>
      </c>
      <c r="C529" s="18">
        <v>700</v>
      </c>
      <c r="D529" s="19">
        <v>231.60000000000002</v>
      </c>
    </row>
    <row r="530" spans="1:4" ht="12.75" customHeight="1" x14ac:dyDescent="0.2">
      <c r="A530" s="18">
        <v>150</v>
      </c>
      <c r="B530" s="18">
        <v>2</v>
      </c>
      <c r="C530" s="18">
        <v>750</v>
      </c>
      <c r="D530" s="19">
        <v>234.50000000000003</v>
      </c>
    </row>
    <row r="531" spans="1:4" ht="12.75" customHeight="1" x14ac:dyDescent="0.2">
      <c r="A531" s="18">
        <v>150</v>
      </c>
      <c r="B531" s="18">
        <v>2</v>
      </c>
      <c r="C531" s="18">
        <v>800</v>
      </c>
      <c r="D531" s="19">
        <v>237.40000000000003</v>
      </c>
    </row>
    <row r="532" spans="1:4" ht="12.75" customHeight="1" x14ac:dyDescent="0.2">
      <c r="A532" s="18">
        <v>150</v>
      </c>
      <c r="B532" s="18">
        <v>2</v>
      </c>
      <c r="C532" s="18">
        <v>850</v>
      </c>
      <c r="D532" s="19">
        <v>240.30000000000004</v>
      </c>
    </row>
    <row r="533" spans="1:4" ht="12.75" customHeight="1" x14ac:dyDescent="0.2">
      <c r="A533" s="18">
        <v>150</v>
      </c>
      <c r="B533" s="18">
        <v>2</v>
      </c>
      <c r="C533" s="18">
        <v>900</v>
      </c>
      <c r="D533" s="19">
        <v>243.20000000000005</v>
      </c>
    </row>
    <row r="534" spans="1:4" ht="12.75" customHeight="1" x14ac:dyDescent="0.2">
      <c r="A534" s="18">
        <v>150</v>
      </c>
      <c r="B534" s="18">
        <v>2</v>
      </c>
      <c r="C534" s="18">
        <v>950</v>
      </c>
      <c r="D534" s="19">
        <v>246.10000000000005</v>
      </c>
    </row>
    <row r="535" spans="1:4" ht="12.75" customHeight="1" x14ac:dyDescent="0.2">
      <c r="A535" s="18">
        <v>150</v>
      </c>
      <c r="B535" s="18">
        <v>2</v>
      </c>
      <c r="C535" s="18">
        <v>1000</v>
      </c>
      <c r="D535" s="19">
        <v>249</v>
      </c>
    </row>
    <row r="536" spans="1:4" ht="12.75" customHeight="1" x14ac:dyDescent="0.2">
      <c r="A536" s="18">
        <v>150</v>
      </c>
      <c r="B536" s="18">
        <v>2</v>
      </c>
      <c r="C536" s="18">
        <v>1100</v>
      </c>
      <c r="D536" s="19">
        <v>254</v>
      </c>
    </row>
    <row r="537" spans="1:4" ht="12.75" customHeight="1" x14ac:dyDescent="0.2">
      <c r="A537" s="18">
        <v>150</v>
      </c>
      <c r="B537" s="18">
        <v>2</v>
      </c>
      <c r="C537" s="18">
        <v>1200</v>
      </c>
      <c r="D537" s="19">
        <v>259</v>
      </c>
    </row>
    <row r="538" spans="1:4" ht="12.75" customHeight="1" x14ac:dyDescent="0.2">
      <c r="A538" s="18">
        <v>150</v>
      </c>
      <c r="B538" s="18">
        <v>2</v>
      </c>
      <c r="C538" s="18">
        <v>1300</v>
      </c>
      <c r="D538" s="19">
        <v>264</v>
      </c>
    </row>
    <row r="539" spans="1:4" ht="12.75" customHeight="1" x14ac:dyDescent="0.2">
      <c r="A539" s="18">
        <v>150</v>
      </c>
      <c r="B539" s="18">
        <v>2</v>
      </c>
      <c r="C539" s="18">
        <v>1400</v>
      </c>
      <c r="D539" s="19">
        <v>269</v>
      </c>
    </row>
    <row r="540" spans="1:4" ht="12.75" customHeight="1" x14ac:dyDescent="0.2">
      <c r="A540" s="18">
        <v>150</v>
      </c>
      <c r="B540" s="18">
        <v>2</v>
      </c>
      <c r="C540" s="18">
        <v>1500</v>
      </c>
      <c r="D540" s="19">
        <v>274</v>
      </c>
    </row>
    <row r="541" spans="1:4" ht="12.75" customHeight="1" x14ac:dyDescent="0.2">
      <c r="A541" s="18">
        <v>150</v>
      </c>
      <c r="B541" s="18">
        <v>2</v>
      </c>
      <c r="C541" s="18">
        <v>1600</v>
      </c>
      <c r="D541" s="19">
        <v>279</v>
      </c>
    </row>
    <row r="542" spans="1:4" ht="12.75" customHeight="1" x14ac:dyDescent="0.2">
      <c r="A542" s="18">
        <v>150</v>
      </c>
      <c r="B542" s="18">
        <v>2</v>
      </c>
      <c r="C542" s="18">
        <v>1700</v>
      </c>
      <c r="D542" s="19">
        <v>284</v>
      </c>
    </row>
    <row r="543" spans="1:4" ht="12.75" customHeight="1" x14ac:dyDescent="0.2">
      <c r="A543" s="18">
        <v>150</v>
      </c>
      <c r="B543" s="18">
        <v>2</v>
      </c>
      <c r="C543" s="18">
        <v>1800</v>
      </c>
      <c r="D543" s="19">
        <v>289</v>
      </c>
    </row>
    <row r="544" spans="1:4" ht="12.75" customHeight="1" x14ac:dyDescent="0.2">
      <c r="A544" s="18">
        <v>150</v>
      </c>
      <c r="B544" s="18">
        <v>2</v>
      </c>
      <c r="C544" s="18">
        <v>1900</v>
      </c>
      <c r="D544" s="19">
        <v>294</v>
      </c>
    </row>
    <row r="545" spans="1:4" ht="12.75" customHeight="1" x14ac:dyDescent="0.2">
      <c r="A545" s="18">
        <v>150</v>
      </c>
      <c r="B545" s="18">
        <v>2</v>
      </c>
      <c r="C545" s="18">
        <v>2000</v>
      </c>
      <c r="D545" s="19">
        <v>299</v>
      </c>
    </row>
    <row r="546" spans="1:4" ht="12.75" customHeight="1" x14ac:dyDescent="0.2">
      <c r="A546" s="18">
        <v>150</v>
      </c>
      <c r="B546" s="18">
        <v>3</v>
      </c>
      <c r="C546" s="18">
        <v>50</v>
      </c>
      <c r="D546" s="19">
        <v>192</v>
      </c>
    </row>
    <row r="547" spans="1:4" ht="12.75" customHeight="1" x14ac:dyDescent="0.2">
      <c r="A547" s="18">
        <v>150</v>
      </c>
      <c r="B547" s="18">
        <v>3</v>
      </c>
      <c r="C547" s="18">
        <v>60</v>
      </c>
      <c r="D547" s="19">
        <v>194.6</v>
      </c>
    </row>
    <row r="548" spans="1:4" ht="12.75" customHeight="1" x14ac:dyDescent="0.2">
      <c r="A548" s="18">
        <v>150</v>
      </c>
      <c r="B548" s="18">
        <v>3</v>
      </c>
      <c r="C548" s="18">
        <v>70</v>
      </c>
      <c r="D548" s="19">
        <v>197.2</v>
      </c>
    </row>
    <row r="549" spans="1:4" ht="12.75" customHeight="1" x14ac:dyDescent="0.2">
      <c r="A549" s="18">
        <v>150</v>
      </c>
      <c r="B549" s="18">
        <v>3</v>
      </c>
      <c r="C549" s="18">
        <v>80</v>
      </c>
      <c r="D549" s="19">
        <v>199.79999999999998</v>
      </c>
    </row>
    <row r="550" spans="1:4" ht="12.75" customHeight="1" x14ac:dyDescent="0.2">
      <c r="A550" s="18">
        <v>150</v>
      </c>
      <c r="B550" s="18">
        <v>3</v>
      </c>
      <c r="C550" s="18">
        <v>90</v>
      </c>
      <c r="D550" s="19">
        <v>202.39999999999998</v>
      </c>
    </row>
    <row r="551" spans="1:4" ht="12.75" customHeight="1" x14ac:dyDescent="0.2">
      <c r="A551" s="18">
        <v>150</v>
      </c>
      <c r="B551" s="18">
        <v>3</v>
      </c>
      <c r="C551" s="18">
        <v>100</v>
      </c>
      <c r="D551" s="19">
        <v>205</v>
      </c>
    </row>
    <row r="552" spans="1:4" ht="12.75" customHeight="1" x14ac:dyDescent="0.2">
      <c r="A552" s="18">
        <v>150</v>
      </c>
      <c r="B552" s="18">
        <v>3</v>
      </c>
      <c r="C552" s="18">
        <v>150</v>
      </c>
      <c r="D552" s="19">
        <v>214</v>
      </c>
    </row>
    <row r="553" spans="1:4" ht="12.75" customHeight="1" x14ac:dyDescent="0.2">
      <c r="A553" s="18">
        <v>150</v>
      </c>
      <c r="B553" s="18">
        <v>3</v>
      </c>
      <c r="C553" s="18">
        <v>200</v>
      </c>
      <c r="D553" s="19">
        <v>223</v>
      </c>
    </row>
    <row r="554" spans="1:4" ht="12.75" customHeight="1" x14ac:dyDescent="0.2">
      <c r="A554" s="18">
        <v>150</v>
      </c>
      <c r="B554" s="18">
        <v>3</v>
      </c>
      <c r="C554" s="18">
        <v>250</v>
      </c>
      <c r="D554" s="19">
        <v>232</v>
      </c>
    </row>
    <row r="555" spans="1:4" ht="12.75" customHeight="1" x14ac:dyDescent="0.2">
      <c r="A555" s="18">
        <v>150</v>
      </c>
      <c r="B555" s="18">
        <v>3</v>
      </c>
      <c r="C555" s="18">
        <v>300</v>
      </c>
      <c r="D555" s="19">
        <v>241</v>
      </c>
    </row>
    <row r="556" spans="1:4" ht="12.75" customHeight="1" x14ac:dyDescent="0.2">
      <c r="A556" s="18">
        <v>150</v>
      </c>
      <c r="B556" s="18">
        <v>3</v>
      </c>
      <c r="C556" s="18">
        <v>350</v>
      </c>
      <c r="D556" s="19">
        <v>248.5</v>
      </c>
    </row>
    <row r="557" spans="1:4" ht="12.75" customHeight="1" x14ac:dyDescent="0.2">
      <c r="A557" s="18">
        <v>150</v>
      </c>
      <c r="B557" s="18">
        <v>3</v>
      </c>
      <c r="C557" s="18">
        <v>400</v>
      </c>
      <c r="D557" s="19">
        <v>256</v>
      </c>
    </row>
    <row r="558" spans="1:4" ht="12.75" customHeight="1" x14ac:dyDescent="0.2">
      <c r="A558" s="18">
        <v>150</v>
      </c>
      <c r="B558" s="18">
        <v>3</v>
      </c>
      <c r="C558" s="18">
        <v>450</v>
      </c>
      <c r="D558" s="19">
        <v>263.5</v>
      </c>
    </row>
    <row r="559" spans="1:4" ht="12.75" customHeight="1" x14ac:dyDescent="0.2">
      <c r="A559" s="18">
        <v>150</v>
      </c>
      <c r="B559" s="18">
        <v>3</v>
      </c>
      <c r="C559" s="18">
        <v>500</v>
      </c>
      <c r="D559" s="19">
        <v>271</v>
      </c>
    </row>
    <row r="560" spans="1:4" ht="12.75" customHeight="1" x14ac:dyDescent="0.2">
      <c r="A560" s="18">
        <v>150</v>
      </c>
      <c r="B560" s="18">
        <v>3</v>
      </c>
      <c r="C560" s="18">
        <v>550</v>
      </c>
      <c r="D560" s="19">
        <v>278.10000000000002</v>
      </c>
    </row>
    <row r="561" spans="1:4" ht="12.75" customHeight="1" x14ac:dyDescent="0.2">
      <c r="A561" s="18">
        <v>150</v>
      </c>
      <c r="B561" s="18">
        <v>3</v>
      </c>
      <c r="C561" s="18">
        <v>600</v>
      </c>
      <c r="D561" s="19">
        <v>285.20000000000005</v>
      </c>
    </row>
    <row r="562" spans="1:4" ht="12.75" customHeight="1" x14ac:dyDescent="0.2">
      <c r="A562" s="18">
        <v>150</v>
      </c>
      <c r="B562" s="18">
        <v>3</v>
      </c>
      <c r="C562" s="18">
        <v>650</v>
      </c>
      <c r="D562" s="19">
        <v>292.30000000000007</v>
      </c>
    </row>
    <row r="563" spans="1:4" ht="12.75" customHeight="1" x14ac:dyDescent="0.2">
      <c r="A563" s="18">
        <v>150</v>
      </c>
      <c r="B563" s="18">
        <v>3</v>
      </c>
      <c r="C563" s="18">
        <v>700</v>
      </c>
      <c r="D563" s="19">
        <v>299.40000000000009</v>
      </c>
    </row>
    <row r="564" spans="1:4" ht="12.75" customHeight="1" x14ac:dyDescent="0.2">
      <c r="A564" s="18">
        <v>150</v>
      </c>
      <c r="B564" s="18">
        <v>3</v>
      </c>
      <c r="C564" s="18">
        <v>750</v>
      </c>
      <c r="D564" s="19">
        <v>306.50000000000011</v>
      </c>
    </row>
    <row r="565" spans="1:4" ht="12.75" customHeight="1" x14ac:dyDescent="0.2">
      <c r="A565" s="18">
        <v>150</v>
      </c>
      <c r="B565" s="18">
        <v>3</v>
      </c>
      <c r="C565" s="18">
        <v>800</v>
      </c>
      <c r="D565" s="19">
        <v>313.60000000000014</v>
      </c>
    </row>
    <row r="566" spans="1:4" ht="12.75" customHeight="1" x14ac:dyDescent="0.2">
      <c r="A566" s="18">
        <v>150</v>
      </c>
      <c r="B566" s="18">
        <v>3</v>
      </c>
      <c r="C566" s="18">
        <v>850</v>
      </c>
      <c r="D566" s="19">
        <v>320.70000000000016</v>
      </c>
    </row>
    <row r="567" spans="1:4" ht="12.75" customHeight="1" x14ac:dyDescent="0.2">
      <c r="A567" s="18">
        <v>150</v>
      </c>
      <c r="B567" s="18">
        <v>3</v>
      </c>
      <c r="C567" s="18">
        <v>900</v>
      </c>
      <c r="D567" s="19">
        <v>327.80000000000018</v>
      </c>
    </row>
    <row r="568" spans="1:4" ht="12.75" customHeight="1" x14ac:dyDescent="0.2">
      <c r="A568" s="18">
        <v>150</v>
      </c>
      <c r="B568" s="18">
        <v>3</v>
      </c>
      <c r="C568" s="18">
        <v>950</v>
      </c>
      <c r="D568" s="19">
        <v>334.9000000000002</v>
      </c>
    </row>
    <row r="569" spans="1:4" ht="12.75" customHeight="1" x14ac:dyDescent="0.2">
      <c r="A569" s="18">
        <v>150</v>
      </c>
      <c r="B569" s="18">
        <v>3</v>
      </c>
      <c r="C569" s="18">
        <v>1000</v>
      </c>
      <c r="D569" s="19">
        <v>342</v>
      </c>
    </row>
    <row r="570" spans="1:4" ht="12.75" customHeight="1" x14ac:dyDescent="0.2">
      <c r="A570" s="18">
        <v>150</v>
      </c>
      <c r="B570" s="18">
        <v>3</v>
      </c>
      <c r="C570" s="18">
        <v>1100</v>
      </c>
      <c r="D570" s="19">
        <v>354.1</v>
      </c>
    </row>
    <row r="571" spans="1:4" ht="12.75" customHeight="1" x14ac:dyDescent="0.2">
      <c r="A571" s="18">
        <v>150</v>
      </c>
      <c r="B571" s="18">
        <v>3</v>
      </c>
      <c r="C571" s="18">
        <v>1200</v>
      </c>
      <c r="D571" s="19">
        <v>366.20000000000005</v>
      </c>
    </row>
    <row r="572" spans="1:4" ht="12.75" customHeight="1" x14ac:dyDescent="0.2">
      <c r="A572" s="18">
        <v>150</v>
      </c>
      <c r="B572" s="18">
        <v>3</v>
      </c>
      <c r="C572" s="18">
        <v>1300</v>
      </c>
      <c r="D572" s="19">
        <v>378.30000000000007</v>
      </c>
    </row>
    <row r="573" spans="1:4" ht="12.75" customHeight="1" x14ac:dyDescent="0.2">
      <c r="A573" s="18">
        <v>150</v>
      </c>
      <c r="B573" s="18">
        <v>3</v>
      </c>
      <c r="C573" s="18">
        <v>1400</v>
      </c>
      <c r="D573" s="19">
        <v>390.40000000000009</v>
      </c>
    </row>
    <row r="574" spans="1:4" ht="12.75" customHeight="1" x14ac:dyDescent="0.2">
      <c r="A574" s="18">
        <v>150</v>
      </c>
      <c r="B574" s="18">
        <v>3</v>
      </c>
      <c r="C574" s="18">
        <v>1500</v>
      </c>
      <c r="D574" s="19">
        <v>402.50000000000011</v>
      </c>
    </row>
    <row r="575" spans="1:4" ht="12.75" customHeight="1" x14ac:dyDescent="0.2">
      <c r="A575" s="18">
        <v>150</v>
      </c>
      <c r="B575" s="18">
        <v>3</v>
      </c>
      <c r="C575" s="18">
        <v>1600</v>
      </c>
      <c r="D575" s="19">
        <v>414.60000000000014</v>
      </c>
    </row>
    <row r="576" spans="1:4" ht="12.75" customHeight="1" x14ac:dyDescent="0.2">
      <c r="A576" s="18">
        <v>150</v>
      </c>
      <c r="B576" s="18">
        <v>3</v>
      </c>
      <c r="C576" s="18">
        <v>1700</v>
      </c>
      <c r="D576" s="19">
        <v>426.70000000000016</v>
      </c>
    </row>
    <row r="577" spans="1:4" ht="12.75" customHeight="1" x14ac:dyDescent="0.2">
      <c r="A577" s="18">
        <v>150</v>
      </c>
      <c r="B577" s="18">
        <v>3</v>
      </c>
      <c r="C577" s="18">
        <v>1800</v>
      </c>
      <c r="D577" s="19">
        <v>438.80000000000018</v>
      </c>
    </row>
    <row r="578" spans="1:4" ht="12.75" customHeight="1" x14ac:dyDescent="0.2">
      <c r="A578" s="18">
        <v>150</v>
      </c>
      <c r="B578" s="18">
        <v>3</v>
      </c>
      <c r="C578" s="18">
        <v>1900</v>
      </c>
      <c r="D578" s="19">
        <v>450.9000000000002</v>
      </c>
    </row>
    <row r="579" spans="1:4" ht="12.75" customHeight="1" x14ac:dyDescent="0.2">
      <c r="A579" s="18">
        <v>150</v>
      </c>
      <c r="B579" s="18">
        <v>3</v>
      </c>
      <c r="C579" s="18">
        <v>2000</v>
      </c>
      <c r="D579" s="19">
        <v>463</v>
      </c>
    </row>
    <row r="580" spans="1:4" ht="12.75" customHeight="1" x14ac:dyDescent="0.2">
      <c r="A580" s="18">
        <v>150</v>
      </c>
      <c r="B580" s="18">
        <v>4</v>
      </c>
      <c r="C580" s="18">
        <v>50</v>
      </c>
      <c r="D580" s="19">
        <v>204</v>
      </c>
    </row>
    <row r="581" spans="1:4" ht="12.75" customHeight="1" x14ac:dyDescent="0.2">
      <c r="A581" s="18">
        <v>150</v>
      </c>
      <c r="B581" s="18">
        <v>4</v>
      </c>
      <c r="C581" s="18">
        <v>60</v>
      </c>
      <c r="D581" s="19">
        <v>208</v>
      </c>
    </row>
    <row r="582" spans="1:4" ht="12.75" customHeight="1" x14ac:dyDescent="0.2">
      <c r="A582" s="18">
        <v>150</v>
      </c>
      <c r="B582" s="18">
        <v>4</v>
      </c>
      <c r="C582" s="18">
        <v>70</v>
      </c>
      <c r="D582" s="19">
        <v>212</v>
      </c>
    </row>
    <row r="583" spans="1:4" ht="12.75" customHeight="1" x14ac:dyDescent="0.2">
      <c r="A583" s="18">
        <v>150</v>
      </c>
      <c r="B583" s="18">
        <v>4</v>
      </c>
      <c r="C583" s="18">
        <v>80</v>
      </c>
      <c r="D583" s="19">
        <v>216</v>
      </c>
    </row>
    <row r="584" spans="1:4" ht="12.75" customHeight="1" x14ac:dyDescent="0.2">
      <c r="A584" s="18">
        <v>150</v>
      </c>
      <c r="B584" s="18">
        <v>4</v>
      </c>
      <c r="C584" s="18">
        <v>90</v>
      </c>
      <c r="D584" s="19">
        <v>220</v>
      </c>
    </row>
    <row r="585" spans="1:4" ht="12.75" customHeight="1" x14ac:dyDescent="0.2">
      <c r="A585" s="18">
        <v>150</v>
      </c>
      <c r="B585" s="18">
        <v>4</v>
      </c>
      <c r="C585" s="18">
        <v>100</v>
      </c>
      <c r="D585" s="19">
        <v>224</v>
      </c>
    </row>
    <row r="586" spans="1:4" ht="12.75" customHeight="1" x14ac:dyDescent="0.2">
      <c r="A586" s="18">
        <v>150</v>
      </c>
      <c r="B586" s="18">
        <v>4</v>
      </c>
      <c r="C586" s="18">
        <v>150</v>
      </c>
      <c r="D586" s="19">
        <v>239.75</v>
      </c>
    </row>
    <row r="587" spans="1:4" ht="12.75" customHeight="1" x14ac:dyDescent="0.2">
      <c r="A587" s="18">
        <v>150</v>
      </c>
      <c r="B587" s="18">
        <v>4</v>
      </c>
      <c r="C587" s="18">
        <v>200</v>
      </c>
      <c r="D587" s="19">
        <v>255.5</v>
      </c>
    </row>
    <row r="588" spans="1:4" ht="12.75" customHeight="1" x14ac:dyDescent="0.2">
      <c r="A588" s="18">
        <v>150</v>
      </c>
      <c r="B588" s="18">
        <v>4</v>
      </c>
      <c r="C588" s="18">
        <v>250</v>
      </c>
      <c r="D588" s="19">
        <v>271.25</v>
      </c>
    </row>
    <row r="589" spans="1:4" ht="12.75" customHeight="1" x14ac:dyDescent="0.2">
      <c r="A589" s="18">
        <v>150</v>
      </c>
      <c r="B589" s="18">
        <v>4</v>
      </c>
      <c r="C589" s="18">
        <v>300</v>
      </c>
      <c r="D589" s="19">
        <v>287</v>
      </c>
    </row>
    <row r="590" spans="1:4" ht="12.75" customHeight="1" x14ac:dyDescent="0.2">
      <c r="A590" s="18">
        <v>150</v>
      </c>
      <c r="B590" s="18">
        <v>4</v>
      </c>
      <c r="C590" s="18">
        <v>350</v>
      </c>
      <c r="D590" s="19">
        <v>301.25</v>
      </c>
    </row>
    <row r="591" spans="1:4" ht="12.75" customHeight="1" x14ac:dyDescent="0.2">
      <c r="A591" s="18">
        <v>150</v>
      </c>
      <c r="B591" s="18">
        <v>4</v>
      </c>
      <c r="C591" s="18">
        <v>400</v>
      </c>
      <c r="D591" s="19">
        <v>315.5</v>
      </c>
    </row>
    <row r="592" spans="1:4" ht="12.75" customHeight="1" x14ac:dyDescent="0.2">
      <c r="A592" s="18">
        <v>150</v>
      </c>
      <c r="B592" s="18">
        <v>4</v>
      </c>
      <c r="C592" s="18">
        <v>450</v>
      </c>
      <c r="D592" s="19">
        <v>329.75</v>
      </c>
    </row>
    <row r="593" spans="1:4" ht="12.75" customHeight="1" x14ac:dyDescent="0.2">
      <c r="A593" s="18">
        <v>150</v>
      </c>
      <c r="B593" s="18">
        <v>4</v>
      </c>
      <c r="C593" s="18">
        <v>500</v>
      </c>
      <c r="D593" s="19">
        <v>344</v>
      </c>
    </row>
    <row r="594" spans="1:4" ht="12.75" customHeight="1" x14ac:dyDescent="0.2">
      <c r="A594" s="18">
        <v>150</v>
      </c>
      <c r="B594" s="18">
        <v>4</v>
      </c>
      <c r="C594" s="18">
        <v>550</v>
      </c>
      <c r="D594" s="19">
        <v>356.6</v>
      </c>
    </row>
    <row r="595" spans="1:4" ht="12.75" customHeight="1" x14ac:dyDescent="0.2">
      <c r="A595" s="18">
        <v>150</v>
      </c>
      <c r="B595" s="18">
        <v>4</v>
      </c>
      <c r="C595" s="18">
        <v>600</v>
      </c>
      <c r="D595" s="19">
        <v>369.20000000000005</v>
      </c>
    </row>
    <row r="596" spans="1:4" ht="12.75" customHeight="1" x14ac:dyDescent="0.2">
      <c r="A596" s="18">
        <v>150</v>
      </c>
      <c r="B596" s="18">
        <v>4</v>
      </c>
      <c r="C596" s="18">
        <v>650</v>
      </c>
      <c r="D596" s="19">
        <v>381.80000000000007</v>
      </c>
    </row>
    <row r="597" spans="1:4" ht="12.75" customHeight="1" x14ac:dyDescent="0.2">
      <c r="A597" s="18">
        <v>150</v>
      </c>
      <c r="B597" s="18">
        <v>4</v>
      </c>
      <c r="C597" s="18">
        <v>700</v>
      </c>
      <c r="D597" s="19">
        <v>394.40000000000009</v>
      </c>
    </row>
    <row r="598" spans="1:4" ht="12.75" customHeight="1" x14ac:dyDescent="0.2">
      <c r="A598" s="18">
        <v>150</v>
      </c>
      <c r="B598" s="18">
        <v>4</v>
      </c>
      <c r="C598" s="18">
        <v>750</v>
      </c>
      <c r="D598" s="19">
        <v>407.00000000000011</v>
      </c>
    </row>
    <row r="599" spans="1:4" ht="12.75" customHeight="1" x14ac:dyDescent="0.2">
      <c r="A599" s="18">
        <v>150</v>
      </c>
      <c r="B599" s="18">
        <v>4</v>
      </c>
      <c r="C599" s="18">
        <v>800</v>
      </c>
      <c r="D599" s="19">
        <v>419.60000000000014</v>
      </c>
    </row>
    <row r="600" spans="1:4" ht="12.75" customHeight="1" x14ac:dyDescent="0.2">
      <c r="A600" s="18">
        <v>150</v>
      </c>
      <c r="B600" s="18">
        <v>4</v>
      </c>
      <c r="C600" s="18">
        <v>850</v>
      </c>
      <c r="D600" s="19">
        <v>432.20000000000016</v>
      </c>
    </row>
    <row r="601" spans="1:4" ht="12.75" customHeight="1" x14ac:dyDescent="0.2">
      <c r="A601" s="18">
        <v>150</v>
      </c>
      <c r="B601" s="18">
        <v>4</v>
      </c>
      <c r="C601" s="18">
        <v>900</v>
      </c>
      <c r="D601" s="19">
        <v>444.80000000000018</v>
      </c>
    </row>
    <row r="602" spans="1:4" ht="12.75" customHeight="1" x14ac:dyDescent="0.2">
      <c r="A602" s="18">
        <v>150</v>
      </c>
      <c r="B602" s="18">
        <v>4</v>
      </c>
      <c r="C602" s="18">
        <v>950</v>
      </c>
      <c r="D602" s="19">
        <v>457.4000000000002</v>
      </c>
    </row>
    <row r="603" spans="1:4" ht="12.75" customHeight="1" x14ac:dyDescent="0.2">
      <c r="A603" s="18">
        <v>150</v>
      </c>
      <c r="B603" s="18">
        <v>4</v>
      </c>
      <c r="C603" s="18">
        <v>1000</v>
      </c>
      <c r="D603" s="19">
        <v>470</v>
      </c>
    </row>
    <row r="604" spans="1:4" ht="12.75" customHeight="1" x14ac:dyDescent="0.2">
      <c r="A604" s="18">
        <v>150</v>
      </c>
      <c r="B604" s="18">
        <v>4</v>
      </c>
      <c r="C604" s="18">
        <v>1100</v>
      </c>
      <c r="D604" s="19">
        <v>492.2</v>
      </c>
    </row>
    <row r="605" spans="1:4" ht="12.75" customHeight="1" x14ac:dyDescent="0.2">
      <c r="A605" s="18">
        <v>150</v>
      </c>
      <c r="B605" s="18">
        <v>4</v>
      </c>
      <c r="C605" s="18">
        <v>1200</v>
      </c>
      <c r="D605" s="19">
        <v>514.4</v>
      </c>
    </row>
    <row r="606" spans="1:4" ht="12.75" customHeight="1" x14ac:dyDescent="0.2">
      <c r="A606" s="18">
        <v>150</v>
      </c>
      <c r="B606" s="18">
        <v>4</v>
      </c>
      <c r="C606" s="18">
        <v>1300</v>
      </c>
      <c r="D606" s="19">
        <v>536.6</v>
      </c>
    </row>
    <row r="607" spans="1:4" ht="12.75" customHeight="1" x14ac:dyDescent="0.2">
      <c r="A607" s="18">
        <v>150</v>
      </c>
      <c r="B607" s="18">
        <v>4</v>
      </c>
      <c r="C607" s="18">
        <v>1400</v>
      </c>
      <c r="D607" s="19">
        <v>558.80000000000007</v>
      </c>
    </row>
    <row r="608" spans="1:4" ht="12.75" customHeight="1" x14ac:dyDescent="0.2">
      <c r="A608" s="18">
        <v>150</v>
      </c>
      <c r="B608" s="18">
        <v>4</v>
      </c>
      <c r="C608" s="18">
        <v>1500</v>
      </c>
      <c r="D608" s="19">
        <v>581.00000000000011</v>
      </c>
    </row>
    <row r="609" spans="1:4" ht="12.75" customHeight="1" x14ac:dyDescent="0.2">
      <c r="A609" s="18">
        <v>150</v>
      </c>
      <c r="B609" s="18">
        <v>4</v>
      </c>
      <c r="C609" s="18">
        <v>1600</v>
      </c>
      <c r="D609" s="19">
        <v>603.20000000000016</v>
      </c>
    </row>
    <row r="610" spans="1:4" ht="12.75" customHeight="1" x14ac:dyDescent="0.2">
      <c r="A610" s="18">
        <v>150</v>
      </c>
      <c r="B610" s="18">
        <v>4</v>
      </c>
      <c r="C610" s="18">
        <v>1700</v>
      </c>
      <c r="D610" s="19">
        <v>625.4000000000002</v>
      </c>
    </row>
    <row r="611" spans="1:4" ht="12.75" customHeight="1" x14ac:dyDescent="0.2">
      <c r="A611" s="18">
        <v>150</v>
      </c>
      <c r="B611" s="18">
        <v>4</v>
      </c>
      <c r="C611" s="18">
        <v>1800</v>
      </c>
      <c r="D611" s="19">
        <v>647.60000000000025</v>
      </c>
    </row>
    <row r="612" spans="1:4" ht="12.75" customHeight="1" x14ac:dyDescent="0.2">
      <c r="A612" s="18">
        <v>150</v>
      </c>
      <c r="B612" s="18">
        <v>4</v>
      </c>
      <c r="C612" s="18">
        <v>1900</v>
      </c>
      <c r="D612" s="19">
        <v>669.8000000000003</v>
      </c>
    </row>
    <row r="613" spans="1:4" ht="12.75" customHeight="1" x14ac:dyDescent="0.2">
      <c r="A613" s="18">
        <v>150</v>
      </c>
      <c r="B613" s="18">
        <v>4</v>
      </c>
      <c r="C613" s="18">
        <v>2000</v>
      </c>
      <c r="D613" s="19">
        <v>692</v>
      </c>
    </row>
    <row r="614" spans="1:4" ht="12.75" customHeight="1" x14ac:dyDescent="0.2">
      <c r="A614" s="18">
        <v>150</v>
      </c>
      <c r="B614" s="18">
        <v>5</v>
      </c>
      <c r="C614" s="18">
        <v>50</v>
      </c>
      <c r="D614" s="19">
        <v>220</v>
      </c>
    </row>
    <row r="615" spans="1:4" ht="12.75" customHeight="1" x14ac:dyDescent="0.2">
      <c r="A615" s="18">
        <v>150</v>
      </c>
      <c r="B615" s="18">
        <v>5</v>
      </c>
      <c r="C615" s="18">
        <v>60</v>
      </c>
      <c r="D615" s="19">
        <v>226</v>
      </c>
    </row>
    <row r="616" spans="1:4" ht="12.75" customHeight="1" x14ac:dyDescent="0.2">
      <c r="A616" s="18">
        <v>150</v>
      </c>
      <c r="B616" s="18">
        <v>5</v>
      </c>
      <c r="C616" s="18">
        <v>70</v>
      </c>
      <c r="D616" s="19">
        <v>232</v>
      </c>
    </row>
    <row r="617" spans="1:4" ht="12.75" customHeight="1" x14ac:dyDescent="0.2">
      <c r="A617" s="18">
        <v>150</v>
      </c>
      <c r="B617" s="18">
        <v>5</v>
      </c>
      <c r="C617" s="18">
        <v>80</v>
      </c>
      <c r="D617" s="19">
        <v>238</v>
      </c>
    </row>
    <row r="618" spans="1:4" ht="12.75" customHeight="1" x14ac:dyDescent="0.2">
      <c r="A618" s="18">
        <v>150</v>
      </c>
      <c r="B618" s="18">
        <v>5</v>
      </c>
      <c r="C618" s="18">
        <v>90</v>
      </c>
      <c r="D618" s="19">
        <v>244</v>
      </c>
    </row>
    <row r="619" spans="1:4" ht="12.75" customHeight="1" x14ac:dyDescent="0.2">
      <c r="A619" s="18">
        <v>150</v>
      </c>
      <c r="B619" s="18">
        <v>5</v>
      </c>
      <c r="C619" s="18">
        <v>100</v>
      </c>
      <c r="D619" s="19">
        <v>250</v>
      </c>
    </row>
    <row r="620" spans="1:4" ht="12.75" customHeight="1" x14ac:dyDescent="0.2">
      <c r="A620" s="18">
        <v>150</v>
      </c>
      <c r="B620" s="18">
        <v>5</v>
      </c>
      <c r="C620" s="18">
        <v>150</v>
      </c>
      <c r="D620" s="19">
        <v>274.75</v>
      </c>
    </row>
    <row r="621" spans="1:4" ht="12.75" customHeight="1" x14ac:dyDescent="0.2">
      <c r="A621" s="18">
        <v>150</v>
      </c>
      <c r="B621" s="18">
        <v>5</v>
      </c>
      <c r="C621" s="18">
        <v>200</v>
      </c>
      <c r="D621" s="19">
        <v>299.5</v>
      </c>
    </row>
    <row r="622" spans="1:4" ht="12.75" customHeight="1" x14ac:dyDescent="0.2">
      <c r="A622" s="18">
        <v>150</v>
      </c>
      <c r="B622" s="18">
        <v>5</v>
      </c>
      <c r="C622" s="18">
        <v>250</v>
      </c>
      <c r="D622" s="19">
        <v>324.25</v>
      </c>
    </row>
    <row r="623" spans="1:4" ht="12.75" customHeight="1" x14ac:dyDescent="0.2">
      <c r="A623" s="18">
        <v>150</v>
      </c>
      <c r="B623" s="18">
        <v>5</v>
      </c>
      <c r="C623" s="18">
        <v>300</v>
      </c>
      <c r="D623" s="19">
        <v>349</v>
      </c>
    </row>
    <row r="624" spans="1:4" ht="12.75" customHeight="1" x14ac:dyDescent="0.2">
      <c r="A624" s="18">
        <v>150</v>
      </c>
      <c r="B624" s="18">
        <v>5</v>
      </c>
      <c r="C624" s="18">
        <v>350</v>
      </c>
      <c r="D624" s="19">
        <v>371</v>
      </c>
    </row>
    <row r="625" spans="1:4" ht="12.75" customHeight="1" x14ac:dyDescent="0.2">
      <c r="A625" s="18">
        <v>150</v>
      </c>
      <c r="B625" s="18">
        <v>5</v>
      </c>
      <c r="C625" s="18">
        <v>400</v>
      </c>
      <c r="D625" s="19">
        <v>393</v>
      </c>
    </row>
    <row r="626" spans="1:4" ht="12.75" customHeight="1" x14ac:dyDescent="0.2">
      <c r="A626" s="18">
        <v>150</v>
      </c>
      <c r="B626" s="18">
        <v>5</v>
      </c>
      <c r="C626" s="18">
        <v>450</v>
      </c>
      <c r="D626" s="19">
        <v>415</v>
      </c>
    </row>
    <row r="627" spans="1:4" ht="12.75" customHeight="1" x14ac:dyDescent="0.2">
      <c r="A627" s="18">
        <v>150</v>
      </c>
      <c r="B627" s="18">
        <v>5</v>
      </c>
      <c r="C627" s="18">
        <v>500</v>
      </c>
      <c r="D627" s="19">
        <v>437</v>
      </c>
    </row>
    <row r="628" spans="1:4" ht="12.75" customHeight="1" x14ac:dyDescent="0.2">
      <c r="A628" s="18">
        <v>150</v>
      </c>
      <c r="B628" s="18">
        <v>5</v>
      </c>
      <c r="C628" s="18">
        <v>550</v>
      </c>
      <c r="D628" s="19">
        <v>457.6</v>
      </c>
    </row>
    <row r="629" spans="1:4" ht="12.75" customHeight="1" x14ac:dyDescent="0.2">
      <c r="A629" s="18">
        <v>150</v>
      </c>
      <c r="B629" s="18">
        <v>5</v>
      </c>
      <c r="C629" s="18">
        <v>600</v>
      </c>
      <c r="D629" s="19">
        <v>478.20000000000005</v>
      </c>
    </row>
    <row r="630" spans="1:4" ht="12.75" customHeight="1" x14ac:dyDescent="0.2">
      <c r="A630" s="18">
        <v>150</v>
      </c>
      <c r="B630" s="18">
        <v>5</v>
      </c>
      <c r="C630" s="18">
        <v>650</v>
      </c>
      <c r="D630" s="19">
        <v>498.80000000000007</v>
      </c>
    </row>
    <row r="631" spans="1:4" ht="12.75" customHeight="1" x14ac:dyDescent="0.2">
      <c r="A631" s="18">
        <v>150</v>
      </c>
      <c r="B631" s="18">
        <v>5</v>
      </c>
      <c r="C631" s="18">
        <v>700</v>
      </c>
      <c r="D631" s="19">
        <v>519.40000000000009</v>
      </c>
    </row>
    <row r="632" spans="1:4" ht="12.75" customHeight="1" x14ac:dyDescent="0.2">
      <c r="A632" s="18">
        <v>150</v>
      </c>
      <c r="B632" s="18">
        <v>5</v>
      </c>
      <c r="C632" s="18">
        <v>750</v>
      </c>
      <c r="D632" s="19">
        <v>540.00000000000011</v>
      </c>
    </row>
    <row r="633" spans="1:4" ht="12.75" customHeight="1" x14ac:dyDescent="0.2">
      <c r="A633" s="18">
        <v>150</v>
      </c>
      <c r="B633" s="18">
        <v>5</v>
      </c>
      <c r="C633" s="18">
        <v>800</v>
      </c>
      <c r="D633" s="19">
        <v>560.60000000000014</v>
      </c>
    </row>
    <row r="634" spans="1:4" ht="12.75" customHeight="1" x14ac:dyDescent="0.2">
      <c r="A634" s="18">
        <v>150</v>
      </c>
      <c r="B634" s="18">
        <v>5</v>
      </c>
      <c r="C634" s="18">
        <v>850</v>
      </c>
      <c r="D634" s="19">
        <v>581.20000000000016</v>
      </c>
    </row>
    <row r="635" spans="1:4" ht="12.75" customHeight="1" x14ac:dyDescent="0.2">
      <c r="A635" s="18">
        <v>150</v>
      </c>
      <c r="B635" s="18">
        <v>5</v>
      </c>
      <c r="C635" s="18">
        <v>900</v>
      </c>
      <c r="D635" s="19">
        <v>601.80000000000018</v>
      </c>
    </row>
    <row r="636" spans="1:4" ht="12.75" customHeight="1" x14ac:dyDescent="0.2">
      <c r="A636" s="18">
        <v>150</v>
      </c>
      <c r="B636" s="18">
        <v>5</v>
      </c>
      <c r="C636" s="18">
        <v>950</v>
      </c>
      <c r="D636" s="19">
        <v>622.4000000000002</v>
      </c>
    </row>
    <row r="637" spans="1:4" ht="12.75" customHeight="1" x14ac:dyDescent="0.2">
      <c r="A637" s="18">
        <v>150</v>
      </c>
      <c r="B637" s="18">
        <v>5</v>
      </c>
      <c r="C637" s="18">
        <v>1000</v>
      </c>
      <c r="D637" s="19">
        <v>643</v>
      </c>
    </row>
    <row r="638" spans="1:4" ht="12.75" customHeight="1" x14ac:dyDescent="0.2">
      <c r="A638" s="18">
        <v>150</v>
      </c>
      <c r="B638" s="18">
        <v>5</v>
      </c>
      <c r="C638" s="18">
        <v>1100</v>
      </c>
      <c r="D638" s="19">
        <v>678.6</v>
      </c>
    </row>
    <row r="639" spans="1:4" ht="12.75" customHeight="1" x14ac:dyDescent="0.2">
      <c r="A639" s="18">
        <v>150</v>
      </c>
      <c r="B639" s="18">
        <v>5</v>
      </c>
      <c r="C639" s="18">
        <v>1200</v>
      </c>
      <c r="D639" s="19">
        <v>714.2</v>
      </c>
    </row>
    <row r="640" spans="1:4" ht="12.75" customHeight="1" x14ac:dyDescent="0.2">
      <c r="A640" s="18">
        <v>150</v>
      </c>
      <c r="B640" s="18">
        <v>5</v>
      </c>
      <c r="C640" s="18">
        <v>1300</v>
      </c>
      <c r="D640" s="19">
        <v>749.80000000000007</v>
      </c>
    </row>
    <row r="641" spans="1:4" ht="12.75" customHeight="1" x14ac:dyDescent="0.2">
      <c r="A641" s="18">
        <v>150</v>
      </c>
      <c r="B641" s="18">
        <v>5</v>
      </c>
      <c r="C641" s="18">
        <v>1400</v>
      </c>
      <c r="D641" s="19">
        <v>785.40000000000009</v>
      </c>
    </row>
    <row r="642" spans="1:4" ht="12.75" customHeight="1" x14ac:dyDescent="0.2">
      <c r="A642" s="18">
        <v>150</v>
      </c>
      <c r="B642" s="18">
        <v>5</v>
      </c>
      <c r="C642" s="18">
        <v>1500</v>
      </c>
      <c r="D642" s="19">
        <v>821.00000000000011</v>
      </c>
    </row>
    <row r="643" spans="1:4" ht="12.75" customHeight="1" x14ac:dyDescent="0.2">
      <c r="A643" s="18">
        <v>150</v>
      </c>
      <c r="B643" s="18">
        <v>5</v>
      </c>
      <c r="C643" s="18">
        <v>1600</v>
      </c>
      <c r="D643" s="19">
        <v>856.60000000000014</v>
      </c>
    </row>
    <row r="644" spans="1:4" ht="12.75" customHeight="1" x14ac:dyDescent="0.2">
      <c r="A644" s="18">
        <v>150</v>
      </c>
      <c r="B644" s="18">
        <v>5</v>
      </c>
      <c r="C644" s="18">
        <v>1700</v>
      </c>
      <c r="D644" s="19">
        <v>892.20000000000016</v>
      </c>
    </row>
    <row r="645" spans="1:4" ht="12.75" customHeight="1" x14ac:dyDescent="0.2">
      <c r="A645" s="18">
        <v>150</v>
      </c>
      <c r="B645" s="18">
        <v>5</v>
      </c>
      <c r="C645" s="18">
        <v>1800</v>
      </c>
      <c r="D645" s="19">
        <v>927.80000000000018</v>
      </c>
    </row>
    <row r="646" spans="1:4" ht="12.75" customHeight="1" x14ac:dyDescent="0.2">
      <c r="A646" s="18">
        <v>150</v>
      </c>
      <c r="B646" s="18">
        <v>5</v>
      </c>
      <c r="C646" s="18">
        <v>1900</v>
      </c>
      <c r="D646" s="19">
        <v>963.4000000000002</v>
      </c>
    </row>
    <row r="647" spans="1:4" ht="12.75" customHeight="1" x14ac:dyDescent="0.2">
      <c r="A647" s="18">
        <v>150</v>
      </c>
      <c r="B647" s="18">
        <v>5</v>
      </c>
      <c r="C647" s="18">
        <v>2000</v>
      </c>
      <c r="D647" s="19">
        <v>999</v>
      </c>
    </row>
    <row r="648" spans="1:4" ht="12.75" customHeight="1" x14ac:dyDescent="0.2">
      <c r="A648" s="18">
        <v>150</v>
      </c>
      <c r="B648" s="18">
        <v>6</v>
      </c>
      <c r="C648" s="18">
        <v>50</v>
      </c>
      <c r="D648" s="19">
        <v>236</v>
      </c>
    </row>
    <row r="649" spans="1:4" ht="12.75" customHeight="1" x14ac:dyDescent="0.2">
      <c r="A649" s="18">
        <v>150</v>
      </c>
      <c r="B649" s="18">
        <v>6</v>
      </c>
      <c r="C649" s="18">
        <v>60</v>
      </c>
      <c r="D649" s="19">
        <v>244.6</v>
      </c>
    </row>
    <row r="650" spans="1:4" ht="12.75" customHeight="1" x14ac:dyDescent="0.2">
      <c r="A650" s="18">
        <v>150</v>
      </c>
      <c r="B650" s="18">
        <v>6</v>
      </c>
      <c r="C650" s="18">
        <v>70</v>
      </c>
      <c r="D650" s="19">
        <v>253.2</v>
      </c>
    </row>
    <row r="651" spans="1:4" ht="12.75" customHeight="1" x14ac:dyDescent="0.2">
      <c r="A651" s="18">
        <v>150</v>
      </c>
      <c r="B651" s="18">
        <v>6</v>
      </c>
      <c r="C651" s="18">
        <v>80</v>
      </c>
      <c r="D651" s="19">
        <v>261.8</v>
      </c>
    </row>
    <row r="652" spans="1:4" ht="12.75" customHeight="1" x14ac:dyDescent="0.2">
      <c r="A652" s="18">
        <v>150</v>
      </c>
      <c r="B652" s="18">
        <v>6</v>
      </c>
      <c r="C652" s="18">
        <v>90</v>
      </c>
      <c r="D652" s="19">
        <v>270.40000000000003</v>
      </c>
    </row>
    <row r="653" spans="1:4" ht="12.75" customHeight="1" x14ac:dyDescent="0.2">
      <c r="A653" s="18">
        <v>150</v>
      </c>
      <c r="B653" s="18">
        <v>6</v>
      </c>
      <c r="C653" s="18">
        <v>100</v>
      </c>
      <c r="D653" s="19">
        <v>279</v>
      </c>
    </row>
    <row r="654" spans="1:4" ht="12.75" customHeight="1" x14ac:dyDescent="0.2">
      <c r="A654" s="18">
        <v>150</v>
      </c>
      <c r="B654" s="18">
        <v>6</v>
      </c>
      <c r="C654" s="18">
        <v>150</v>
      </c>
      <c r="D654" s="19">
        <v>315</v>
      </c>
    </row>
    <row r="655" spans="1:4" ht="12.75" customHeight="1" x14ac:dyDescent="0.2">
      <c r="A655" s="18">
        <v>150</v>
      </c>
      <c r="B655" s="18">
        <v>6</v>
      </c>
      <c r="C655" s="18">
        <v>200</v>
      </c>
      <c r="D655" s="19">
        <v>351</v>
      </c>
    </row>
    <row r="656" spans="1:4" ht="12.75" customHeight="1" x14ac:dyDescent="0.2">
      <c r="A656" s="18">
        <v>150</v>
      </c>
      <c r="B656" s="18">
        <v>6</v>
      </c>
      <c r="C656" s="18">
        <v>250</v>
      </c>
      <c r="D656" s="19">
        <v>387</v>
      </c>
    </row>
    <row r="657" spans="1:4" ht="12.75" customHeight="1" x14ac:dyDescent="0.2">
      <c r="A657" s="18">
        <v>150</v>
      </c>
      <c r="B657" s="18">
        <v>6</v>
      </c>
      <c r="C657" s="18">
        <v>300</v>
      </c>
      <c r="D657" s="19">
        <v>423</v>
      </c>
    </row>
    <row r="658" spans="1:4" ht="12.75" customHeight="1" x14ac:dyDescent="0.2">
      <c r="A658" s="18">
        <v>150</v>
      </c>
      <c r="B658" s="18">
        <v>6</v>
      </c>
      <c r="C658" s="18">
        <v>350</v>
      </c>
      <c r="D658" s="19">
        <v>455.75</v>
      </c>
    </row>
    <row r="659" spans="1:4" ht="12.75" customHeight="1" x14ac:dyDescent="0.2">
      <c r="A659" s="18">
        <v>150</v>
      </c>
      <c r="B659" s="18">
        <v>6</v>
      </c>
      <c r="C659" s="18">
        <v>400</v>
      </c>
      <c r="D659" s="19">
        <v>488.5</v>
      </c>
    </row>
    <row r="660" spans="1:4" ht="12.75" customHeight="1" x14ac:dyDescent="0.2">
      <c r="A660" s="18">
        <v>150</v>
      </c>
      <c r="B660" s="18">
        <v>6</v>
      </c>
      <c r="C660" s="18">
        <v>450</v>
      </c>
      <c r="D660" s="19">
        <v>521.25</v>
      </c>
    </row>
    <row r="661" spans="1:4" ht="12.75" customHeight="1" x14ac:dyDescent="0.2">
      <c r="A661" s="18">
        <v>150</v>
      </c>
      <c r="B661" s="18">
        <v>6</v>
      </c>
      <c r="C661" s="18">
        <v>500</v>
      </c>
      <c r="D661" s="19">
        <v>554</v>
      </c>
    </row>
    <row r="662" spans="1:4" ht="12.75" customHeight="1" x14ac:dyDescent="0.2">
      <c r="A662" s="18">
        <v>150</v>
      </c>
      <c r="B662" s="18">
        <v>6</v>
      </c>
      <c r="C662" s="18">
        <v>550</v>
      </c>
      <c r="D662" s="19">
        <v>584.20000000000005</v>
      </c>
    </row>
    <row r="663" spans="1:4" ht="12.75" customHeight="1" x14ac:dyDescent="0.2">
      <c r="A663" s="18">
        <v>150</v>
      </c>
      <c r="B663" s="18">
        <v>6</v>
      </c>
      <c r="C663" s="18">
        <v>600</v>
      </c>
      <c r="D663" s="19">
        <v>614.40000000000009</v>
      </c>
    </row>
    <row r="664" spans="1:4" ht="12.75" customHeight="1" x14ac:dyDescent="0.2">
      <c r="A664" s="18">
        <v>150</v>
      </c>
      <c r="B664" s="18">
        <v>6</v>
      </c>
      <c r="C664" s="18">
        <v>650</v>
      </c>
      <c r="D664" s="19">
        <v>644.60000000000014</v>
      </c>
    </row>
    <row r="665" spans="1:4" ht="12.75" customHeight="1" x14ac:dyDescent="0.2">
      <c r="A665" s="18">
        <v>150</v>
      </c>
      <c r="B665" s="18">
        <v>6</v>
      </c>
      <c r="C665" s="18">
        <v>700</v>
      </c>
      <c r="D665" s="19">
        <v>674.80000000000018</v>
      </c>
    </row>
    <row r="666" spans="1:4" ht="12.75" customHeight="1" x14ac:dyDescent="0.2">
      <c r="A666" s="18">
        <v>150</v>
      </c>
      <c r="B666" s="18">
        <v>6</v>
      </c>
      <c r="C666" s="18">
        <v>750</v>
      </c>
      <c r="D666" s="19">
        <v>705.00000000000023</v>
      </c>
    </row>
    <row r="667" spans="1:4" ht="12.75" customHeight="1" x14ac:dyDescent="0.2">
      <c r="A667" s="18">
        <v>150</v>
      </c>
      <c r="B667" s="18">
        <v>6</v>
      </c>
      <c r="C667" s="18">
        <v>800</v>
      </c>
      <c r="D667" s="19">
        <v>735.20000000000027</v>
      </c>
    </row>
    <row r="668" spans="1:4" ht="12.75" customHeight="1" x14ac:dyDescent="0.2">
      <c r="A668" s="18">
        <v>150</v>
      </c>
      <c r="B668" s="18">
        <v>6</v>
      </c>
      <c r="C668" s="18">
        <v>850</v>
      </c>
      <c r="D668" s="19">
        <v>765.40000000000032</v>
      </c>
    </row>
    <row r="669" spans="1:4" ht="12.75" customHeight="1" x14ac:dyDescent="0.2">
      <c r="A669" s="18">
        <v>150</v>
      </c>
      <c r="B669" s="18">
        <v>6</v>
      </c>
      <c r="C669" s="18">
        <v>900</v>
      </c>
      <c r="D669" s="19">
        <v>795.60000000000036</v>
      </c>
    </row>
    <row r="670" spans="1:4" ht="12.75" customHeight="1" x14ac:dyDescent="0.2">
      <c r="A670" s="18">
        <v>150</v>
      </c>
      <c r="B670" s="18">
        <v>6</v>
      </c>
      <c r="C670" s="18">
        <v>950</v>
      </c>
      <c r="D670" s="19">
        <v>825.80000000000041</v>
      </c>
    </row>
    <row r="671" spans="1:4" ht="12.75" customHeight="1" x14ac:dyDescent="0.2">
      <c r="A671" s="18">
        <v>150</v>
      </c>
      <c r="B671" s="18">
        <v>6</v>
      </c>
      <c r="C671" s="18">
        <v>1000</v>
      </c>
      <c r="D671" s="19">
        <v>856</v>
      </c>
    </row>
    <row r="672" spans="1:4" ht="12.75" customHeight="1" x14ac:dyDescent="0.2">
      <c r="A672" s="18">
        <v>150</v>
      </c>
      <c r="B672" s="18">
        <v>6</v>
      </c>
      <c r="C672" s="18">
        <v>1100</v>
      </c>
      <c r="D672" s="19">
        <v>909.9</v>
      </c>
    </row>
    <row r="673" spans="1:4" ht="12.75" customHeight="1" x14ac:dyDescent="0.2">
      <c r="A673" s="18">
        <v>150</v>
      </c>
      <c r="B673" s="18">
        <v>6</v>
      </c>
      <c r="C673" s="18">
        <v>1200</v>
      </c>
      <c r="D673" s="19">
        <v>963.8</v>
      </c>
    </row>
    <row r="674" spans="1:4" ht="12.75" customHeight="1" x14ac:dyDescent="0.2">
      <c r="A674" s="18">
        <v>150</v>
      </c>
      <c r="B674" s="18">
        <v>6</v>
      </c>
      <c r="C674" s="18">
        <v>1300</v>
      </c>
      <c r="D674" s="19">
        <v>1017.6999999999999</v>
      </c>
    </row>
    <row r="675" spans="1:4" ht="12.75" customHeight="1" x14ac:dyDescent="0.2">
      <c r="A675" s="18">
        <v>150</v>
      </c>
      <c r="B675" s="18">
        <v>6</v>
      </c>
      <c r="C675" s="18">
        <v>1400</v>
      </c>
      <c r="D675" s="19">
        <v>1071.5999999999999</v>
      </c>
    </row>
    <row r="676" spans="1:4" ht="12.75" customHeight="1" x14ac:dyDescent="0.2">
      <c r="A676" s="18">
        <v>150</v>
      </c>
      <c r="B676" s="18">
        <v>6</v>
      </c>
      <c r="C676" s="18">
        <v>1500</v>
      </c>
      <c r="D676" s="19">
        <v>1125.5</v>
      </c>
    </row>
    <row r="677" spans="1:4" ht="12.75" customHeight="1" x14ac:dyDescent="0.2">
      <c r="A677" s="18">
        <v>150</v>
      </c>
      <c r="B677" s="18">
        <v>6</v>
      </c>
      <c r="C677" s="18">
        <v>1600</v>
      </c>
      <c r="D677" s="19">
        <v>1179.4000000000001</v>
      </c>
    </row>
    <row r="678" spans="1:4" ht="12.75" customHeight="1" x14ac:dyDescent="0.2">
      <c r="A678" s="18">
        <v>150</v>
      </c>
      <c r="B678" s="18">
        <v>6</v>
      </c>
      <c r="C678" s="18">
        <v>1700</v>
      </c>
      <c r="D678" s="19">
        <v>1233.3000000000002</v>
      </c>
    </row>
    <row r="679" spans="1:4" ht="12.75" customHeight="1" x14ac:dyDescent="0.2">
      <c r="A679" s="18">
        <v>150</v>
      </c>
      <c r="B679" s="18">
        <v>6</v>
      </c>
      <c r="C679" s="18">
        <v>1800</v>
      </c>
      <c r="D679" s="19">
        <v>1287.2000000000003</v>
      </c>
    </row>
    <row r="680" spans="1:4" ht="12.75" customHeight="1" x14ac:dyDescent="0.2">
      <c r="A680" s="18">
        <v>150</v>
      </c>
      <c r="B680" s="18">
        <v>6</v>
      </c>
      <c r="C680" s="18">
        <v>1900</v>
      </c>
      <c r="D680" s="19">
        <v>1341.1000000000004</v>
      </c>
    </row>
    <row r="681" spans="1:4" ht="12.75" customHeight="1" x14ac:dyDescent="0.2">
      <c r="A681" s="18">
        <v>150</v>
      </c>
      <c r="B681" s="18">
        <v>6</v>
      </c>
      <c r="C681" s="18">
        <v>2000</v>
      </c>
      <c r="D681" s="19">
        <v>1395</v>
      </c>
    </row>
    <row r="682" spans="1:4" ht="12.75" customHeight="1" x14ac:dyDescent="0.2">
      <c r="A682" s="18">
        <v>200</v>
      </c>
      <c r="B682" s="18">
        <v>2</v>
      </c>
      <c r="C682" s="18">
        <v>50</v>
      </c>
      <c r="D682" s="19">
        <v>230</v>
      </c>
    </row>
    <row r="683" spans="1:4" ht="12.75" customHeight="1" x14ac:dyDescent="0.2">
      <c r="A683" s="18">
        <v>200</v>
      </c>
      <c r="B683" s="18">
        <v>2</v>
      </c>
      <c r="C683" s="18">
        <v>60</v>
      </c>
      <c r="D683" s="19">
        <v>231.6</v>
      </c>
    </row>
    <row r="684" spans="1:4" ht="12.75" customHeight="1" x14ac:dyDescent="0.2">
      <c r="A684" s="18">
        <v>200</v>
      </c>
      <c r="B684" s="18">
        <v>2</v>
      </c>
      <c r="C684" s="18">
        <v>70</v>
      </c>
      <c r="D684" s="19">
        <v>233.2</v>
      </c>
    </row>
    <row r="685" spans="1:4" ht="12.75" customHeight="1" x14ac:dyDescent="0.2">
      <c r="A685" s="18">
        <v>200</v>
      </c>
      <c r="B685" s="18">
        <v>2</v>
      </c>
      <c r="C685" s="18">
        <v>80</v>
      </c>
      <c r="D685" s="19">
        <v>234.79999999999998</v>
      </c>
    </row>
    <row r="686" spans="1:4" ht="12.75" customHeight="1" x14ac:dyDescent="0.2">
      <c r="A686" s="18">
        <v>200</v>
      </c>
      <c r="B686" s="18">
        <v>2</v>
      </c>
      <c r="C686" s="18">
        <v>90</v>
      </c>
      <c r="D686" s="19">
        <v>236.39999999999998</v>
      </c>
    </row>
    <row r="687" spans="1:4" ht="12.75" customHeight="1" x14ac:dyDescent="0.2">
      <c r="A687" s="18">
        <v>200</v>
      </c>
      <c r="B687" s="18">
        <v>2</v>
      </c>
      <c r="C687" s="18">
        <v>100</v>
      </c>
      <c r="D687" s="19">
        <v>238</v>
      </c>
    </row>
    <row r="688" spans="1:4" ht="12.75" customHeight="1" x14ac:dyDescent="0.2">
      <c r="A688" s="18">
        <v>200</v>
      </c>
      <c r="B688" s="18">
        <v>2</v>
      </c>
      <c r="C688" s="18">
        <v>150</v>
      </c>
      <c r="D688" s="19">
        <v>242.5</v>
      </c>
    </row>
    <row r="689" spans="1:4" ht="12.75" customHeight="1" x14ac:dyDescent="0.2">
      <c r="A689" s="18">
        <v>200</v>
      </c>
      <c r="B689" s="18">
        <v>2</v>
      </c>
      <c r="C689" s="18">
        <v>200</v>
      </c>
      <c r="D689" s="19">
        <v>247</v>
      </c>
    </row>
    <row r="690" spans="1:4" ht="12.75" customHeight="1" x14ac:dyDescent="0.2">
      <c r="A690" s="18">
        <v>200</v>
      </c>
      <c r="B690" s="18">
        <v>2</v>
      </c>
      <c r="C690" s="18">
        <v>250</v>
      </c>
      <c r="D690" s="19">
        <v>251.5</v>
      </c>
    </row>
    <row r="691" spans="1:4" ht="12.75" customHeight="1" x14ac:dyDescent="0.2">
      <c r="A691" s="18">
        <v>200</v>
      </c>
      <c r="B691" s="18">
        <v>2</v>
      </c>
      <c r="C691" s="18">
        <v>300</v>
      </c>
      <c r="D691" s="19">
        <v>256</v>
      </c>
    </row>
    <row r="692" spans="1:4" ht="12.75" customHeight="1" x14ac:dyDescent="0.2">
      <c r="A692" s="18">
        <v>200</v>
      </c>
      <c r="B692" s="18">
        <v>2</v>
      </c>
      <c r="C692" s="18">
        <v>350</v>
      </c>
      <c r="D692" s="19">
        <v>259.5</v>
      </c>
    </row>
    <row r="693" spans="1:4" ht="12.75" customHeight="1" x14ac:dyDescent="0.2">
      <c r="A693" s="18">
        <v>200</v>
      </c>
      <c r="B693" s="18">
        <v>2</v>
      </c>
      <c r="C693" s="18">
        <v>400</v>
      </c>
      <c r="D693" s="19">
        <v>263</v>
      </c>
    </row>
    <row r="694" spans="1:4" ht="12.75" customHeight="1" x14ac:dyDescent="0.2">
      <c r="A694" s="18">
        <v>200</v>
      </c>
      <c r="B694" s="18">
        <v>2</v>
      </c>
      <c r="C694" s="18">
        <v>450</v>
      </c>
      <c r="D694" s="19">
        <v>266.5</v>
      </c>
    </row>
    <row r="695" spans="1:4" ht="12.75" customHeight="1" x14ac:dyDescent="0.2">
      <c r="A695" s="18">
        <v>200</v>
      </c>
      <c r="B695" s="18">
        <v>2</v>
      </c>
      <c r="C695" s="18">
        <v>500</v>
      </c>
      <c r="D695" s="19">
        <v>270</v>
      </c>
    </row>
    <row r="696" spans="1:4" ht="12.75" customHeight="1" x14ac:dyDescent="0.2">
      <c r="A696" s="18">
        <v>200</v>
      </c>
      <c r="B696" s="18">
        <v>2</v>
      </c>
      <c r="C696" s="18">
        <v>550</v>
      </c>
      <c r="D696" s="19">
        <v>272.89999999999998</v>
      </c>
    </row>
    <row r="697" spans="1:4" ht="12.75" customHeight="1" x14ac:dyDescent="0.2">
      <c r="A697" s="18">
        <v>200</v>
      </c>
      <c r="B697" s="18">
        <v>2</v>
      </c>
      <c r="C697" s="18">
        <v>600</v>
      </c>
      <c r="D697" s="19">
        <v>275.79999999999995</v>
      </c>
    </row>
    <row r="698" spans="1:4" ht="12.75" customHeight="1" x14ac:dyDescent="0.2">
      <c r="A698" s="18">
        <v>200</v>
      </c>
      <c r="B698" s="18">
        <v>2</v>
      </c>
      <c r="C698" s="18">
        <v>650</v>
      </c>
      <c r="D698" s="19">
        <v>278.69999999999993</v>
      </c>
    </row>
    <row r="699" spans="1:4" ht="12.75" customHeight="1" x14ac:dyDescent="0.2">
      <c r="A699" s="18">
        <v>200</v>
      </c>
      <c r="B699" s="18">
        <v>2</v>
      </c>
      <c r="C699" s="18">
        <v>700</v>
      </c>
      <c r="D699" s="19">
        <v>281.59999999999991</v>
      </c>
    </row>
    <row r="700" spans="1:4" ht="12.75" customHeight="1" x14ac:dyDescent="0.2">
      <c r="A700" s="18">
        <v>200</v>
      </c>
      <c r="B700" s="18">
        <v>2</v>
      </c>
      <c r="C700" s="18">
        <v>750</v>
      </c>
      <c r="D700" s="19">
        <v>284.49999999999989</v>
      </c>
    </row>
    <row r="701" spans="1:4" ht="12.75" customHeight="1" x14ac:dyDescent="0.2">
      <c r="A701" s="18">
        <v>200</v>
      </c>
      <c r="B701" s="18">
        <v>2</v>
      </c>
      <c r="C701" s="18">
        <v>800</v>
      </c>
      <c r="D701" s="19">
        <v>287.39999999999986</v>
      </c>
    </row>
    <row r="702" spans="1:4" ht="12.75" customHeight="1" x14ac:dyDescent="0.2">
      <c r="A702" s="18">
        <v>200</v>
      </c>
      <c r="B702" s="18">
        <v>2</v>
      </c>
      <c r="C702" s="18">
        <v>850</v>
      </c>
      <c r="D702" s="19">
        <v>290.29999999999984</v>
      </c>
    </row>
    <row r="703" spans="1:4" ht="12.75" customHeight="1" x14ac:dyDescent="0.2">
      <c r="A703" s="18">
        <v>200</v>
      </c>
      <c r="B703" s="18">
        <v>2</v>
      </c>
      <c r="C703" s="18">
        <v>900</v>
      </c>
      <c r="D703" s="19">
        <v>293.19999999999982</v>
      </c>
    </row>
    <row r="704" spans="1:4" ht="12.75" customHeight="1" x14ac:dyDescent="0.2">
      <c r="A704" s="18">
        <v>200</v>
      </c>
      <c r="B704" s="18">
        <v>2</v>
      </c>
      <c r="C704" s="18">
        <v>950</v>
      </c>
      <c r="D704" s="19">
        <v>296.0999999999998</v>
      </c>
    </row>
    <row r="705" spans="1:4" ht="12.75" customHeight="1" x14ac:dyDescent="0.2">
      <c r="A705" s="18">
        <v>200</v>
      </c>
      <c r="B705" s="18">
        <v>2</v>
      </c>
      <c r="C705" s="18">
        <v>1000</v>
      </c>
      <c r="D705" s="19">
        <v>299</v>
      </c>
    </row>
    <row r="706" spans="1:4" ht="12.75" customHeight="1" x14ac:dyDescent="0.2">
      <c r="A706" s="18">
        <v>200</v>
      </c>
      <c r="B706" s="18">
        <v>2</v>
      </c>
      <c r="C706" s="18">
        <v>1100</v>
      </c>
      <c r="D706" s="19">
        <v>304</v>
      </c>
    </row>
    <row r="707" spans="1:4" ht="12.75" customHeight="1" x14ac:dyDescent="0.2">
      <c r="A707" s="18">
        <v>200</v>
      </c>
      <c r="B707" s="18">
        <v>2</v>
      </c>
      <c r="C707" s="18">
        <v>1200</v>
      </c>
      <c r="D707" s="19">
        <v>309</v>
      </c>
    </row>
    <row r="708" spans="1:4" ht="12.75" customHeight="1" x14ac:dyDescent="0.2">
      <c r="A708" s="18">
        <v>200</v>
      </c>
      <c r="B708" s="18">
        <v>2</v>
      </c>
      <c r="C708" s="18">
        <v>1300</v>
      </c>
      <c r="D708" s="19">
        <v>314</v>
      </c>
    </row>
    <row r="709" spans="1:4" ht="12.75" customHeight="1" x14ac:dyDescent="0.2">
      <c r="A709" s="18">
        <v>200</v>
      </c>
      <c r="B709" s="18">
        <v>2</v>
      </c>
      <c r="C709" s="18">
        <v>1400</v>
      </c>
      <c r="D709" s="19">
        <v>319</v>
      </c>
    </row>
    <row r="710" spans="1:4" ht="12.75" customHeight="1" x14ac:dyDescent="0.2">
      <c r="A710" s="18">
        <v>200</v>
      </c>
      <c r="B710" s="18">
        <v>2</v>
      </c>
      <c r="C710" s="18">
        <v>1500</v>
      </c>
      <c r="D710" s="19">
        <v>324</v>
      </c>
    </row>
    <row r="711" spans="1:4" ht="12.75" customHeight="1" x14ac:dyDescent="0.2">
      <c r="A711" s="18">
        <v>200</v>
      </c>
      <c r="B711" s="18">
        <v>2</v>
      </c>
      <c r="C711" s="18">
        <v>1600</v>
      </c>
      <c r="D711" s="19">
        <v>329</v>
      </c>
    </row>
    <row r="712" spans="1:4" ht="12.75" customHeight="1" x14ac:dyDescent="0.2">
      <c r="A712" s="18">
        <v>200</v>
      </c>
      <c r="B712" s="18">
        <v>2</v>
      </c>
      <c r="C712" s="18">
        <v>1700</v>
      </c>
      <c r="D712" s="19">
        <v>334</v>
      </c>
    </row>
    <row r="713" spans="1:4" ht="12.75" customHeight="1" x14ac:dyDescent="0.2">
      <c r="A713" s="18">
        <v>200</v>
      </c>
      <c r="B713" s="18">
        <v>2</v>
      </c>
      <c r="C713" s="18">
        <v>1800</v>
      </c>
      <c r="D713" s="19">
        <v>339</v>
      </c>
    </row>
    <row r="714" spans="1:4" ht="12.75" customHeight="1" x14ac:dyDescent="0.2">
      <c r="A714" s="18">
        <v>200</v>
      </c>
      <c r="B714" s="18">
        <v>2</v>
      </c>
      <c r="C714" s="18">
        <v>1900</v>
      </c>
      <c r="D714" s="19">
        <v>344</v>
      </c>
    </row>
    <row r="715" spans="1:4" ht="12.75" customHeight="1" x14ac:dyDescent="0.2">
      <c r="A715" s="18">
        <v>200</v>
      </c>
      <c r="B715" s="18">
        <v>2</v>
      </c>
      <c r="C715" s="18">
        <v>2000</v>
      </c>
      <c r="D715" s="19">
        <v>349</v>
      </c>
    </row>
    <row r="716" spans="1:4" ht="12.75" customHeight="1" x14ac:dyDescent="0.2">
      <c r="A716" s="18">
        <v>200</v>
      </c>
      <c r="B716" s="18">
        <v>3</v>
      </c>
      <c r="C716" s="18">
        <v>50</v>
      </c>
      <c r="D716" s="19">
        <v>241</v>
      </c>
    </row>
    <row r="717" spans="1:4" ht="12.75" customHeight="1" x14ac:dyDescent="0.2">
      <c r="A717" s="18">
        <v>200</v>
      </c>
      <c r="B717" s="18">
        <v>3</v>
      </c>
      <c r="C717" s="18">
        <v>60</v>
      </c>
      <c r="D717" s="19">
        <v>243.8</v>
      </c>
    </row>
    <row r="718" spans="1:4" ht="12.75" customHeight="1" x14ac:dyDescent="0.2">
      <c r="A718" s="18">
        <v>200</v>
      </c>
      <c r="B718" s="18">
        <v>3</v>
      </c>
      <c r="C718" s="18">
        <v>70</v>
      </c>
      <c r="D718" s="19">
        <v>246.60000000000002</v>
      </c>
    </row>
    <row r="719" spans="1:4" ht="12.75" customHeight="1" x14ac:dyDescent="0.2">
      <c r="A719" s="18">
        <v>200</v>
      </c>
      <c r="B719" s="18">
        <v>3</v>
      </c>
      <c r="C719" s="18">
        <v>80</v>
      </c>
      <c r="D719" s="19">
        <v>249.40000000000003</v>
      </c>
    </row>
    <row r="720" spans="1:4" ht="12.75" customHeight="1" x14ac:dyDescent="0.2">
      <c r="A720" s="18">
        <v>200</v>
      </c>
      <c r="B720" s="18">
        <v>3</v>
      </c>
      <c r="C720" s="18">
        <v>90</v>
      </c>
      <c r="D720" s="19">
        <v>252.20000000000005</v>
      </c>
    </row>
    <row r="721" spans="1:4" ht="12.75" customHeight="1" x14ac:dyDescent="0.2">
      <c r="A721" s="18">
        <v>200</v>
      </c>
      <c r="B721" s="18">
        <v>3</v>
      </c>
      <c r="C721" s="18">
        <v>100</v>
      </c>
      <c r="D721" s="19">
        <v>255</v>
      </c>
    </row>
    <row r="722" spans="1:4" ht="12.75" customHeight="1" x14ac:dyDescent="0.2">
      <c r="A722" s="18">
        <v>200</v>
      </c>
      <c r="B722" s="18">
        <v>3</v>
      </c>
      <c r="C722" s="18">
        <v>150</v>
      </c>
      <c r="D722" s="19">
        <v>263.75</v>
      </c>
    </row>
    <row r="723" spans="1:4" ht="12.75" customHeight="1" x14ac:dyDescent="0.2">
      <c r="A723" s="18">
        <v>200</v>
      </c>
      <c r="B723" s="18">
        <v>3</v>
      </c>
      <c r="C723" s="18">
        <v>200</v>
      </c>
      <c r="D723" s="19">
        <v>272.5</v>
      </c>
    </row>
    <row r="724" spans="1:4" ht="12.75" customHeight="1" x14ac:dyDescent="0.2">
      <c r="A724" s="18">
        <v>200</v>
      </c>
      <c r="B724" s="18">
        <v>3</v>
      </c>
      <c r="C724" s="18">
        <v>250</v>
      </c>
      <c r="D724" s="19">
        <v>281.25</v>
      </c>
    </row>
    <row r="725" spans="1:4" ht="12.75" customHeight="1" x14ac:dyDescent="0.2">
      <c r="A725" s="18">
        <v>200</v>
      </c>
      <c r="B725" s="18">
        <v>3</v>
      </c>
      <c r="C725" s="18">
        <v>300</v>
      </c>
      <c r="D725" s="19">
        <v>290</v>
      </c>
    </row>
    <row r="726" spans="1:4" ht="12.75" customHeight="1" x14ac:dyDescent="0.2">
      <c r="A726" s="18">
        <v>200</v>
      </c>
      <c r="B726" s="18">
        <v>3</v>
      </c>
      <c r="C726" s="18">
        <v>350</v>
      </c>
      <c r="D726" s="19">
        <v>297.75</v>
      </c>
    </row>
    <row r="727" spans="1:4" ht="12.75" customHeight="1" x14ac:dyDescent="0.2">
      <c r="A727" s="18">
        <v>200</v>
      </c>
      <c r="B727" s="18">
        <v>3</v>
      </c>
      <c r="C727" s="18">
        <v>400</v>
      </c>
      <c r="D727" s="19">
        <v>305.5</v>
      </c>
    </row>
    <row r="728" spans="1:4" ht="12.75" customHeight="1" x14ac:dyDescent="0.2">
      <c r="A728" s="18">
        <v>200</v>
      </c>
      <c r="B728" s="18">
        <v>3</v>
      </c>
      <c r="C728" s="18">
        <v>450</v>
      </c>
      <c r="D728" s="19">
        <v>313.25</v>
      </c>
    </row>
    <row r="729" spans="1:4" ht="12.75" customHeight="1" x14ac:dyDescent="0.2">
      <c r="A729" s="18">
        <v>200</v>
      </c>
      <c r="B729" s="18">
        <v>3</v>
      </c>
      <c r="C729" s="18">
        <v>500</v>
      </c>
      <c r="D729" s="19">
        <v>321</v>
      </c>
    </row>
    <row r="730" spans="1:4" ht="12.75" customHeight="1" x14ac:dyDescent="0.2">
      <c r="A730" s="18">
        <v>200</v>
      </c>
      <c r="B730" s="18">
        <v>3</v>
      </c>
      <c r="C730" s="18">
        <v>550</v>
      </c>
      <c r="D730" s="19">
        <v>328</v>
      </c>
    </row>
    <row r="731" spans="1:4" ht="12.75" customHeight="1" x14ac:dyDescent="0.2">
      <c r="A731" s="18">
        <v>200</v>
      </c>
      <c r="B731" s="18">
        <v>3</v>
      </c>
      <c r="C731" s="18">
        <v>600</v>
      </c>
      <c r="D731" s="19">
        <v>335</v>
      </c>
    </row>
    <row r="732" spans="1:4" ht="12.75" customHeight="1" x14ac:dyDescent="0.2">
      <c r="A732" s="18">
        <v>200</v>
      </c>
      <c r="B732" s="18">
        <v>3</v>
      </c>
      <c r="C732" s="18">
        <v>650</v>
      </c>
      <c r="D732" s="19">
        <v>342</v>
      </c>
    </row>
    <row r="733" spans="1:4" ht="12.75" customHeight="1" x14ac:dyDescent="0.2">
      <c r="A733" s="18">
        <v>200</v>
      </c>
      <c r="B733" s="18">
        <v>3</v>
      </c>
      <c r="C733" s="18">
        <v>700</v>
      </c>
      <c r="D733" s="19">
        <v>349</v>
      </c>
    </row>
    <row r="734" spans="1:4" ht="12.75" customHeight="1" x14ac:dyDescent="0.2">
      <c r="A734" s="18">
        <v>200</v>
      </c>
      <c r="B734" s="18">
        <v>3</v>
      </c>
      <c r="C734" s="18">
        <v>750</v>
      </c>
      <c r="D734" s="19">
        <v>356</v>
      </c>
    </row>
    <row r="735" spans="1:4" ht="12.75" customHeight="1" x14ac:dyDescent="0.2">
      <c r="A735" s="18">
        <v>200</v>
      </c>
      <c r="B735" s="18">
        <v>3</v>
      </c>
      <c r="C735" s="18">
        <v>800</v>
      </c>
      <c r="D735" s="19">
        <v>363</v>
      </c>
    </row>
    <row r="736" spans="1:4" ht="12.75" customHeight="1" x14ac:dyDescent="0.2">
      <c r="A736" s="18">
        <v>200</v>
      </c>
      <c r="B736" s="18">
        <v>3</v>
      </c>
      <c r="C736" s="18">
        <v>850</v>
      </c>
      <c r="D736" s="19">
        <v>370</v>
      </c>
    </row>
    <row r="737" spans="1:4" ht="12.75" customHeight="1" x14ac:dyDescent="0.2">
      <c r="A737" s="18">
        <v>200</v>
      </c>
      <c r="B737" s="18">
        <v>3</v>
      </c>
      <c r="C737" s="18">
        <v>900</v>
      </c>
      <c r="D737" s="19">
        <v>377</v>
      </c>
    </row>
    <row r="738" spans="1:4" ht="12.75" customHeight="1" x14ac:dyDescent="0.2">
      <c r="A738" s="18">
        <v>200</v>
      </c>
      <c r="B738" s="18">
        <v>3</v>
      </c>
      <c r="C738" s="18">
        <v>950</v>
      </c>
      <c r="D738" s="19">
        <v>384</v>
      </c>
    </row>
    <row r="739" spans="1:4" ht="12.75" customHeight="1" x14ac:dyDescent="0.2">
      <c r="A739" s="18">
        <v>200</v>
      </c>
      <c r="B739" s="18">
        <v>3</v>
      </c>
      <c r="C739" s="18">
        <v>1000</v>
      </c>
      <c r="D739" s="19">
        <v>391</v>
      </c>
    </row>
    <row r="740" spans="1:4" ht="12.75" customHeight="1" x14ac:dyDescent="0.2">
      <c r="A740" s="18">
        <v>200</v>
      </c>
      <c r="B740" s="18">
        <v>3</v>
      </c>
      <c r="C740" s="18">
        <v>1100</v>
      </c>
      <c r="D740" s="19">
        <v>402.9</v>
      </c>
    </row>
    <row r="741" spans="1:4" ht="12.75" customHeight="1" x14ac:dyDescent="0.2">
      <c r="A741" s="18">
        <v>200</v>
      </c>
      <c r="B741" s="18">
        <v>3</v>
      </c>
      <c r="C741" s="18">
        <v>1200</v>
      </c>
      <c r="D741" s="19">
        <v>414.79999999999995</v>
      </c>
    </row>
    <row r="742" spans="1:4" ht="12.75" customHeight="1" x14ac:dyDescent="0.2">
      <c r="A742" s="18">
        <v>200</v>
      </c>
      <c r="B742" s="18">
        <v>3</v>
      </c>
      <c r="C742" s="18">
        <v>1300</v>
      </c>
      <c r="D742" s="19">
        <v>426.69999999999993</v>
      </c>
    </row>
    <row r="743" spans="1:4" ht="12.75" customHeight="1" x14ac:dyDescent="0.2">
      <c r="A743" s="18">
        <v>200</v>
      </c>
      <c r="B743" s="18">
        <v>3</v>
      </c>
      <c r="C743" s="18">
        <v>1400</v>
      </c>
      <c r="D743" s="19">
        <v>438.59999999999991</v>
      </c>
    </row>
    <row r="744" spans="1:4" ht="12.75" customHeight="1" x14ac:dyDescent="0.2">
      <c r="A744" s="18">
        <v>200</v>
      </c>
      <c r="B744" s="18">
        <v>3</v>
      </c>
      <c r="C744" s="18">
        <v>1500</v>
      </c>
      <c r="D744" s="19">
        <v>450.49999999999989</v>
      </c>
    </row>
    <row r="745" spans="1:4" ht="12.75" customHeight="1" x14ac:dyDescent="0.2">
      <c r="A745" s="18">
        <v>200</v>
      </c>
      <c r="B745" s="18">
        <v>3</v>
      </c>
      <c r="C745" s="18">
        <v>1600</v>
      </c>
      <c r="D745" s="19">
        <v>462.39999999999986</v>
      </c>
    </row>
    <row r="746" spans="1:4" ht="12.75" customHeight="1" x14ac:dyDescent="0.2">
      <c r="A746" s="18">
        <v>200</v>
      </c>
      <c r="B746" s="18">
        <v>3</v>
      </c>
      <c r="C746" s="18">
        <v>1700</v>
      </c>
      <c r="D746" s="19">
        <v>474.29999999999984</v>
      </c>
    </row>
    <row r="747" spans="1:4" ht="12.75" customHeight="1" x14ac:dyDescent="0.2">
      <c r="A747" s="18">
        <v>200</v>
      </c>
      <c r="B747" s="18">
        <v>3</v>
      </c>
      <c r="C747" s="18">
        <v>1800</v>
      </c>
      <c r="D747" s="19">
        <v>486.19999999999982</v>
      </c>
    </row>
    <row r="748" spans="1:4" ht="12.75" customHeight="1" x14ac:dyDescent="0.2">
      <c r="A748" s="18">
        <v>200</v>
      </c>
      <c r="B748" s="18">
        <v>3</v>
      </c>
      <c r="C748" s="18">
        <v>1900</v>
      </c>
      <c r="D748" s="19">
        <v>498.0999999999998</v>
      </c>
    </row>
    <row r="749" spans="1:4" ht="12.75" customHeight="1" x14ac:dyDescent="0.2">
      <c r="A749" s="18">
        <v>200</v>
      </c>
      <c r="B749" s="18">
        <v>3</v>
      </c>
      <c r="C749" s="18">
        <v>2000</v>
      </c>
      <c r="D749" s="19">
        <v>510</v>
      </c>
    </row>
    <row r="750" spans="1:4" ht="12.75" customHeight="1" x14ac:dyDescent="0.2">
      <c r="A750" s="18">
        <v>200</v>
      </c>
      <c r="B750" s="18">
        <v>4</v>
      </c>
      <c r="C750" s="18">
        <v>50</v>
      </c>
      <c r="D750" s="19">
        <v>253</v>
      </c>
    </row>
    <row r="751" spans="1:4" ht="12.75" customHeight="1" x14ac:dyDescent="0.2">
      <c r="A751" s="18">
        <v>200</v>
      </c>
      <c r="B751" s="18">
        <v>4</v>
      </c>
      <c r="C751" s="18">
        <v>60</v>
      </c>
      <c r="D751" s="19">
        <v>257.2</v>
      </c>
    </row>
    <row r="752" spans="1:4" ht="12.75" customHeight="1" x14ac:dyDescent="0.2">
      <c r="A752" s="18">
        <v>200</v>
      </c>
      <c r="B752" s="18">
        <v>4</v>
      </c>
      <c r="C752" s="18">
        <v>70</v>
      </c>
      <c r="D752" s="19">
        <v>261.39999999999998</v>
      </c>
    </row>
    <row r="753" spans="1:4" ht="12.75" customHeight="1" x14ac:dyDescent="0.2">
      <c r="A753" s="18">
        <v>200</v>
      </c>
      <c r="B753" s="18">
        <v>4</v>
      </c>
      <c r="C753" s="18">
        <v>80</v>
      </c>
      <c r="D753" s="19">
        <v>265.59999999999997</v>
      </c>
    </row>
    <row r="754" spans="1:4" ht="12.75" customHeight="1" x14ac:dyDescent="0.2">
      <c r="A754" s="18">
        <v>200</v>
      </c>
      <c r="B754" s="18">
        <v>4</v>
      </c>
      <c r="C754" s="18">
        <v>90</v>
      </c>
      <c r="D754" s="19">
        <v>269.79999999999995</v>
      </c>
    </row>
    <row r="755" spans="1:4" ht="12.75" customHeight="1" x14ac:dyDescent="0.2">
      <c r="A755" s="18">
        <v>200</v>
      </c>
      <c r="B755" s="18">
        <v>4</v>
      </c>
      <c r="C755" s="18">
        <v>100</v>
      </c>
      <c r="D755" s="19">
        <v>274</v>
      </c>
    </row>
    <row r="756" spans="1:4" ht="12.75" customHeight="1" x14ac:dyDescent="0.2">
      <c r="A756" s="18">
        <v>200</v>
      </c>
      <c r="B756" s="18">
        <v>4</v>
      </c>
      <c r="C756" s="18">
        <v>150</v>
      </c>
      <c r="D756" s="19">
        <v>289.75</v>
      </c>
    </row>
    <row r="757" spans="1:4" ht="12.75" customHeight="1" x14ac:dyDescent="0.2">
      <c r="A757" s="18">
        <v>200</v>
      </c>
      <c r="B757" s="18">
        <v>4</v>
      </c>
      <c r="C757" s="18">
        <v>200</v>
      </c>
      <c r="D757" s="19">
        <v>305.5</v>
      </c>
    </row>
    <row r="758" spans="1:4" ht="12.75" customHeight="1" x14ac:dyDescent="0.2">
      <c r="A758" s="18">
        <v>200</v>
      </c>
      <c r="B758" s="18">
        <v>4</v>
      </c>
      <c r="C758" s="18">
        <v>250</v>
      </c>
      <c r="D758" s="19">
        <v>321.25</v>
      </c>
    </row>
    <row r="759" spans="1:4" ht="12.75" customHeight="1" x14ac:dyDescent="0.2">
      <c r="A759" s="18">
        <v>200</v>
      </c>
      <c r="B759" s="18">
        <v>4</v>
      </c>
      <c r="C759" s="18">
        <v>300</v>
      </c>
      <c r="D759" s="19">
        <v>337</v>
      </c>
    </row>
    <row r="760" spans="1:4" ht="12.75" customHeight="1" x14ac:dyDescent="0.2">
      <c r="A760" s="18">
        <v>200</v>
      </c>
      <c r="B760" s="18">
        <v>4</v>
      </c>
      <c r="C760" s="18">
        <v>350</v>
      </c>
      <c r="D760" s="19">
        <v>351</v>
      </c>
    </row>
    <row r="761" spans="1:4" ht="12.75" customHeight="1" x14ac:dyDescent="0.2">
      <c r="A761" s="18">
        <v>200</v>
      </c>
      <c r="B761" s="18">
        <v>4</v>
      </c>
      <c r="C761" s="18">
        <v>400</v>
      </c>
      <c r="D761" s="19">
        <v>365</v>
      </c>
    </row>
    <row r="762" spans="1:4" ht="12.75" customHeight="1" x14ac:dyDescent="0.2">
      <c r="A762" s="18">
        <v>200</v>
      </c>
      <c r="B762" s="18">
        <v>4</v>
      </c>
      <c r="C762" s="18">
        <v>450</v>
      </c>
      <c r="D762" s="19">
        <v>379</v>
      </c>
    </row>
    <row r="763" spans="1:4" ht="12.75" customHeight="1" x14ac:dyDescent="0.2">
      <c r="A763" s="18">
        <v>200</v>
      </c>
      <c r="B763" s="18">
        <v>4</v>
      </c>
      <c r="C763" s="18">
        <v>500</v>
      </c>
      <c r="D763" s="19">
        <v>393</v>
      </c>
    </row>
    <row r="764" spans="1:4" ht="12.75" customHeight="1" x14ac:dyDescent="0.2">
      <c r="A764" s="18">
        <v>200</v>
      </c>
      <c r="B764" s="18">
        <v>4</v>
      </c>
      <c r="C764" s="18">
        <v>550</v>
      </c>
      <c r="D764" s="19">
        <v>405.6</v>
      </c>
    </row>
    <row r="765" spans="1:4" ht="12.75" customHeight="1" x14ac:dyDescent="0.2">
      <c r="A765" s="18">
        <v>200</v>
      </c>
      <c r="B765" s="18">
        <v>4</v>
      </c>
      <c r="C765" s="18">
        <v>600</v>
      </c>
      <c r="D765" s="19">
        <v>418.20000000000005</v>
      </c>
    </row>
    <row r="766" spans="1:4" ht="12.75" customHeight="1" x14ac:dyDescent="0.2">
      <c r="A766" s="18">
        <v>200</v>
      </c>
      <c r="B766" s="18">
        <v>4</v>
      </c>
      <c r="C766" s="18">
        <v>650</v>
      </c>
      <c r="D766" s="19">
        <v>430.80000000000007</v>
      </c>
    </row>
    <row r="767" spans="1:4" ht="12.75" customHeight="1" x14ac:dyDescent="0.2">
      <c r="A767" s="18">
        <v>200</v>
      </c>
      <c r="B767" s="18">
        <v>4</v>
      </c>
      <c r="C767" s="18">
        <v>700</v>
      </c>
      <c r="D767" s="19">
        <v>443.40000000000009</v>
      </c>
    </row>
    <row r="768" spans="1:4" ht="12.75" customHeight="1" x14ac:dyDescent="0.2">
      <c r="A768" s="18">
        <v>200</v>
      </c>
      <c r="B768" s="18">
        <v>4</v>
      </c>
      <c r="C768" s="18">
        <v>750</v>
      </c>
      <c r="D768" s="19">
        <v>456.00000000000011</v>
      </c>
    </row>
    <row r="769" spans="1:4" ht="12.75" customHeight="1" x14ac:dyDescent="0.2">
      <c r="A769" s="18">
        <v>200</v>
      </c>
      <c r="B769" s="18">
        <v>4</v>
      </c>
      <c r="C769" s="18">
        <v>800</v>
      </c>
      <c r="D769" s="19">
        <v>468.60000000000014</v>
      </c>
    </row>
    <row r="770" spans="1:4" ht="12.75" customHeight="1" x14ac:dyDescent="0.2">
      <c r="A770" s="18">
        <v>200</v>
      </c>
      <c r="B770" s="18">
        <v>4</v>
      </c>
      <c r="C770" s="18">
        <v>850</v>
      </c>
      <c r="D770" s="19">
        <v>481.20000000000016</v>
      </c>
    </row>
    <row r="771" spans="1:4" ht="12.75" customHeight="1" x14ac:dyDescent="0.2">
      <c r="A771" s="18">
        <v>200</v>
      </c>
      <c r="B771" s="18">
        <v>4</v>
      </c>
      <c r="C771" s="18">
        <v>900</v>
      </c>
      <c r="D771" s="19">
        <v>493.80000000000018</v>
      </c>
    </row>
    <row r="772" spans="1:4" ht="12.75" customHeight="1" x14ac:dyDescent="0.2">
      <c r="A772" s="18">
        <v>200</v>
      </c>
      <c r="B772" s="18">
        <v>4</v>
      </c>
      <c r="C772" s="18">
        <v>950</v>
      </c>
      <c r="D772" s="19">
        <v>506.4000000000002</v>
      </c>
    </row>
    <row r="773" spans="1:4" ht="12.75" customHeight="1" x14ac:dyDescent="0.2">
      <c r="A773" s="18">
        <v>200</v>
      </c>
      <c r="B773" s="18">
        <v>4</v>
      </c>
      <c r="C773" s="18">
        <v>1000</v>
      </c>
      <c r="D773" s="19">
        <v>519</v>
      </c>
    </row>
    <row r="774" spans="1:4" ht="12.75" customHeight="1" x14ac:dyDescent="0.2">
      <c r="A774" s="18">
        <v>200</v>
      </c>
      <c r="B774" s="18">
        <v>4</v>
      </c>
      <c r="C774" s="18">
        <v>1100</v>
      </c>
      <c r="D774" s="19">
        <v>541.29999999999995</v>
      </c>
    </row>
    <row r="775" spans="1:4" ht="12.75" customHeight="1" x14ac:dyDescent="0.2">
      <c r="A775" s="18">
        <v>200</v>
      </c>
      <c r="B775" s="18">
        <v>4</v>
      </c>
      <c r="C775" s="18">
        <v>1200</v>
      </c>
      <c r="D775" s="19">
        <v>563.59999999999991</v>
      </c>
    </row>
    <row r="776" spans="1:4" ht="12.75" customHeight="1" x14ac:dyDescent="0.2">
      <c r="A776" s="18">
        <v>200</v>
      </c>
      <c r="B776" s="18">
        <v>4</v>
      </c>
      <c r="C776" s="18">
        <v>1300</v>
      </c>
      <c r="D776" s="19">
        <v>585.89999999999986</v>
      </c>
    </row>
    <row r="777" spans="1:4" ht="12.75" customHeight="1" x14ac:dyDescent="0.2">
      <c r="A777" s="18">
        <v>200</v>
      </c>
      <c r="B777" s="18">
        <v>4</v>
      </c>
      <c r="C777" s="18">
        <v>1400</v>
      </c>
      <c r="D777" s="19">
        <v>608.19999999999982</v>
      </c>
    </row>
    <row r="778" spans="1:4" ht="12.75" customHeight="1" x14ac:dyDescent="0.2">
      <c r="A778" s="18">
        <v>200</v>
      </c>
      <c r="B778" s="18">
        <v>4</v>
      </c>
      <c r="C778" s="18">
        <v>1500</v>
      </c>
      <c r="D778" s="19">
        <v>630.49999999999977</v>
      </c>
    </row>
    <row r="779" spans="1:4" ht="12.75" customHeight="1" x14ac:dyDescent="0.2">
      <c r="A779" s="18">
        <v>200</v>
      </c>
      <c r="B779" s="18">
        <v>4</v>
      </c>
      <c r="C779" s="18">
        <v>1600</v>
      </c>
      <c r="D779" s="19">
        <v>652.79999999999973</v>
      </c>
    </row>
    <row r="780" spans="1:4" ht="12.75" customHeight="1" x14ac:dyDescent="0.2">
      <c r="A780" s="18">
        <v>200</v>
      </c>
      <c r="B780" s="18">
        <v>4</v>
      </c>
      <c r="C780" s="18">
        <v>1700</v>
      </c>
      <c r="D780" s="19">
        <v>675.09999999999968</v>
      </c>
    </row>
    <row r="781" spans="1:4" ht="12.75" customHeight="1" x14ac:dyDescent="0.2">
      <c r="A781" s="18">
        <v>200</v>
      </c>
      <c r="B781" s="18">
        <v>4</v>
      </c>
      <c r="C781" s="18">
        <v>1800</v>
      </c>
      <c r="D781" s="19">
        <v>697.39999999999964</v>
      </c>
    </row>
    <row r="782" spans="1:4" ht="12.75" customHeight="1" x14ac:dyDescent="0.2">
      <c r="A782" s="18">
        <v>200</v>
      </c>
      <c r="B782" s="18">
        <v>4</v>
      </c>
      <c r="C782" s="18">
        <v>1900</v>
      </c>
      <c r="D782" s="19">
        <v>719.69999999999959</v>
      </c>
    </row>
    <row r="783" spans="1:4" ht="12.75" customHeight="1" x14ac:dyDescent="0.2">
      <c r="A783" s="18">
        <v>200</v>
      </c>
      <c r="B783" s="18">
        <v>4</v>
      </c>
      <c r="C783" s="18">
        <v>2000</v>
      </c>
      <c r="D783" s="19">
        <v>742</v>
      </c>
    </row>
    <row r="784" spans="1:4" ht="12.75" customHeight="1" x14ac:dyDescent="0.2">
      <c r="A784" s="18">
        <v>200</v>
      </c>
      <c r="B784" s="18">
        <v>5</v>
      </c>
      <c r="C784" s="18">
        <v>50</v>
      </c>
      <c r="D784" s="19">
        <v>267</v>
      </c>
    </row>
    <row r="785" spans="1:4" ht="12.75" customHeight="1" x14ac:dyDescent="0.2">
      <c r="A785" s="18">
        <v>200</v>
      </c>
      <c r="B785" s="18">
        <v>5</v>
      </c>
      <c r="C785" s="18">
        <v>60</v>
      </c>
      <c r="D785" s="19">
        <v>273.2</v>
      </c>
    </row>
    <row r="786" spans="1:4" ht="12.75" customHeight="1" x14ac:dyDescent="0.2">
      <c r="A786" s="18">
        <v>200</v>
      </c>
      <c r="B786" s="18">
        <v>5</v>
      </c>
      <c r="C786" s="18">
        <v>70</v>
      </c>
      <c r="D786" s="19">
        <v>279.39999999999998</v>
      </c>
    </row>
    <row r="787" spans="1:4" ht="12.75" customHeight="1" x14ac:dyDescent="0.2">
      <c r="A787" s="18">
        <v>200</v>
      </c>
      <c r="B787" s="18">
        <v>5</v>
      </c>
      <c r="C787" s="18">
        <v>80</v>
      </c>
      <c r="D787" s="19">
        <v>285.59999999999997</v>
      </c>
    </row>
    <row r="788" spans="1:4" ht="12.75" customHeight="1" x14ac:dyDescent="0.2">
      <c r="A788" s="18">
        <v>200</v>
      </c>
      <c r="B788" s="18">
        <v>5</v>
      </c>
      <c r="C788" s="18">
        <v>90</v>
      </c>
      <c r="D788" s="19">
        <v>291.79999999999995</v>
      </c>
    </row>
    <row r="789" spans="1:4" ht="12.75" customHeight="1" x14ac:dyDescent="0.2">
      <c r="A789" s="18">
        <v>200</v>
      </c>
      <c r="B789" s="18">
        <v>5</v>
      </c>
      <c r="C789" s="18">
        <v>100</v>
      </c>
      <c r="D789" s="19">
        <v>298</v>
      </c>
    </row>
    <row r="790" spans="1:4" ht="12.75" customHeight="1" x14ac:dyDescent="0.2">
      <c r="A790" s="18">
        <v>200</v>
      </c>
      <c r="B790" s="18">
        <v>5</v>
      </c>
      <c r="C790" s="18">
        <v>150</v>
      </c>
      <c r="D790" s="19">
        <v>323</v>
      </c>
    </row>
    <row r="791" spans="1:4" ht="12.75" customHeight="1" x14ac:dyDescent="0.2">
      <c r="A791" s="18">
        <v>200</v>
      </c>
      <c r="B791" s="18">
        <v>5</v>
      </c>
      <c r="C791" s="18">
        <v>200</v>
      </c>
      <c r="D791" s="19">
        <v>348</v>
      </c>
    </row>
    <row r="792" spans="1:4" ht="12.75" customHeight="1" x14ac:dyDescent="0.2">
      <c r="A792" s="18">
        <v>200</v>
      </c>
      <c r="B792" s="18">
        <v>5</v>
      </c>
      <c r="C792" s="18">
        <v>250</v>
      </c>
      <c r="D792" s="19">
        <v>373</v>
      </c>
    </row>
    <row r="793" spans="1:4" ht="12.75" customHeight="1" x14ac:dyDescent="0.2">
      <c r="A793" s="18">
        <v>200</v>
      </c>
      <c r="B793" s="18">
        <v>5</v>
      </c>
      <c r="C793" s="18">
        <v>300</v>
      </c>
      <c r="D793" s="19">
        <v>398</v>
      </c>
    </row>
    <row r="794" spans="1:4" ht="12.75" customHeight="1" x14ac:dyDescent="0.2">
      <c r="A794" s="18">
        <v>200</v>
      </c>
      <c r="B794" s="18">
        <v>5</v>
      </c>
      <c r="C794" s="18">
        <v>350</v>
      </c>
      <c r="D794" s="19">
        <v>420.25</v>
      </c>
    </row>
    <row r="795" spans="1:4" ht="12.75" customHeight="1" x14ac:dyDescent="0.2">
      <c r="A795" s="18">
        <v>200</v>
      </c>
      <c r="B795" s="18">
        <v>5</v>
      </c>
      <c r="C795" s="18">
        <v>400</v>
      </c>
      <c r="D795" s="19">
        <v>442.5</v>
      </c>
    </row>
    <row r="796" spans="1:4" ht="12.75" customHeight="1" x14ac:dyDescent="0.2">
      <c r="A796" s="18">
        <v>200</v>
      </c>
      <c r="B796" s="18">
        <v>5</v>
      </c>
      <c r="C796" s="18">
        <v>450</v>
      </c>
      <c r="D796" s="19">
        <v>464.75</v>
      </c>
    </row>
    <row r="797" spans="1:4" ht="12.75" customHeight="1" x14ac:dyDescent="0.2">
      <c r="A797" s="18">
        <v>200</v>
      </c>
      <c r="B797" s="18">
        <v>5</v>
      </c>
      <c r="C797" s="18">
        <v>500</v>
      </c>
      <c r="D797" s="19">
        <v>487</v>
      </c>
    </row>
    <row r="798" spans="1:4" ht="12.75" customHeight="1" x14ac:dyDescent="0.2">
      <c r="A798" s="18">
        <v>200</v>
      </c>
      <c r="B798" s="18">
        <v>5</v>
      </c>
      <c r="C798" s="18">
        <v>550</v>
      </c>
      <c r="D798" s="19">
        <v>507.5</v>
      </c>
    </row>
    <row r="799" spans="1:4" ht="12.75" customHeight="1" x14ac:dyDescent="0.2">
      <c r="A799" s="18">
        <v>200</v>
      </c>
      <c r="B799" s="18">
        <v>5</v>
      </c>
      <c r="C799" s="18">
        <v>600</v>
      </c>
      <c r="D799" s="19">
        <v>528</v>
      </c>
    </row>
    <row r="800" spans="1:4" ht="12.75" customHeight="1" x14ac:dyDescent="0.2">
      <c r="A800" s="18">
        <v>200</v>
      </c>
      <c r="B800" s="18">
        <v>5</v>
      </c>
      <c r="C800" s="18">
        <v>650</v>
      </c>
      <c r="D800" s="19">
        <v>548.5</v>
      </c>
    </row>
    <row r="801" spans="1:4" ht="12.75" customHeight="1" x14ac:dyDescent="0.2">
      <c r="A801" s="18">
        <v>200</v>
      </c>
      <c r="B801" s="18">
        <v>5</v>
      </c>
      <c r="C801" s="18">
        <v>700</v>
      </c>
      <c r="D801" s="19">
        <v>569</v>
      </c>
    </row>
    <row r="802" spans="1:4" ht="12.75" customHeight="1" x14ac:dyDescent="0.2">
      <c r="A802" s="18">
        <v>200</v>
      </c>
      <c r="B802" s="18">
        <v>5</v>
      </c>
      <c r="C802" s="18">
        <v>750</v>
      </c>
      <c r="D802" s="19">
        <v>589.5</v>
      </c>
    </row>
    <row r="803" spans="1:4" ht="12.75" customHeight="1" x14ac:dyDescent="0.2">
      <c r="A803" s="18">
        <v>200</v>
      </c>
      <c r="B803" s="18">
        <v>5</v>
      </c>
      <c r="C803" s="18">
        <v>800</v>
      </c>
      <c r="D803" s="19">
        <v>610</v>
      </c>
    </row>
    <row r="804" spans="1:4" ht="12.75" customHeight="1" x14ac:dyDescent="0.2">
      <c r="A804" s="18">
        <v>200</v>
      </c>
      <c r="B804" s="18">
        <v>5</v>
      </c>
      <c r="C804" s="18">
        <v>850</v>
      </c>
      <c r="D804" s="19">
        <v>630.5</v>
      </c>
    </row>
    <row r="805" spans="1:4" ht="12.75" customHeight="1" x14ac:dyDescent="0.2">
      <c r="A805" s="18">
        <v>200</v>
      </c>
      <c r="B805" s="18">
        <v>5</v>
      </c>
      <c r="C805" s="18">
        <v>900</v>
      </c>
      <c r="D805" s="19">
        <v>651</v>
      </c>
    </row>
    <row r="806" spans="1:4" ht="12.75" customHeight="1" x14ac:dyDescent="0.2">
      <c r="A806" s="18">
        <v>200</v>
      </c>
      <c r="B806" s="18">
        <v>5</v>
      </c>
      <c r="C806" s="18">
        <v>950</v>
      </c>
      <c r="D806" s="19">
        <v>671.5</v>
      </c>
    </row>
    <row r="807" spans="1:4" ht="12.75" customHeight="1" x14ac:dyDescent="0.2">
      <c r="A807" s="18">
        <v>200</v>
      </c>
      <c r="B807" s="18">
        <v>5</v>
      </c>
      <c r="C807" s="18">
        <v>1000</v>
      </c>
      <c r="D807" s="19">
        <v>692</v>
      </c>
    </row>
    <row r="808" spans="1:4" ht="12.75" customHeight="1" x14ac:dyDescent="0.2">
      <c r="A808" s="18">
        <v>200</v>
      </c>
      <c r="B808" s="18">
        <v>5</v>
      </c>
      <c r="C808" s="18">
        <v>1100</v>
      </c>
      <c r="D808" s="19">
        <v>727.6</v>
      </c>
    </row>
    <row r="809" spans="1:4" ht="12.75" customHeight="1" x14ac:dyDescent="0.2">
      <c r="A809" s="18">
        <v>200</v>
      </c>
      <c r="B809" s="18">
        <v>5</v>
      </c>
      <c r="C809" s="18">
        <v>1200</v>
      </c>
      <c r="D809" s="19">
        <v>763.2</v>
      </c>
    </row>
    <row r="810" spans="1:4" ht="12.75" customHeight="1" x14ac:dyDescent="0.2">
      <c r="A810" s="18">
        <v>200</v>
      </c>
      <c r="B810" s="18">
        <v>5</v>
      </c>
      <c r="C810" s="18">
        <v>1300</v>
      </c>
      <c r="D810" s="19">
        <v>798.80000000000007</v>
      </c>
    </row>
    <row r="811" spans="1:4" ht="12.75" customHeight="1" x14ac:dyDescent="0.2">
      <c r="A811" s="18">
        <v>200</v>
      </c>
      <c r="B811" s="18">
        <v>5</v>
      </c>
      <c r="C811" s="18">
        <v>1400</v>
      </c>
      <c r="D811" s="19">
        <v>834.40000000000009</v>
      </c>
    </row>
    <row r="812" spans="1:4" ht="12.75" customHeight="1" x14ac:dyDescent="0.2">
      <c r="A812" s="18">
        <v>200</v>
      </c>
      <c r="B812" s="18">
        <v>5</v>
      </c>
      <c r="C812" s="18">
        <v>1500</v>
      </c>
      <c r="D812" s="19">
        <v>870.00000000000011</v>
      </c>
    </row>
    <row r="813" spans="1:4" ht="12.75" customHeight="1" x14ac:dyDescent="0.2">
      <c r="A813" s="18">
        <v>200</v>
      </c>
      <c r="B813" s="18">
        <v>5</v>
      </c>
      <c r="C813" s="18">
        <v>1600</v>
      </c>
      <c r="D813" s="19">
        <v>905.60000000000014</v>
      </c>
    </row>
    <row r="814" spans="1:4" ht="12.75" customHeight="1" x14ac:dyDescent="0.2">
      <c r="A814" s="18">
        <v>200</v>
      </c>
      <c r="B814" s="18">
        <v>5</v>
      </c>
      <c r="C814" s="18">
        <v>1700</v>
      </c>
      <c r="D814" s="19">
        <v>941.20000000000016</v>
      </c>
    </row>
    <row r="815" spans="1:4" ht="12.75" customHeight="1" x14ac:dyDescent="0.2">
      <c r="A815" s="18">
        <v>200</v>
      </c>
      <c r="B815" s="18">
        <v>5</v>
      </c>
      <c r="C815" s="18">
        <v>1800</v>
      </c>
      <c r="D815" s="19">
        <v>976.80000000000018</v>
      </c>
    </row>
    <row r="816" spans="1:4" ht="12.75" customHeight="1" x14ac:dyDescent="0.2">
      <c r="A816" s="18">
        <v>200</v>
      </c>
      <c r="B816" s="18">
        <v>5</v>
      </c>
      <c r="C816" s="18">
        <v>1900</v>
      </c>
      <c r="D816" s="19">
        <v>1012.4000000000002</v>
      </c>
    </row>
    <row r="817" spans="1:4" ht="12.75" customHeight="1" x14ac:dyDescent="0.2">
      <c r="A817" s="18">
        <v>200</v>
      </c>
      <c r="B817" s="18">
        <v>5</v>
      </c>
      <c r="C817" s="18">
        <v>2000</v>
      </c>
      <c r="D817" s="19">
        <v>1048</v>
      </c>
    </row>
    <row r="818" spans="1:4" ht="12.75" customHeight="1" x14ac:dyDescent="0.2">
      <c r="A818" s="18">
        <v>200</v>
      </c>
      <c r="B818" s="18">
        <v>6</v>
      </c>
      <c r="C818" s="18">
        <v>50</v>
      </c>
      <c r="D818" s="19">
        <v>284</v>
      </c>
    </row>
    <row r="819" spans="1:4" ht="12.75" customHeight="1" x14ac:dyDescent="0.2">
      <c r="A819" s="18">
        <v>200</v>
      </c>
      <c r="B819" s="18">
        <v>6</v>
      </c>
      <c r="C819" s="18">
        <v>60</v>
      </c>
      <c r="D819" s="19">
        <v>292.8</v>
      </c>
    </row>
    <row r="820" spans="1:4" ht="12.75" customHeight="1" x14ac:dyDescent="0.2">
      <c r="A820" s="18">
        <v>200</v>
      </c>
      <c r="B820" s="18">
        <v>6</v>
      </c>
      <c r="C820" s="18">
        <v>70</v>
      </c>
      <c r="D820" s="19">
        <v>301.60000000000002</v>
      </c>
    </row>
    <row r="821" spans="1:4" ht="12.75" customHeight="1" x14ac:dyDescent="0.2">
      <c r="A821" s="18">
        <v>200</v>
      </c>
      <c r="B821" s="18">
        <v>6</v>
      </c>
      <c r="C821" s="18">
        <v>80</v>
      </c>
      <c r="D821" s="19">
        <v>310.40000000000003</v>
      </c>
    </row>
    <row r="822" spans="1:4" ht="12.75" customHeight="1" x14ac:dyDescent="0.2">
      <c r="A822" s="18">
        <v>200</v>
      </c>
      <c r="B822" s="18">
        <v>6</v>
      </c>
      <c r="C822" s="18">
        <v>90</v>
      </c>
      <c r="D822" s="19">
        <v>319.20000000000005</v>
      </c>
    </row>
    <row r="823" spans="1:4" ht="12.75" customHeight="1" x14ac:dyDescent="0.2">
      <c r="A823" s="18">
        <v>200</v>
      </c>
      <c r="B823" s="18">
        <v>6</v>
      </c>
      <c r="C823" s="18">
        <v>100</v>
      </c>
      <c r="D823" s="19">
        <v>328</v>
      </c>
    </row>
    <row r="824" spans="1:4" ht="12.75" customHeight="1" x14ac:dyDescent="0.2">
      <c r="A824" s="18">
        <v>200</v>
      </c>
      <c r="B824" s="18">
        <v>6</v>
      </c>
      <c r="C824" s="18">
        <v>150</v>
      </c>
      <c r="D824" s="19">
        <v>363.75</v>
      </c>
    </row>
    <row r="825" spans="1:4" ht="12.75" customHeight="1" x14ac:dyDescent="0.2">
      <c r="A825" s="18">
        <v>200</v>
      </c>
      <c r="B825" s="18">
        <v>6</v>
      </c>
      <c r="C825" s="18">
        <v>200</v>
      </c>
      <c r="D825" s="19">
        <v>399.5</v>
      </c>
    </row>
    <row r="826" spans="1:4" ht="12.75" customHeight="1" x14ac:dyDescent="0.2">
      <c r="A826" s="18">
        <v>200</v>
      </c>
      <c r="B826" s="18">
        <v>6</v>
      </c>
      <c r="C826" s="18">
        <v>250</v>
      </c>
      <c r="D826" s="19">
        <v>435.25</v>
      </c>
    </row>
    <row r="827" spans="1:4" ht="12.75" customHeight="1" x14ac:dyDescent="0.2">
      <c r="A827" s="18">
        <v>200</v>
      </c>
      <c r="B827" s="18">
        <v>6</v>
      </c>
      <c r="C827" s="18">
        <v>300</v>
      </c>
      <c r="D827" s="19">
        <v>471</v>
      </c>
    </row>
    <row r="828" spans="1:4" ht="12.75" customHeight="1" x14ac:dyDescent="0.2">
      <c r="A828" s="18">
        <v>200</v>
      </c>
      <c r="B828" s="18">
        <v>6</v>
      </c>
      <c r="C828" s="18">
        <v>350</v>
      </c>
      <c r="D828" s="19">
        <v>504.75</v>
      </c>
    </row>
    <row r="829" spans="1:4" ht="12.75" customHeight="1" x14ac:dyDescent="0.2">
      <c r="A829" s="18">
        <v>200</v>
      </c>
      <c r="B829" s="18">
        <v>6</v>
      </c>
      <c r="C829" s="18">
        <v>400</v>
      </c>
      <c r="D829" s="19">
        <v>538.5</v>
      </c>
    </row>
    <row r="830" spans="1:4" ht="12.75" customHeight="1" x14ac:dyDescent="0.2">
      <c r="A830" s="18">
        <v>200</v>
      </c>
      <c r="B830" s="18">
        <v>6</v>
      </c>
      <c r="C830" s="18">
        <v>450</v>
      </c>
      <c r="D830" s="19">
        <v>572.25</v>
      </c>
    </row>
    <row r="831" spans="1:4" ht="12.75" customHeight="1" x14ac:dyDescent="0.2">
      <c r="A831" s="18">
        <v>200</v>
      </c>
      <c r="B831" s="18">
        <v>6</v>
      </c>
      <c r="C831" s="18">
        <v>500</v>
      </c>
      <c r="D831" s="19">
        <v>606</v>
      </c>
    </row>
    <row r="832" spans="1:4" ht="12.75" customHeight="1" x14ac:dyDescent="0.2">
      <c r="A832" s="18">
        <v>200</v>
      </c>
      <c r="B832" s="18">
        <v>6</v>
      </c>
      <c r="C832" s="18">
        <v>550</v>
      </c>
      <c r="D832" s="19">
        <v>636.1</v>
      </c>
    </row>
    <row r="833" spans="1:4" ht="12.75" customHeight="1" x14ac:dyDescent="0.2">
      <c r="A833" s="18">
        <v>200</v>
      </c>
      <c r="B833" s="18">
        <v>6</v>
      </c>
      <c r="C833" s="18">
        <v>600</v>
      </c>
      <c r="D833" s="19">
        <v>666.2</v>
      </c>
    </row>
    <row r="834" spans="1:4" ht="12.75" customHeight="1" x14ac:dyDescent="0.2">
      <c r="A834" s="18">
        <v>200</v>
      </c>
      <c r="B834" s="18">
        <v>6</v>
      </c>
      <c r="C834" s="18">
        <v>650</v>
      </c>
      <c r="D834" s="19">
        <v>696.30000000000007</v>
      </c>
    </row>
    <row r="835" spans="1:4" ht="12.75" customHeight="1" x14ac:dyDescent="0.2">
      <c r="A835" s="18">
        <v>200</v>
      </c>
      <c r="B835" s="18">
        <v>6</v>
      </c>
      <c r="C835" s="18">
        <v>700</v>
      </c>
      <c r="D835" s="19">
        <v>726.40000000000009</v>
      </c>
    </row>
    <row r="836" spans="1:4" ht="12.75" customHeight="1" x14ac:dyDescent="0.2">
      <c r="A836" s="18">
        <v>200</v>
      </c>
      <c r="B836" s="18">
        <v>6</v>
      </c>
      <c r="C836" s="18">
        <v>750</v>
      </c>
      <c r="D836" s="19">
        <v>756.50000000000011</v>
      </c>
    </row>
    <row r="837" spans="1:4" ht="12.75" customHeight="1" x14ac:dyDescent="0.2">
      <c r="A837" s="18">
        <v>200</v>
      </c>
      <c r="B837" s="18">
        <v>6</v>
      </c>
      <c r="C837" s="18">
        <v>800</v>
      </c>
      <c r="D837" s="19">
        <v>786.60000000000014</v>
      </c>
    </row>
    <row r="838" spans="1:4" ht="12.75" customHeight="1" x14ac:dyDescent="0.2">
      <c r="A838" s="18">
        <v>200</v>
      </c>
      <c r="B838" s="18">
        <v>6</v>
      </c>
      <c r="C838" s="18">
        <v>850</v>
      </c>
      <c r="D838" s="19">
        <v>816.70000000000016</v>
      </c>
    </row>
    <row r="839" spans="1:4" ht="12.75" customHeight="1" x14ac:dyDescent="0.2">
      <c r="A839" s="18">
        <v>200</v>
      </c>
      <c r="B839" s="18">
        <v>6</v>
      </c>
      <c r="C839" s="18">
        <v>900</v>
      </c>
      <c r="D839" s="19">
        <v>846.80000000000018</v>
      </c>
    </row>
    <row r="840" spans="1:4" ht="12.75" customHeight="1" x14ac:dyDescent="0.2">
      <c r="A840" s="18">
        <v>200</v>
      </c>
      <c r="B840" s="18">
        <v>6</v>
      </c>
      <c r="C840" s="18">
        <v>950</v>
      </c>
      <c r="D840" s="19">
        <v>876.9000000000002</v>
      </c>
    </row>
    <row r="841" spans="1:4" ht="12.75" customHeight="1" x14ac:dyDescent="0.2">
      <c r="A841" s="18">
        <v>200</v>
      </c>
      <c r="B841" s="18">
        <v>6</v>
      </c>
      <c r="C841" s="18">
        <v>1000</v>
      </c>
      <c r="D841" s="19">
        <v>907</v>
      </c>
    </row>
    <row r="842" spans="1:4" ht="12.75" customHeight="1" x14ac:dyDescent="0.2">
      <c r="A842" s="18">
        <v>200</v>
      </c>
      <c r="B842" s="18">
        <v>6</v>
      </c>
      <c r="C842" s="18">
        <v>1100</v>
      </c>
      <c r="D842" s="19">
        <v>961</v>
      </c>
    </row>
    <row r="843" spans="1:4" ht="12.75" customHeight="1" x14ac:dyDescent="0.2">
      <c r="A843" s="18">
        <v>200</v>
      </c>
      <c r="B843" s="18">
        <v>6</v>
      </c>
      <c r="C843" s="18">
        <v>1200</v>
      </c>
      <c r="D843" s="19">
        <v>1015</v>
      </c>
    </row>
    <row r="844" spans="1:4" ht="12.75" customHeight="1" x14ac:dyDescent="0.2">
      <c r="A844" s="18">
        <v>200</v>
      </c>
      <c r="B844" s="18">
        <v>6</v>
      </c>
      <c r="C844" s="18">
        <v>1300</v>
      </c>
      <c r="D844" s="19">
        <v>1069</v>
      </c>
    </row>
    <row r="845" spans="1:4" ht="12.75" customHeight="1" x14ac:dyDescent="0.2">
      <c r="A845" s="18">
        <v>200</v>
      </c>
      <c r="B845" s="18">
        <v>6</v>
      </c>
      <c r="C845" s="18">
        <v>1400</v>
      </c>
      <c r="D845" s="19">
        <v>1123</v>
      </c>
    </row>
    <row r="846" spans="1:4" ht="12.75" customHeight="1" x14ac:dyDescent="0.2">
      <c r="A846" s="18">
        <v>200</v>
      </c>
      <c r="B846" s="18">
        <v>6</v>
      </c>
      <c r="C846" s="18">
        <v>1500</v>
      </c>
      <c r="D846" s="19">
        <v>1177</v>
      </c>
    </row>
    <row r="847" spans="1:4" ht="12.75" customHeight="1" x14ac:dyDescent="0.2">
      <c r="A847" s="18">
        <v>200</v>
      </c>
      <c r="B847" s="18">
        <v>6</v>
      </c>
      <c r="C847" s="18">
        <v>1600</v>
      </c>
      <c r="D847" s="19">
        <v>1231</v>
      </c>
    </row>
    <row r="848" spans="1:4" ht="12.75" customHeight="1" x14ac:dyDescent="0.2">
      <c r="A848" s="18">
        <v>200</v>
      </c>
      <c r="B848" s="18">
        <v>6</v>
      </c>
      <c r="C848" s="18">
        <v>1700</v>
      </c>
      <c r="D848" s="19">
        <v>1285</v>
      </c>
    </row>
    <row r="849" spans="1:4" ht="12.75" customHeight="1" x14ac:dyDescent="0.2">
      <c r="A849" s="18">
        <v>200</v>
      </c>
      <c r="B849" s="18">
        <v>6</v>
      </c>
      <c r="C849" s="18">
        <v>1800</v>
      </c>
      <c r="D849" s="19">
        <v>1339</v>
      </c>
    </row>
    <row r="850" spans="1:4" ht="12.75" customHeight="1" x14ac:dyDescent="0.2">
      <c r="A850" s="18">
        <v>200</v>
      </c>
      <c r="B850" s="18">
        <v>6</v>
      </c>
      <c r="C850" s="18">
        <v>1900</v>
      </c>
      <c r="D850" s="19">
        <v>1393</v>
      </c>
    </row>
    <row r="851" spans="1:4" ht="12.75" customHeight="1" x14ac:dyDescent="0.2">
      <c r="A851" s="18">
        <v>200</v>
      </c>
      <c r="B851" s="18">
        <v>6</v>
      </c>
      <c r="C851" s="18">
        <v>2000</v>
      </c>
      <c r="D851" s="19">
        <v>1447</v>
      </c>
    </row>
    <row r="852" spans="1:4" ht="12.75" customHeight="1" x14ac:dyDescent="0.2">
      <c r="A852" s="18">
        <v>250</v>
      </c>
      <c r="B852" s="18">
        <v>2</v>
      </c>
      <c r="C852" s="18">
        <v>50</v>
      </c>
      <c r="D852" s="19">
        <v>279</v>
      </c>
    </row>
    <row r="853" spans="1:4" ht="12.75" customHeight="1" x14ac:dyDescent="0.2">
      <c r="A853" s="18">
        <v>250</v>
      </c>
      <c r="B853" s="18">
        <v>2</v>
      </c>
      <c r="C853" s="18">
        <v>60</v>
      </c>
      <c r="D853" s="19">
        <v>281</v>
      </c>
    </row>
    <row r="854" spans="1:4" ht="12.75" customHeight="1" x14ac:dyDescent="0.2">
      <c r="A854" s="18">
        <v>250</v>
      </c>
      <c r="B854" s="18">
        <v>2</v>
      </c>
      <c r="C854" s="18">
        <v>70</v>
      </c>
      <c r="D854" s="19">
        <v>283</v>
      </c>
    </row>
    <row r="855" spans="1:4" ht="12.75" customHeight="1" x14ac:dyDescent="0.2">
      <c r="A855" s="18">
        <v>250</v>
      </c>
      <c r="B855" s="18">
        <v>2</v>
      </c>
      <c r="C855" s="18">
        <v>80</v>
      </c>
      <c r="D855" s="19">
        <v>285</v>
      </c>
    </row>
    <row r="856" spans="1:4" ht="12.75" customHeight="1" x14ac:dyDescent="0.2">
      <c r="A856" s="18">
        <v>250</v>
      </c>
      <c r="B856" s="18">
        <v>2</v>
      </c>
      <c r="C856" s="18">
        <v>90</v>
      </c>
      <c r="D856" s="19">
        <v>287</v>
      </c>
    </row>
    <row r="857" spans="1:4" ht="12.75" customHeight="1" x14ac:dyDescent="0.2">
      <c r="A857" s="18">
        <v>250</v>
      </c>
      <c r="B857" s="18">
        <v>2</v>
      </c>
      <c r="C857" s="18">
        <v>100</v>
      </c>
      <c r="D857" s="19">
        <v>289</v>
      </c>
    </row>
    <row r="858" spans="1:4" ht="12.75" customHeight="1" x14ac:dyDescent="0.2">
      <c r="A858" s="18">
        <v>250</v>
      </c>
      <c r="B858" s="18">
        <v>2</v>
      </c>
      <c r="C858" s="18">
        <v>150</v>
      </c>
      <c r="D858" s="19">
        <v>293.25</v>
      </c>
    </row>
    <row r="859" spans="1:4" ht="12.75" customHeight="1" x14ac:dyDescent="0.2">
      <c r="A859" s="18">
        <v>250</v>
      </c>
      <c r="B859" s="18">
        <v>2</v>
      </c>
      <c r="C859" s="18">
        <v>200</v>
      </c>
      <c r="D859" s="19">
        <v>297.5</v>
      </c>
    </row>
    <row r="860" spans="1:4" ht="12.75" customHeight="1" x14ac:dyDescent="0.2">
      <c r="A860" s="18">
        <v>250</v>
      </c>
      <c r="B860" s="18">
        <v>2</v>
      </c>
      <c r="C860" s="18">
        <v>250</v>
      </c>
      <c r="D860" s="19">
        <v>301.75</v>
      </c>
    </row>
    <row r="861" spans="1:4" ht="12.75" customHeight="1" x14ac:dyDescent="0.2">
      <c r="A861" s="18">
        <v>250</v>
      </c>
      <c r="B861" s="18">
        <v>2</v>
      </c>
      <c r="C861" s="18">
        <v>300</v>
      </c>
      <c r="D861" s="19">
        <v>306</v>
      </c>
    </row>
    <row r="862" spans="1:4" ht="12.75" customHeight="1" x14ac:dyDescent="0.2">
      <c r="A862" s="18">
        <v>250</v>
      </c>
      <c r="B862" s="18">
        <v>2</v>
      </c>
      <c r="C862" s="18">
        <v>350</v>
      </c>
      <c r="D862" s="19">
        <v>309.5</v>
      </c>
    </row>
    <row r="863" spans="1:4" ht="12.75" customHeight="1" x14ac:dyDescent="0.2">
      <c r="A863" s="18">
        <v>250</v>
      </c>
      <c r="B863" s="18">
        <v>2</v>
      </c>
      <c r="C863" s="18">
        <v>400</v>
      </c>
      <c r="D863" s="19">
        <v>313</v>
      </c>
    </row>
    <row r="864" spans="1:4" ht="12.75" customHeight="1" x14ac:dyDescent="0.2">
      <c r="A864" s="18">
        <v>250</v>
      </c>
      <c r="B864" s="18">
        <v>2</v>
      </c>
      <c r="C864" s="18">
        <v>450</v>
      </c>
      <c r="D864" s="19">
        <v>316.5</v>
      </c>
    </row>
    <row r="865" spans="1:4" ht="12.75" customHeight="1" x14ac:dyDescent="0.2">
      <c r="A865" s="18">
        <v>250</v>
      </c>
      <c r="B865" s="18">
        <v>2</v>
      </c>
      <c r="C865" s="18">
        <v>500</v>
      </c>
      <c r="D865" s="19">
        <v>320</v>
      </c>
    </row>
    <row r="866" spans="1:4" ht="12.75" customHeight="1" x14ac:dyDescent="0.2">
      <c r="A866" s="18">
        <v>250</v>
      </c>
      <c r="B866" s="18">
        <v>2</v>
      </c>
      <c r="C866" s="18">
        <v>550</v>
      </c>
      <c r="D866" s="19">
        <v>322.89999999999998</v>
      </c>
    </row>
    <row r="867" spans="1:4" ht="12.75" customHeight="1" x14ac:dyDescent="0.2">
      <c r="A867" s="18">
        <v>250</v>
      </c>
      <c r="B867" s="18">
        <v>2</v>
      </c>
      <c r="C867" s="18">
        <v>600</v>
      </c>
      <c r="D867" s="19">
        <v>325.79999999999995</v>
      </c>
    </row>
    <row r="868" spans="1:4" ht="12.75" customHeight="1" x14ac:dyDescent="0.2">
      <c r="A868" s="18">
        <v>250</v>
      </c>
      <c r="B868" s="18">
        <v>2</v>
      </c>
      <c r="C868" s="18">
        <v>650</v>
      </c>
      <c r="D868" s="19">
        <v>328.69999999999993</v>
      </c>
    </row>
    <row r="869" spans="1:4" ht="12.75" customHeight="1" x14ac:dyDescent="0.2">
      <c r="A869" s="18">
        <v>250</v>
      </c>
      <c r="B869" s="18">
        <v>2</v>
      </c>
      <c r="C869" s="18">
        <v>700</v>
      </c>
      <c r="D869" s="19">
        <v>331.59999999999991</v>
      </c>
    </row>
    <row r="870" spans="1:4" ht="12.75" customHeight="1" x14ac:dyDescent="0.2">
      <c r="A870" s="18">
        <v>250</v>
      </c>
      <c r="B870" s="18">
        <v>2</v>
      </c>
      <c r="C870" s="18">
        <v>750</v>
      </c>
      <c r="D870" s="19">
        <v>334.49999999999989</v>
      </c>
    </row>
    <row r="871" spans="1:4" ht="12.75" customHeight="1" x14ac:dyDescent="0.2">
      <c r="A871" s="18">
        <v>250</v>
      </c>
      <c r="B871" s="18">
        <v>2</v>
      </c>
      <c r="C871" s="18">
        <v>800</v>
      </c>
      <c r="D871" s="19">
        <v>337.39999999999986</v>
      </c>
    </row>
    <row r="872" spans="1:4" ht="12.75" customHeight="1" x14ac:dyDescent="0.2">
      <c r="A872" s="18">
        <v>250</v>
      </c>
      <c r="B872" s="18">
        <v>2</v>
      </c>
      <c r="C872" s="18">
        <v>850</v>
      </c>
      <c r="D872" s="19">
        <v>340.29999999999984</v>
      </c>
    </row>
    <row r="873" spans="1:4" ht="12.75" customHeight="1" x14ac:dyDescent="0.2">
      <c r="A873" s="18">
        <v>250</v>
      </c>
      <c r="B873" s="18">
        <v>2</v>
      </c>
      <c r="C873" s="18">
        <v>900</v>
      </c>
      <c r="D873" s="19">
        <v>343.19999999999982</v>
      </c>
    </row>
    <row r="874" spans="1:4" ht="12.75" customHeight="1" x14ac:dyDescent="0.2">
      <c r="A874" s="18">
        <v>250</v>
      </c>
      <c r="B874" s="18">
        <v>2</v>
      </c>
      <c r="C874" s="18">
        <v>950</v>
      </c>
      <c r="D874" s="19">
        <v>346.0999999999998</v>
      </c>
    </row>
    <row r="875" spans="1:4" ht="12.75" customHeight="1" x14ac:dyDescent="0.2">
      <c r="A875" s="18">
        <v>250</v>
      </c>
      <c r="B875" s="18">
        <v>2</v>
      </c>
      <c r="C875" s="18">
        <v>1000</v>
      </c>
      <c r="D875" s="19">
        <v>349</v>
      </c>
    </row>
    <row r="876" spans="1:4" ht="12.75" customHeight="1" x14ac:dyDescent="0.2">
      <c r="A876" s="18">
        <v>250</v>
      </c>
      <c r="B876" s="18">
        <v>2</v>
      </c>
      <c r="C876" s="18">
        <v>1100</v>
      </c>
      <c r="D876" s="19">
        <v>353.9</v>
      </c>
    </row>
    <row r="877" spans="1:4" ht="12.75" customHeight="1" x14ac:dyDescent="0.2">
      <c r="A877" s="18">
        <v>250</v>
      </c>
      <c r="B877" s="18">
        <v>2</v>
      </c>
      <c r="C877" s="18">
        <v>1200</v>
      </c>
      <c r="D877" s="19">
        <v>358.79999999999995</v>
      </c>
    </row>
    <row r="878" spans="1:4" ht="12.75" customHeight="1" x14ac:dyDescent="0.2">
      <c r="A878" s="18">
        <v>250</v>
      </c>
      <c r="B878" s="18">
        <v>2</v>
      </c>
      <c r="C878" s="18">
        <v>1300</v>
      </c>
      <c r="D878" s="19">
        <v>363.69999999999993</v>
      </c>
    </row>
    <row r="879" spans="1:4" ht="12.75" customHeight="1" x14ac:dyDescent="0.2">
      <c r="A879" s="18">
        <v>250</v>
      </c>
      <c r="B879" s="18">
        <v>2</v>
      </c>
      <c r="C879" s="18">
        <v>1400</v>
      </c>
      <c r="D879" s="19">
        <v>368.59999999999991</v>
      </c>
    </row>
    <row r="880" spans="1:4" ht="12.75" customHeight="1" x14ac:dyDescent="0.2">
      <c r="A880" s="18">
        <v>250</v>
      </c>
      <c r="B880" s="18">
        <v>2</v>
      </c>
      <c r="C880" s="18">
        <v>1500</v>
      </c>
      <c r="D880" s="19">
        <v>373.49999999999989</v>
      </c>
    </row>
    <row r="881" spans="1:4" ht="12.75" customHeight="1" x14ac:dyDescent="0.2">
      <c r="A881" s="18">
        <v>250</v>
      </c>
      <c r="B881" s="18">
        <v>2</v>
      </c>
      <c r="C881" s="18">
        <v>1600</v>
      </c>
      <c r="D881" s="19">
        <v>378.39999999999986</v>
      </c>
    </row>
    <row r="882" spans="1:4" ht="12.75" customHeight="1" x14ac:dyDescent="0.2">
      <c r="A882" s="18">
        <v>250</v>
      </c>
      <c r="B882" s="18">
        <v>2</v>
      </c>
      <c r="C882" s="18">
        <v>1700</v>
      </c>
      <c r="D882" s="19">
        <v>383.29999999999984</v>
      </c>
    </row>
    <row r="883" spans="1:4" ht="12.75" customHeight="1" x14ac:dyDescent="0.2">
      <c r="A883" s="18">
        <v>250</v>
      </c>
      <c r="B883" s="18">
        <v>2</v>
      </c>
      <c r="C883" s="18">
        <v>1800</v>
      </c>
      <c r="D883" s="19">
        <v>388.19999999999982</v>
      </c>
    </row>
    <row r="884" spans="1:4" ht="12.75" customHeight="1" x14ac:dyDescent="0.2">
      <c r="A884" s="18">
        <v>250</v>
      </c>
      <c r="B884" s="18">
        <v>2</v>
      </c>
      <c r="C884" s="18">
        <v>1900</v>
      </c>
      <c r="D884" s="19">
        <v>393.0999999999998</v>
      </c>
    </row>
    <row r="885" spans="1:4" ht="12.75" customHeight="1" x14ac:dyDescent="0.2">
      <c r="A885" s="18">
        <v>250</v>
      </c>
      <c r="B885" s="18">
        <v>2</v>
      </c>
      <c r="C885" s="18">
        <v>2000</v>
      </c>
      <c r="D885" s="19">
        <v>398</v>
      </c>
    </row>
    <row r="886" spans="1:4" ht="12.75" customHeight="1" x14ac:dyDescent="0.2">
      <c r="A886" s="18">
        <v>250</v>
      </c>
      <c r="B886" s="18">
        <v>3</v>
      </c>
      <c r="C886" s="18">
        <v>50</v>
      </c>
      <c r="D886" s="19">
        <v>288</v>
      </c>
    </row>
    <row r="887" spans="1:4" ht="12.75" customHeight="1" x14ac:dyDescent="0.2">
      <c r="A887" s="18">
        <v>250</v>
      </c>
      <c r="B887" s="18">
        <v>3</v>
      </c>
      <c r="C887" s="18">
        <v>60</v>
      </c>
      <c r="D887" s="19">
        <v>291.2</v>
      </c>
    </row>
    <row r="888" spans="1:4" ht="12.75" customHeight="1" x14ac:dyDescent="0.2">
      <c r="A888" s="18">
        <v>250</v>
      </c>
      <c r="B888" s="18">
        <v>3</v>
      </c>
      <c r="C888" s="18">
        <v>70</v>
      </c>
      <c r="D888" s="19">
        <v>294.39999999999998</v>
      </c>
    </row>
    <row r="889" spans="1:4" ht="12.75" customHeight="1" x14ac:dyDescent="0.2">
      <c r="A889" s="18">
        <v>250</v>
      </c>
      <c r="B889" s="18">
        <v>3</v>
      </c>
      <c r="C889" s="18">
        <v>80</v>
      </c>
      <c r="D889" s="19">
        <v>297.59999999999997</v>
      </c>
    </row>
    <row r="890" spans="1:4" ht="12.75" customHeight="1" x14ac:dyDescent="0.2">
      <c r="A890" s="18">
        <v>250</v>
      </c>
      <c r="B890" s="18">
        <v>3</v>
      </c>
      <c r="C890" s="18">
        <v>90</v>
      </c>
      <c r="D890" s="19">
        <v>300.79999999999995</v>
      </c>
    </row>
    <row r="891" spans="1:4" ht="12.75" customHeight="1" x14ac:dyDescent="0.2">
      <c r="A891" s="18">
        <v>250</v>
      </c>
      <c r="B891" s="18">
        <v>3</v>
      </c>
      <c r="C891" s="18">
        <v>100</v>
      </c>
      <c r="D891" s="19">
        <v>304</v>
      </c>
    </row>
    <row r="892" spans="1:4" ht="12.75" customHeight="1" x14ac:dyDescent="0.2">
      <c r="A892" s="18">
        <v>250</v>
      </c>
      <c r="B892" s="18">
        <v>3</v>
      </c>
      <c r="C892" s="18">
        <v>150</v>
      </c>
      <c r="D892" s="19">
        <v>313.25</v>
      </c>
    </row>
    <row r="893" spans="1:4" ht="12.75" customHeight="1" x14ac:dyDescent="0.2">
      <c r="A893" s="18">
        <v>250</v>
      </c>
      <c r="B893" s="18">
        <v>3</v>
      </c>
      <c r="C893" s="18">
        <v>200</v>
      </c>
      <c r="D893" s="19">
        <v>322.5</v>
      </c>
    </row>
    <row r="894" spans="1:4" ht="12.75" customHeight="1" x14ac:dyDescent="0.2">
      <c r="A894" s="18">
        <v>250</v>
      </c>
      <c r="B894" s="18">
        <v>3</v>
      </c>
      <c r="C894" s="18">
        <v>250</v>
      </c>
      <c r="D894" s="19">
        <v>331.75</v>
      </c>
    </row>
    <row r="895" spans="1:4" ht="12.75" customHeight="1" x14ac:dyDescent="0.2">
      <c r="A895" s="18">
        <v>250</v>
      </c>
      <c r="B895" s="18">
        <v>3</v>
      </c>
      <c r="C895" s="18">
        <v>300</v>
      </c>
      <c r="D895" s="19">
        <v>341</v>
      </c>
    </row>
    <row r="896" spans="1:4" ht="12.75" customHeight="1" x14ac:dyDescent="0.2">
      <c r="A896" s="18">
        <v>250</v>
      </c>
      <c r="B896" s="18">
        <v>3</v>
      </c>
      <c r="C896" s="18">
        <v>350</v>
      </c>
      <c r="D896" s="19">
        <v>348.5</v>
      </c>
    </row>
    <row r="897" spans="1:4" ht="12.75" customHeight="1" x14ac:dyDescent="0.2">
      <c r="A897" s="18">
        <v>250</v>
      </c>
      <c r="B897" s="18">
        <v>3</v>
      </c>
      <c r="C897" s="18">
        <v>400</v>
      </c>
      <c r="D897" s="19">
        <v>356</v>
      </c>
    </row>
    <row r="898" spans="1:4" ht="12.75" customHeight="1" x14ac:dyDescent="0.2">
      <c r="A898" s="18">
        <v>250</v>
      </c>
      <c r="B898" s="18">
        <v>3</v>
      </c>
      <c r="C898" s="18">
        <v>450</v>
      </c>
      <c r="D898" s="19">
        <v>363.5</v>
      </c>
    </row>
    <row r="899" spans="1:4" ht="12.75" customHeight="1" x14ac:dyDescent="0.2">
      <c r="A899" s="18">
        <v>250</v>
      </c>
      <c r="B899" s="18">
        <v>3</v>
      </c>
      <c r="C899" s="18">
        <v>500</v>
      </c>
      <c r="D899" s="19">
        <v>371</v>
      </c>
    </row>
    <row r="900" spans="1:4" ht="12.75" customHeight="1" x14ac:dyDescent="0.2">
      <c r="A900" s="18">
        <v>250</v>
      </c>
      <c r="B900" s="18">
        <v>3</v>
      </c>
      <c r="C900" s="18">
        <v>550</v>
      </c>
      <c r="D900" s="19">
        <v>377.9</v>
      </c>
    </row>
    <row r="901" spans="1:4" ht="12.75" customHeight="1" x14ac:dyDescent="0.2">
      <c r="A901" s="18">
        <v>250</v>
      </c>
      <c r="B901" s="18">
        <v>3</v>
      </c>
      <c r="C901" s="18">
        <v>600</v>
      </c>
      <c r="D901" s="19">
        <v>384.79999999999995</v>
      </c>
    </row>
    <row r="902" spans="1:4" ht="12.75" customHeight="1" x14ac:dyDescent="0.2">
      <c r="A902" s="18">
        <v>250</v>
      </c>
      <c r="B902" s="18">
        <v>3</v>
      </c>
      <c r="C902" s="18">
        <v>650</v>
      </c>
      <c r="D902" s="19">
        <v>391.69999999999993</v>
      </c>
    </row>
    <row r="903" spans="1:4" ht="12.75" customHeight="1" x14ac:dyDescent="0.2">
      <c r="A903" s="18">
        <v>250</v>
      </c>
      <c r="B903" s="18">
        <v>3</v>
      </c>
      <c r="C903" s="18">
        <v>700</v>
      </c>
      <c r="D903" s="19">
        <v>398.59999999999991</v>
      </c>
    </row>
    <row r="904" spans="1:4" ht="12.75" customHeight="1" x14ac:dyDescent="0.2">
      <c r="A904" s="18">
        <v>250</v>
      </c>
      <c r="B904" s="18">
        <v>3</v>
      </c>
      <c r="C904" s="18">
        <v>750</v>
      </c>
      <c r="D904" s="19">
        <v>405.49999999999989</v>
      </c>
    </row>
    <row r="905" spans="1:4" ht="12.75" customHeight="1" x14ac:dyDescent="0.2">
      <c r="A905" s="18">
        <v>250</v>
      </c>
      <c r="B905" s="18">
        <v>3</v>
      </c>
      <c r="C905" s="18">
        <v>800</v>
      </c>
      <c r="D905" s="19">
        <v>412.39999999999986</v>
      </c>
    </row>
    <row r="906" spans="1:4" ht="12.75" customHeight="1" x14ac:dyDescent="0.2">
      <c r="A906" s="18">
        <v>250</v>
      </c>
      <c r="B906" s="18">
        <v>3</v>
      </c>
      <c r="C906" s="18">
        <v>850</v>
      </c>
      <c r="D906" s="19">
        <v>419.29999999999984</v>
      </c>
    </row>
    <row r="907" spans="1:4" ht="12.75" customHeight="1" x14ac:dyDescent="0.2">
      <c r="A907" s="18">
        <v>250</v>
      </c>
      <c r="B907" s="18">
        <v>3</v>
      </c>
      <c r="C907" s="18">
        <v>900</v>
      </c>
      <c r="D907" s="19">
        <v>426.19999999999982</v>
      </c>
    </row>
    <row r="908" spans="1:4" ht="12.75" customHeight="1" x14ac:dyDescent="0.2">
      <c r="A908" s="18">
        <v>250</v>
      </c>
      <c r="B908" s="18">
        <v>3</v>
      </c>
      <c r="C908" s="18">
        <v>950</v>
      </c>
      <c r="D908" s="19">
        <v>433.0999999999998</v>
      </c>
    </row>
    <row r="909" spans="1:4" ht="12.75" customHeight="1" x14ac:dyDescent="0.2">
      <c r="A909" s="18">
        <v>250</v>
      </c>
      <c r="B909" s="18">
        <v>3</v>
      </c>
      <c r="C909" s="18">
        <v>1000</v>
      </c>
      <c r="D909" s="19">
        <v>440</v>
      </c>
    </row>
    <row r="910" spans="1:4" ht="12.75" customHeight="1" x14ac:dyDescent="0.2">
      <c r="A910" s="18">
        <v>250</v>
      </c>
      <c r="B910" s="18">
        <v>3</v>
      </c>
      <c r="C910" s="18">
        <v>1100</v>
      </c>
      <c r="D910" s="19">
        <v>452</v>
      </c>
    </row>
    <row r="911" spans="1:4" ht="12.75" customHeight="1" x14ac:dyDescent="0.2">
      <c r="A911" s="18">
        <v>250</v>
      </c>
      <c r="B911" s="18">
        <v>3</v>
      </c>
      <c r="C911" s="18">
        <v>1200</v>
      </c>
      <c r="D911" s="19">
        <v>464</v>
      </c>
    </row>
    <row r="912" spans="1:4" ht="12.75" customHeight="1" x14ac:dyDescent="0.2">
      <c r="A912" s="18">
        <v>250</v>
      </c>
      <c r="B912" s="18">
        <v>3</v>
      </c>
      <c r="C912" s="18">
        <v>1300</v>
      </c>
      <c r="D912" s="19">
        <v>476</v>
      </c>
    </row>
    <row r="913" spans="1:4" ht="12.75" customHeight="1" x14ac:dyDescent="0.2">
      <c r="A913" s="18">
        <v>250</v>
      </c>
      <c r="B913" s="18">
        <v>3</v>
      </c>
      <c r="C913" s="18">
        <v>1400</v>
      </c>
      <c r="D913" s="19">
        <v>488</v>
      </c>
    </row>
    <row r="914" spans="1:4" ht="12.75" customHeight="1" x14ac:dyDescent="0.2">
      <c r="A914" s="18">
        <v>250</v>
      </c>
      <c r="B914" s="18">
        <v>3</v>
      </c>
      <c r="C914" s="18">
        <v>1500</v>
      </c>
      <c r="D914" s="19">
        <v>500</v>
      </c>
    </row>
    <row r="915" spans="1:4" ht="12.75" customHeight="1" x14ac:dyDescent="0.2">
      <c r="A915" s="18">
        <v>250</v>
      </c>
      <c r="B915" s="18">
        <v>3</v>
      </c>
      <c r="C915" s="18">
        <v>1600</v>
      </c>
      <c r="D915" s="19">
        <v>512</v>
      </c>
    </row>
    <row r="916" spans="1:4" ht="12.75" customHeight="1" x14ac:dyDescent="0.2">
      <c r="A916" s="18">
        <v>250</v>
      </c>
      <c r="B916" s="18">
        <v>3</v>
      </c>
      <c r="C916" s="18">
        <v>1700</v>
      </c>
      <c r="D916" s="19">
        <v>524</v>
      </c>
    </row>
    <row r="917" spans="1:4" ht="12.75" customHeight="1" x14ac:dyDescent="0.2">
      <c r="A917" s="18">
        <v>250</v>
      </c>
      <c r="B917" s="18">
        <v>3</v>
      </c>
      <c r="C917" s="18">
        <v>1800</v>
      </c>
      <c r="D917" s="19">
        <v>536</v>
      </c>
    </row>
    <row r="918" spans="1:4" ht="12.75" customHeight="1" x14ac:dyDescent="0.2">
      <c r="A918" s="18">
        <v>250</v>
      </c>
      <c r="B918" s="18">
        <v>3</v>
      </c>
      <c r="C918" s="18">
        <v>1900</v>
      </c>
      <c r="D918" s="19">
        <v>548</v>
      </c>
    </row>
    <row r="919" spans="1:4" ht="12.75" customHeight="1" x14ac:dyDescent="0.2">
      <c r="A919" s="18">
        <v>250</v>
      </c>
      <c r="B919" s="18">
        <v>3</v>
      </c>
      <c r="C919" s="18">
        <v>2000</v>
      </c>
      <c r="D919" s="19">
        <v>560</v>
      </c>
    </row>
    <row r="920" spans="1:4" ht="12.75" customHeight="1" x14ac:dyDescent="0.2">
      <c r="A920" s="18">
        <v>250</v>
      </c>
      <c r="B920" s="18">
        <v>4</v>
      </c>
      <c r="C920" s="18">
        <v>50</v>
      </c>
      <c r="D920" s="19">
        <v>301</v>
      </c>
    </row>
    <row r="921" spans="1:4" ht="12.75" customHeight="1" x14ac:dyDescent="0.2">
      <c r="A921" s="18">
        <v>250</v>
      </c>
      <c r="B921" s="18">
        <v>4</v>
      </c>
      <c r="C921" s="18">
        <v>60</v>
      </c>
      <c r="D921" s="19">
        <v>305.39999999999998</v>
      </c>
    </row>
    <row r="922" spans="1:4" ht="12.75" customHeight="1" x14ac:dyDescent="0.2">
      <c r="A922" s="18">
        <v>250</v>
      </c>
      <c r="B922" s="18">
        <v>4</v>
      </c>
      <c r="C922" s="18">
        <v>70</v>
      </c>
      <c r="D922" s="19">
        <v>309.79999999999995</v>
      </c>
    </row>
    <row r="923" spans="1:4" ht="12.75" customHeight="1" x14ac:dyDescent="0.2">
      <c r="A923" s="18">
        <v>250</v>
      </c>
      <c r="B923" s="18">
        <v>4</v>
      </c>
      <c r="C923" s="18">
        <v>80</v>
      </c>
      <c r="D923" s="19">
        <v>314.19999999999993</v>
      </c>
    </row>
    <row r="924" spans="1:4" ht="12.75" customHeight="1" x14ac:dyDescent="0.2">
      <c r="A924" s="18">
        <v>250</v>
      </c>
      <c r="B924" s="18">
        <v>4</v>
      </c>
      <c r="C924" s="18">
        <v>90</v>
      </c>
      <c r="D924" s="19">
        <v>318.59999999999991</v>
      </c>
    </row>
    <row r="925" spans="1:4" ht="12.75" customHeight="1" x14ac:dyDescent="0.2">
      <c r="A925" s="18">
        <v>250</v>
      </c>
      <c r="B925" s="18">
        <v>4</v>
      </c>
      <c r="C925" s="18">
        <v>100</v>
      </c>
      <c r="D925" s="19">
        <v>323</v>
      </c>
    </row>
    <row r="926" spans="1:4" ht="12.75" customHeight="1" x14ac:dyDescent="0.2">
      <c r="A926" s="18">
        <v>250</v>
      </c>
      <c r="B926" s="18">
        <v>4</v>
      </c>
      <c r="C926" s="18">
        <v>150</v>
      </c>
      <c r="D926" s="19">
        <v>338.75</v>
      </c>
    </row>
    <row r="927" spans="1:4" ht="12.75" customHeight="1" x14ac:dyDescent="0.2">
      <c r="A927" s="18">
        <v>250</v>
      </c>
      <c r="B927" s="18">
        <v>4</v>
      </c>
      <c r="C927" s="18">
        <v>200</v>
      </c>
      <c r="D927" s="19">
        <v>354.5</v>
      </c>
    </row>
    <row r="928" spans="1:4" ht="12.75" customHeight="1" x14ac:dyDescent="0.2">
      <c r="A928" s="18">
        <v>250</v>
      </c>
      <c r="B928" s="18">
        <v>4</v>
      </c>
      <c r="C928" s="18">
        <v>250</v>
      </c>
      <c r="D928" s="19">
        <v>370.25</v>
      </c>
    </row>
    <row r="929" spans="1:4" ht="12.75" customHeight="1" x14ac:dyDescent="0.2">
      <c r="A929" s="18">
        <v>250</v>
      </c>
      <c r="B929" s="18">
        <v>4</v>
      </c>
      <c r="C929" s="18">
        <v>300</v>
      </c>
      <c r="D929" s="19">
        <v>386</v>
      </c>
    </row>
    <row r="930" spans="1:4" ht="12.75" customHeight="1" x14ac:dyDescent="0.2">
      <c r="A930" s="18">
        <v>250</v>
      </c>
      <c r="B930" s="18">
        <v>4</v>
      </c>
      <c r="C930" s="18">
        <v>350</v>
      </c>
      <c r="D930" s="19">
        <v>400</v>
      </c>
    </row>
    <row r="931" spans="1:4" ht="12.75" customHeight="1" x14ac:dyDescent="0.2">
      <c r="A931" s="18">
        <v>250</v>
      </c>
      <c r="B931" s="18">
        <v>4</v>
      </c>
      <c r="C931" s="18">
        <v>400</v>
      </c>
      <c r="D931" s="19">
        <v>414</v>
      </c>
    </row>
    <row r="932" spans="1:4" ht="12.75" customHeight="1" x14ac:dyDescent="0.2">
      <c r="A932" s="18">
        <v>250</v>
      </c>
      <c r="B932" s="18">
        <v>4</v>
      </c>
      <c r="C932" s="18">
        <v>450</v>
      </c>
      <c r="D932" s="19">
        <v>428</v>
      </c>
    </row>
    <row r="933" spans="1:4" ht="12.75" customHeight="1" x14ac:dyDescent="0.2">
      <c r="A933" s="18">
        <v>250</v>
      </c>
      <c r="B933" s="18">
        <v>4</v>
      </c>
      <c r="C933" s="18">
        <v>500</v>
      </c>
      <c r="D933" s="19">
        <v>442</v>
      </c>
    </row>
    <row r="934" spans="1:4" ht="12.75" customHeight="1" x14ac:dyDescent="0.2">
      <c r="A934" s="18">
        <v>250</v>
      </c>
      <c r="B934" s="18">
        <v>4</v>
      </c>
      <c r="C934" s="18">
        <v>550</v>
      </c>
      <c r="D934" s="19">
        <v>454.5</v>
      </c>
    </row>
    <row r="935" spans="1:4" ht="12.75" customHeight="1" x14ac:dyDescent="0.2">
      <c r="A935" s="18">
        <v>250</v>
      </c>
      <c r="B935" s="18">
        <v>4</v>
      </c>
      <c r="C935" s="18">
        <v>600</v>
      </c>
      <c r="D935" s="19">
        <v>467</v>
      </c>
    </row>
    <row r="936" spans="1:4" ht="12.75" customHeight="1" x14ac:dyDescent="0.2">
      <c r="A936" s="18">
        <v>250</v>
      </c>
      <c r="B936" s="18">
        <v>4</v>
      </c>
      <c r="C936" s="18">
        <v>650</v>
      </c>
      <c r="D936" s="19">
        <v>479.5</v>
      </c>
    </row>
    <row r="937" spans="1:4" ht="12.75" customHeight="1" x14ac:dyDescent="0.2">
      <c r="A937" s="18">
        <v>250</v>
      </c>
      <c r="B937" s="18">
        <v>4</v>
      </c>
      <c r="C937" s="18">
        <v>700</v>
      </c>
      <c r="D937" s="19">
        <v>492</v>
      </c>
    </row>
    <row r="938" spans="1:4" ht="12.75" customHeight="1" x14ac:dyDescent="0.2">
      <c r="A938" s="18">
        <v>250</v>
      </c>
      <c r="B938" s="18">
        <v>4</v>
      </c>
      <c r="C938" s="18">
        <v>750</v>
      </c>
      <c r="D938" s="19">
        <v>504.5</v>
      </c>
    </row>
    <row r="939" spans="1:4" ht="12.75" customHeight="1" x14ac:dyDescent="0.2">
      <c r="A939" s="18">
        <v>250</v>
      </c>
      <c r="B939" s="18">
        <v>4</v>
      </c>
      <c r="C939" s="18">
        <v>800</v>
      </c>
      <c r="D939" s="19">
        <v>517</v>
      </c>
    </row>
    <row r="940" spans="1:4" ht="12.75" customHeight="1" x14ac:dyDescent="0.2">
      <c r="A940" s="18">
        <v>250</v>
      </c>
      <c r="B940" s="18">
        <v>4</v>
      </c>
      <c r="C940" s="18">
        <v>850</v>
      </c>
      <c r="D940" s="19">
        <v>529.5</v>
      </c>
    </row>
    <row r="941" spans="1:4" ht="12.75" customHeight="1" x14ac:dyDescent="0.2">
      <c r="A941" s="18">
        <v>250</v>
      </c>
      <c r="B941" s="18">
        <v>4</v>
      </c>
      <c r="C941" s="18">
        <v>900</v>
      </c>
      <c r="D941" s="19">
        <v>542</v>
      </c>
    </row>
    <row r="942" spans="1:4" ht="12.75" customHeight="1" x14ac:dyDescent="0.2">
      <c r="A942" s="18">
        <v>250</v>
      </c>
      <c r="B942" s="18">
        <v>4</v>
      </c>
      <c r="C942" s="18">
        <v>950</v>
      </c>
      <c r="D942" s="19">
        <v>554.5</v>
      </c>
    </row>
    <row r="943" spans="1:4" ht="12.75" customHeight="1" x14ac:dyDescent="0.2">
      <c r="A943" s="18">
        <v>250</v>
      </c>
      <c r="B943" s="18">
        <v>4</v>
      </c>
      <c r="C943" s="18">
        <v>1000</v>
      </c>
      <c r="D943" s="19">
        <v>567</v>
      </c>
    </row>
    <row r="944" spans="1:4" ht="12.75" customHeight="1" x14ac:dyDescent="0.2">
      <c r="A944" s="18">
        <v>250</v>
      </c>
      <c r="B944" s="18">
        <v>4</v>
      </c>
      <c r="C944" s="18">
        <v>1100</v>
      </c>
      <c r="D944" s="19">
        <v>589.6</v>
      </c>
    </row>
    <row r="945" spans="1:4" ht="12.75" customHeight="1" x14ac:dyDescent="0.2">
      <c r="A945" s="18">
        <v>250</v>
      </c>
      <c r="B945" s="18">
        <v>4</v>
      </c>
      <c r="C945" s="18">
        <v>1200</v>
      </c>
      <c r="D945" s="19">
        <v>612.20000000000005</v>
      </c>
    </row>
    <row r="946" spans="1:4" ht="12.75" customHeight="1" x14ac:dyDescent="0.2">
      <c r="A946" s="18">
        <v>250</v>
      </c>
      <c r="B946" s="18">
        <v>4</v>
      </c>
      <c r="C946" s="18">
        <v>1300</v>
      </c>
      <c r="D946" s="19">
        <v>634.80000000000007</v>
      </c>
    </row>
    <row r="947" spans="1:4" ht="12.75" customHeight="1" x14ac:dyDescent="0.2">
      <c r="A947" s="18">
        <v>250</v>
      </c>
      <c r="B947" s="18">
        <v>4</v>
      </c>
      <c r="C947" s="18">
        <v>1400</v>
      </c>
      <c r="D947" s="19">
        <v>657.40000000000009</v>
      </c>
    </row>
    <row r="948" spans="1:4" ht="12.75" customHeight="1" x14ac:dyDescent="0.2">
      <c r="A948" s="18">
        <v>250</v>
      </c>
      <c r="B948" s="18">
        <v>4</v>
      </c>
      <c r="C948" s="18">
        <v>1500</v>
      </c>
      <c r="D948" s="19">
        <v>680.00000000000011</v>
      </c>
    </row>
    <row r="949" spans="1:4" ht="12.75" customHeight="1" x14ac:dyDescent="0.2">
      <c r="A949" s="18">
        <v>250</v>
      </c>
      <c r="B949" s="18">
        <v>4</v>
      </c>
      <c r="C949" s="18">
        <v>1600</v>
      </c>
      <c r="D949" s="19">
        <v>702.60000000000014</v>
      </c>
    </row>
    <row r="950" spans="1:4" ht="12.75" customHeight="1" x14ac:dyDescent="0.2">
      <c r="A950" s="18">
        <v>250</v>
      </c>
      <c r="B950" s="18">
        <v>4</v>
      </c>
      <c r="C950" s="18">
        <v>1700</v>
      </c>
      <c r="D950" s="19">
        <v>725.20000000000016</v>
      </c>
    </row>
    <row r="951" spans="1:4" ht="12.75" customHeight="1" x14ac:dyDescent="0.2">
      <c r="A951" s="18">
        <v>250</v>
      </c>
      <c r="B951" s="18">
        <v>4</v>
      </c>
      <c r="C951" s="18">
        <v>1800</v>
      </c>
      <c r="D951" s="19">
        <v>747.80000000000018</v>
      </c>
    </row>
    <row r="952" spans="1:4" ht="12.75" customHeight="1" x14ac:dyDescent="0.2">
      <c r="A952" s="18">
        <v>250</v>
      </c>
      <c r="B952" s="18">
        <v>4</v>
      </c>
      <c r="C952" s="18">
        <v>1900</v>
      </c>
      <c r="D952" s="19">
        <v>770.4000000000002</v>
      </c>
    </row>
    <row r="953" spans="1:4" ht="12.75" customHeight="1" x14ac:dyDescent="0.2">
      <c r="A953" s="18">
        <v>250</v>
      </c>
      <c r="B953" s="18">
        <v>4</v>
      </c>
      <c r="C953" s="18">
        <v>2000</v>
      </c>
      <c r="D953" s="19">
        <v>793</v>
      </c>
    </row>
    <row r="954" spans="1:4" ht="12.75" customHeight="1" x14ac:dyDescent="0.2">
      <c r="A954" s="18">
        <v>250</v>
      </c>
      <c r="B954" s="18">
        <v>5</v>
      </c>
      <c r="C954" s="18">
        <v>50</v>
      </c>
      <c r="D954" s="19">
        <v>313</v>
      </c>
    </row>
    <row r="955" spans="1:4" ht="12.75" customHeight="1" x14ac:dyDescent="0.2">
      <c r="A955" s="18">
        <v>250</v>
      </c>
      <c r="B955" s="18">
        <v>5</v>
      </c>
      <c r="C955" s="18">
        <v>60</v>
      </c>
      <c r="D955" s="19">
        <v>319.8</v>
      </c>
    </row>
    <row r="956" spans="1:4" ht="12.75" customHeight="1" x14ac:dyDescent="0.2">
      <c r="A956" s="18">
        <v>250</v>
      </c>
      <c r="B956" s="18">
        <v>5</v>
      </c>
      <c r="C956" s="18">
        <v>70</v>
      </c>
      <c r="D956" s="19">
        <v>326.60000000000002</v>
      </c>
    </row>
    <row r="957" spans="1:4" ht="12.75" customHeight="1" x14ac:dyDescent="0.2">
      <c r="A957" s="18">
        <v>250</v>
      </c>
      <c r="B957" s="18">
        <v>5</v>
      </c>
      <c r="C957" s="18">
        <v>80</v>
      </c>
      <c r="D957" s="19">
        <v>333.40000000000003</v>
      </c>
    </row>
    <row r="958" spans="1:4" ht="12.75" customHeight="1" x14ac:dyDescent="0.2">
      <c r="A958" s="18">
        <v>250</v>
      </c>
      <c r="B958" s="18">
        <v>5</v>
      </c>
      <c r="C958" s="18">
        <v>90</v>
      </c>
      <c r="D958" s="19">
        <v>340.20000000000005</v>
      </c>
    </row>
    <row r="959" spans="1:4" ht="12.75" customHeight="1" x14ac:dyDescent="0.2">
      <c r="A959" s="18">
        <v>250</v>
      </c>
      <c r="B959" s="18">
        <v>5</v>
      </c>
      <c r="C959" s="18">
        <v>100</v>
      </c>
      <c r="D959" s="19">
        <v>347</v>
      </c>
    </row>
    <row r="960" spans="1:4" ht="12.75" customHeight="1" x14ac:dyDescent="0.2">
      <c r="A960" s="18">
        <v>250</v>
      </c>
      <c r="B960" s="18">
        <v>5</v>
      </c>
      <c r="C960" s="18">
        <v>150</v>
      </c>
      <c r="D960" s="19">
        <v>371.5</v>
      </c>
    </row>
    <row r="961" spans="1:4" ht="12.75" customHeight="1" x14ac:dyDescent="0.2">
      <c r="A961" s="18">
        <v>250</v>
      </c>
      <c r="B961" s="18">
        <v>5</v>
      </c>
      <c r="C961" s="18">
        <v>200</v>
      </c>
      <c r="D961" s="19">
        <v>396</v>
      </c>
    </row>
    <row r="962" spans="1:4" ht="12.75" customHeight="1" x14ac:dyDescent="0.2">
      <c r="A962" s="18">
        <v>250</v>
      </c>
      <c r="B962" s="18">
        <v>5</v>
      </c>
      <c r="C962" s="18">
        <v>250</v>
      </c>
      <c r="D962" s="19">
        <v>420.5</v>
      </c>
    </row>
    <row r="963" spans="1:4" ht="12.75" customHeight="1" x14ac:dyDescent="0.2">
      <c r="A963" s="18">
        <v>250</v>
      </c>
      <c r="B963" s="18">
        <v>5</v>
      </c>
      <c r="C963" s="18">
        <v>300</v>
      </c>
      <c r="D963" s="19">
        <v>445</v>
      </c>
    </row>
    <row r="964" spans="1:4" ht="12.75" customHeight="1" x14ac:dyDescent="0.2">
      <c r="A964" s="18">
        <v>250</v>
      </c>
      <c r="B964" s="18">
        <v>5</v>
      </c>
      <c r="C964" s="18">
        <v>350</v>
      </c>
      <c r="D964" s="19">
        <v>467.75</v>
      </c>
    </row>
    <row r="965" spans="1:4" ht="12.75" customHeight="1" x14ac:dyDescent="0.2">
      <c r="A965" s="18">
        <v>250</v>
      </c>
      <c r="B965" s="18">
        <v>5</v>
      </c>
      <c r="C965" s="18">
        <v>400</v>
      </c>
      <c r="D965" s="19">
        <v>490.5</v>
      </c>
    </row>
    <row r="966" spans="1:4" ht="12.75" customHeight="1" x14ac:dyDescent="0.2">
      <c r="A966" s="18">
        <v>250</v>
      </c>
      <c r="B966" s="18">
        <v>5</v>
      </c>
      <c r="C966" s="18">
        <v>450</v>
      </c>
      <c r="D966" s="19">
        <v>513.25</v>
      </c>
    </row>
    <row r="967" spans="1:4" ht="12.75" customHeight="1" x14ac:dyDescent="0.2">
      <c r="A967" s="18">
        <v>250</v>
      </c>
      <c r="B967" s="18">
        <v>5</v>
      </c>
      <c r="C967" s="18">
        <v>500</v>
      </c>
      <c r="D967" s="19">
        <v>536</v>
      </c>
    </row>
    <row r="968" spans="1:4" ht="12.75" customHeight="1" x14ac:dyDescent="0.2">
      <c r="A968" s="18">
        <v>250</v>
      </c>
      <c r="B968" s="18">
        <v>5</v>
      </c>
      <c r="C968" s="18">
        <v>550</v>
      </c>
      <c r="D968" s="19">
        <v>556.6</v>
      </c>
    </row>
    <row r="969" spans="1:4" ht="12.75" customHeight="1" x14ac:dyDescent="0.2">
      <c r="A969" s="18">
        <v>250</v>
      </c>
      <c r="B969" s="18">
        <v>5</v>
      </c>
      <c r="C969" s="18">
        <v>600</v>
      </c>
      <c r="D969" s="19">
        <v>577.20000000000005</v>
      </c>
    </row>
    <row r="970" spans="1:4" ht="12.75" customHeight="1" x14ac:dyDescent="0.2">
      <c r="A970" s="18">
        <v>250</v>
      </c>
      <c r="B970" s="18">
        <v>5</v>
      </c>
      <c r="C970" s="18">
        <v>650</v>
      </c>
      <c r="D970" s="19">
        <v>597.80000000000007</v>
      </c>
    </row>
    <row r="971" spans="1:4" ht="12.75" customHeight="1" x14ac:dyDescent="0.2">
      <c r="A971" s="18">
        <v>250</v>
      </c>
      <c r="B971" s="18">
        <v>5</v>
      </c>
      <c r="C971" s="18">
        <v>700</v>
      </c>
      <c r="D971" s="19">
        <v>618.40000000000009</v>
      </c>
    </row>
    <row r="972" spans="1:4" ht="12.75" customHeight="1" x14ac:dyDescent="0.2">
      <c r="A972" s="18">
        <v>250</v>
      </c>
      <c r="B972" s="18">
        <v>5</v>
      </c>
      <c r="C972" s="18">
        <v>750</v>
      </c>
      <c r="D972" s="19">
        <v>639.00000000000011</v>
      </c>
    </row>
    <row r="973" spans="1:4" ht="12.75" customHeight="1" x14ac:dyDescent="0.2">
      <c r="A973" s="18">
        <v>250</v>
      </c>
      <c r="B973" s="18">
        <v>5</v>
      </c>
      <c r="C973" s="18">
        <v>800</v>
      </c>
      <c r="D973" s="19">
        <v>659.60000000000014</v>
      </c>
    </row>
    <row r="974" spans="1:4" ht="12.75" customHeight="1" x14ac:dyDescent="0.2">
      <c r="A974" s="18">
        <v>250</v>
      </c>
      <c r="B974" s="18">
        <v>5</v>
      </c>
      <c r="C974" s="18">
        <v>850</v>
      </c>
      <c r="D974" s="19">
        <v>680.20000000000016</v>
      </c>
    </row>
    <row r="975" spans="1:4" ht="12.75" customHeight="1" x14ac:dyDescent="0.2">
      <c r="A975" s="18">
        <v>250</v>
      </c>
      <c r="B975" s="18">
        <v>5</v>
      </c>
      <c r="C975" s="18">
        <v>900</v>
      </c>
      <c r="D975" s="19">
        <v>700.80000000000018</v>
      </c>
    </row>
    <row r="976" spans="1:4" ht="12.75" customHeight="1" x14ac:dyDescent="0.2">
      <c r="A976" s="18">
        <v>250</v>
      </c>
      <c r="B976" s="18">
        <v>5</v>
      </c>
      <c r="C976" s="18">
        <v>950</v>
      </c>
      <c r="D976" s="19">
        <v>721.4000000000002</v>
      </c>
    </row>
    <row r="977" spans="1:4" ht="12.75" customHeight="1" x14ac:dyDescent="0.2">
      <c r="A977" s="18">
        <v>250</v>
      </c>
      <c r="B977" s="18">
        <v>5</v>
      </c>
      <c r="C977" s="18">
        <v>1000</v>
      </c>
      <c r="D977" s="19">
        <v>742</v>
      </c>
    </row>
    <row r="978" spans="1:4" ht="12.75" customHeight="1" x14ac:dyDescent="0.2">
      <c r="A978" s="18">
        <v>250</v>
      </c>
      <c r="B978" s="18">
        <v>5</v>
      </c>
      <c r="C978" s="18">
        <v>1100</v>
      </c>
      <c r="D978" s="19">
        <v>777.6</v>
      </c>
    </row>
    <row r="979" spans="1:4" ht="12.75" customHeight="1" x14ac:dyDescent="0.2">
      <c r="A979" s="18">
        <v>250</v>
      </c>
      <c r="B979" s="18">
        <v>5</v>
      </c>
      <c r="C979" s="18">
        <v>1200</v>
      </c>
      <c r="D979" s="19">
        <v>813.2</v>
      </c>
    </row>
    <row r="980" spans="1:4" ht="12.75" customHeight="1" x14ac:dyDescent="0.2">
      <c r="A980" s="18">
        <v>250</v>
      </c>
      <c r="B980" s="18">
        <v>5</v>
      </c>
      <c r="C980" s="18">
        <v>1300</v>
      </c>
      <c r="D980" s="19">
        <v>848.80000000000007</v>
      </c>
    </row>
    <row r="981" spans="1:4" ht="12.75" customHeight="1" x14ac:dyDescent="0.2">
      <c r="A981" s="18">
        <v>250</v>
      </c>
      <c r="B981" s="18">
        <v>5</v>
      </c>
      <c r="C981" s="18">
        <v>1400</v>
      </c>
      <c r="D981" s="19">
        <v>884.40000000000009</v>
      </c>
    </row>
    <row r="982" spans="1:4" ht="12.75" customHeight="1" x14ac:dyDescent="0.2">
      <c r="A982" s="18">
        <v>250</v>
      </c>
      <c r="B982" s="18">
        <v>5</v>
      </c>
      <c r="C982" s="18">
        <v>1500</v>
      </c>
      <c r="D982" s="19">
        <v>920.00000000000011</v>
      </c>
    </row>
    <row r="983" spans="1:4" ht="12.75" customHeight="1" x14ac:dyDescent="0.2">
      <c r="A983" s="18">
        <v>250</v>
      </c>
      <c r="B983" s="18">
        <v>5</v>
      </c>
      <c r="C983" s="18">
        <v>1600</v>
      </c>
      <c r="D983" s="19">
        <v>955.60000000000014</v>
      </c>
    </row>
    <row r="984" spans="1:4" ht="12.75" customHeight="1" x14ac:dyDescent="0.2">
      <c r="A984" s="18">
        <v>250</v>
      </c>
      <c r="B984" s="18">
        <v>5</v>
      </c>
      <c r="C984" s="18">
        <v>1700</v>
      </c>
      <c r="D984" s="19">
        <v>991.20000000000016</v>
      </c>
    </row>
    <row r="985" spans="1:4" ht="12.75" customHeight="1" x14ac:dyDescent="0.2">
      <c r="A985" s="18">
        <v>250</v>
      </c>
      <c r="B985" s="18">
        <v>5</v>
      </c>
      <c r="C985" s="18">
        <v>1800</v>
      </c>
      <c r="D985" s="19">
        <v>1026.8000000000002</v>
      </c>
    </row>
    <row r="986" spans="1:4" ht="12.75" customHeight="1" x14ac:dyDescent="0.2">
      <c r="A986" s="18">
        <v>250</v>
      </c>
      <c r="B986" s="18">
        <v>5</v>
      </c>
      <c r="C986" s="18">
        <v>1900</v>
      </c>
      <c r="D986" s="19">
        <v>1062.4000000000001</v>
      </c>
    </row>
    <row r="987" spans="1:4" ht="12.75" customHeight="1" x14ac:dyDescent="0.2">
      <c r="A987" s="18">
        <v>250</v>
      </c>
      <c r="B987" s="18">
        <v>5</v>
      </c>
      <c r="C987" s="18">
        <v>2000</v>
      </c>
      <c r="D987" s="19">
        <v>1098</v>
      </c>
    </row>
    <row r="988" spans="1:4" ht="12.75" customHeight="1" x14ac:dyDescent="0.2">
      <c r="A988" s="18">
        <v>250</v>
      </c>
      <c r="B988" s="18">
        <v>6</v>
      </c>
      <c r="C988" s="18">
        <v>50</v>
      </c>
      <c r="D988" s="19">
        <v>331</v>
      </c>
    </row>
    <row r="989" spans="1:4" ht="12.75" customHeight="1" x14ac:dyDescent="0.2">
      <c r="A989" s="18">
        <v>250</v>
      </c>
      <c r="B989" s="18">
        <v>6</v>
      </c>
      <c r="C989" s="18">
        <v>60</v>
      </c>
      <c r="D989" s="19">
        <v>339.8</v>
      </c>
    </row>
    <row r="990" spans="1:4" ht="12.75" customHeight="1" x14ac:dyDescent="0.2">
      <c r="A990" s="18">
        <v>250</v>
      </c>
      <c r="B990" s="18">
        <v>6</v>
      </c>
      <c r="C990" s="18">
        <v>70</v>
      </c>
      <c r="D990" s="19">
        <v>348.6</v>
      </c>
    </row>
    <row r="991" spans="1:4" ht="12.75" customHeight="1" x14ac:dyDescent="0.2">
      <c r="A991" s="18">
        <v>250</v>
      </c>
      <c r="B991" s="18">
        <v>6</v>
      </c>
      <c r="C991" s="18">
        <v>80</v>
      </c>
      <c r="D991" s="19">
        <v>357.40000000000003</v>
      </c>
    </row>
    <row r="992" spans="1:4" ht="12.75" customHeight="1" x14ac:dyDescent="0.2">
      <c r="A992" s="18">
        <v>250</v>
      </c>
      <c r="B992" s="18">
        <v>6</v>
      </c>
      <c r="C992" s="18">
        <v>90</v>
      </c>
      <c r="D992" s="19">
        <v>366.20000000000005</v>
      </c>
    </row>
    <row r="993" spans="1:4" ht="12.75" customHeight="1" x14ac:dyDescent="0.2">
      <c r="A993" s="18">
        <v>250</v>
      </c>
      <c r="B993" s="18">
        <v>6</v>
      </c>
      <c r="C993" s="18">
        <v>100</v>
      </c>
      <c r="D993" s="19">
        <v>375</v>
      </c>
    </row>
    <row r="994" spans="1:4" ht="12.75" customHeight="1" x14ac:dyDescent="0.2">
      <c r="A994" s="18">
        <v>250</v>
      </c>
      <c r="B994" s="18">
        <v>6</v>
      </c>
      <c r="C994" s="18">
        <v>150</v>
      </c>
      <c r="D994" s="19">
        <v>411.5</v>
      </c>
    </row>
    <row r="995" spans="1:4" ht="12.75" customHeight="1" x14ac:dyDescent="0.2">
      <c r="A995" s="18">
        <v>250</v>
      </c>
      <c r="B995" s="18">
        <v>6</v>
      </c>
      <c r="C995" s="18">
        <v>200</v>
      </c>
      <c r="D995" s="19">
        <v>448</v>
      </c>
    </row>
    <row r="996" spans="1:4" ht="12.75" customHeight="1" x14ac:dyDescent="0.2">
      <c r="A996" s="18">
        <v>250</v>
      </c>
      <c r="B996" s="18">
        <v>6</v>
      </c>
      <c r="C996" s="18">
        <v>250</v>
      </c>
      <c r="D996" s="19">
        <v>484.5</v>
      </c>
    </row>
    <row r="997" spans="1:4" ht="12.75" customHeight="1" x14ac:dyDescent="0.2">
      <c r="A997" s="18">
        <v>250</v>
      </c>
      <c r="B997" s="18">
        <v>6</v>
      </c>
      <c r="C997" s="18">
        <v>300</v>
      </c>
      <c r="D997" s="19">
        <v>521</v>
      </c>
    </row>
    <row r="998" spans="1:4" ht="12.75" customHeight="1" x14ac:dyDescent="0.2">
      <c r="A998" s="18">
        <v>250</v>
      </c>
      <c r="B998" s="18">
        <v>6</v>
      </c>
      <c r="C998" s="18">
        <v>350</v>
      </c>
      <c r="D998" s="19">
        <v>554.5</v>
      </c>
    </row>
    <row r="999" spans="1:4" ht="12.75" customHeight="1" x14ac:dyDescent="0.2">
      <c r="A999" s="18">
        <v>250</v>
      </c>
      <c r="B999" s="18">
        <v>6</v>
      </c>
      <c r="C999" s="18">
        <v>400</v>
      </c>
      <c r="D999" s="19">
        <v>588</v>
      </c>
    </row>
    <row r="1000" spans="1:4" ht="12.75" customHeight="1" x14ac:dyDescent="0.2">
      <c r="A1000" s="18">
        <v>250</v>
      </c>
      <c r="B1000" s="18">
        <v>6</v>
      </c>
      <c r="C1000" s="18">
        <v>450</v>
      </c>
      <c r="D1000" s="19">
        <v>621.5</v>
      </c>
    </row>
    <row r="1001" spans="1:4" ht="12.75" customHeight="1" x14ac:dyDescent="0.2">
      <c r="A1001" s="18">
        <v>250</v>
      </c>
      <c r="B1001" s="18">
        <v>6</v>
      </c>
      <c r="C1001" s="18">
        <v>500</v>
      </c>
      <c r="D1001" s="19">
        <v>655</v>
      </c>
    </row>
    <row r="1002" spans="1:4" ht="12.75" customHeight="1" x14ac:dyDescent="0.2">
      <c r="A1002" s="18">
        <v>250</v>
      </c>
      <c r="B1002" s="18">
        <v>6</v>
      </c>
      <c r="C1002" s="18">
        <v>550</v>
      </c>
      <c r="D1002" s="19">
        <v>685.1</v>
      </c>
    </row>
    <row r="1003" spans="1:4" ht="12.75" customHeight="1" x14ac:dyDescent="0.2">
      <c r="A1003" s="18">
        <v>250</v>
      </c>
      <c r="B1003" s="18">
        <v>6</v>
      </c>
      <c r="C1003" s="18">
        <v>600</v>
      </c>
      <c r="D1003" s="19">
        <v>715.2</v>
      </c>
    </row>
    <row r="1004" spans="1:4" ht="12.75" customHeight="1" x14ac:dyDescent="0.2">
      <c r="A1004" s="18">
        <v>250</v>
      </c>
      <c r="B1004" s="18">
        <v>6</v>
      </c>
      <c r="C1004" s="18">
        <v>650</v>
      </c>
      <c r="D1004" s="19">
        <v>745.30000000000007</v>
      </c>
    </row>
    <row r="1005" spans="1:4" ht="12.75" customHeight="1" x14ac:dyDescent="0.2">
      <c r="A1005" s="18">
        <v>250</v>
      </c>
      <c r="B1005" s="18">
        <v>6</v>
      </c>
      <c r="C1005" s="18">
        <v>700</v>
      </c>
      <c r="D1005" s="19">
        <v>775.40000000000009</v>
      </c>
    </row>
    <row r="1006" spans="1:4" ht="12.75" customHeight="1" x14ac:dyDescent="0.2">
      <c r="A1006" s="18">
        <v>250</v>
      </c>
      <c r="B1006" s="18">
        <v>6</v>
      </c>
      <c r="C1006" s="18">
        <v>750</v>
      </c>
      <c r="D1006" s="19">
        <v>805.50000000000011</v>
      </c>
    </row>
    <row r="1007" spans="1:4" ht="12.75" customHeight="1" x14ac:dyDescent="0.2">
      <c r="A1007" s="18">
        <v>250</v>
      </c>
      <c r="B1007" s="18">
        <v>6</v>
      </c>
      <c r="C1007" s="18">
        <v>800</v>
      </c>
      <c r="D1007" s="19">
        <v>835.60000000000014</v>
      </c>
    </row>
    <row r="1008" spans="1:4" ht="12.75" customHeight="1" x14ac:dyDescent="0.2">
      <c r="A1008" s="18">
        <v>250</v>
      </c>
      <c r="B1008" s="18">
        <v>6</v>
      </c>
      <c r="C1008" s="18">
        <v>850</v>
      </c>
      <c r="D1008" s="19">
        <v>865.70000000000016</v>
      </c>
    </row>
    <row r="1009" spans="1:4" ht="12.75" customHeight="1" x14ac:dyDescent="0.2">
      <c r="A1009" s="18">
        <v>250</v>
      </c>
      <c r="B1009" s="18">
        <v>6</v>
      </c>
      <c r="C1009" s="18">
        <v>900</v>
      </c>
      <c r="D1009" s="19">
        <v>895.80000000000018</v>
      </c>
    </row>
    <row r="1010" spans="1:4" ht="12.75" customHeight="1" x14ac:dyDescent="0.2">
      <c r="A1010" s="18">
        <v>250</v>
      </c>
      <c r="B1010" s="18">
        <v>6</v>
      </c>
      <c r="C1010" s="18">
        <v>950</v>
      </c>
      <c r="D1010" s="19">
        <v>925.9000000000002</v>
      </c>
    </row>
    <row r="1011" spans="1:4" ht="12.75" customHeight="1" x14ac:dyDescent="0.2">
      <c r="A1011" s="18">
        <v>250</v>
      </c>
      <c r="B1011" s="18">
        <v>6</v>
      </c>
      <c r="C1011" s="18">
        <v>1000</v>
      </c>
      <c r="D1011" s="19">
        <v>956</v>
      </c>
    </row>
    <row r="1012" spans="1:4" ht="12.75" customHeight="1" x14ac:dyDescent="0.2">
      <c r="A1012" s="18">
        <v>250</v>
      </c>
      <c r="B1012" s="18">
        <v>6</v>
      </c>
      <c r="C1012" s="18">
        <v>1100</v>
      </c>
      <c r="D1012" s="19">
        <v>1010.1</v>
      </c>
    </row>
    <row r="1013" spans="1:4" ht="12.75" customHeight="1" x14ac:dyDescent="0.2">
      <c r="A1013" s="18">
        <v>250</v>
      </c>
      <c r="B1013" s="18">
        <v>6</v>
      </c>
      <c r="C1013" s="18">
        <v>1200</v>
      </c>
      <c r="D1013" s="19">
        <v>1064.2</v>
      </c>
    </row>
    <row r="1014" spans="1:4" ht="12.75" customHeight="1" x14ac:dyDescent="0.2">
      <c r="A1014" s="18">
        <v>250</v>
      </c>
      <c r="B1014" s="18">
        <v>6</v>
      </c>
      <c r="C1014" s="18">
        <v>1300</v>
      </c>
      <c r="D1014" s="19">
        <v>1118.3</v>
      </c>
    </row>
    <row r="1015" spans="1:4" ht="12.75" customHeight="1" x14ac:dyDescent="0.2">
      <c r="A1015" s="18">
        <v>250</v>
      </c>
      <c r="B1015" s="18">
        <v>6</v>
      </c>
      <c r="C1015" s="18">
        <v>1400</v>
      </c>
      <c r="D1015" s="19">
        <v>1172.3999999999999</v>
      </c>
    </row>
    <row r="1016" spans="1:4" ht="12.75" customHeight="1" x14ac:dyDescent="0.2">
      <c r="A1016" s="18">
        <v>250</v>
      </c>
      <c r="B1016" s="18">
        <v>6</v>
      </c>
      <c r="C1016" s="18">
        <v>1500</v>
      </c>
      <c r="D1016" s="19">
        <v>1226.4999999999998</v>
      </c>
    </row>
    <row r="1017" spans="1:4" ht="12.75" customHeight="1" x14ac:dyDescent="0.2">
      <c r="A1017" s="18">
        <v>250</v>
      </c>
      <c r="B1017" s="18">
        <v>6</v>
      </c>
      <c r="C1017" s="18">
        <v>1600</v>
      </c>
      <c r="D1017" s="19">
        <v>1280.5999999999997</v>
      </c>
    </row>
    <row r="1018" spans="1:4" ht="12.75" customHeight="1" x14ac:dyDescent="0.2">
      <c r="A1018" s="18">
        <v>250</v>
      </c>
      <c r="B1018" s="18">
        <v>6</v>
      </c>
      <c r="C1018" s="18">
        <v>1700</v>
      </c>
      <c r="D1018" s="19">
        <v>1334.6999999999996</v>
      </c>
    </row>
    <row r="1019" spans="1:4" ht="12.75" customHeight="1" x14ac:dyDescent="0.2">
      <c r="A1019" s="18">
        <v>250</v>
      </c>
      <c r="B1019" s="18">
        <v>6</v>
      </c>
      <c r="C1019" s="18">
        <v>1800</v>
      </c>
      <c r="D1019" s="19">
        <v>1388.7999999999995</v>
      </c>
    </row>
    <row r="1020" spans="1:4" ht="12.75" customHeight="1" x14ac:dyDescent="0.2">
      <c r="A1020" s="18">
        <v>250</v>
      </c>
      <c r="B1020" s="18">
        <v>6</v>
      </c>
      <c r="C1020" s="18">
        <v>1900</v>
      </c>
      <c r="D1020" s="19">
        <v>1442.8999999999994</v>
      </c>
    </row>
    <row r="1021" spans="1:4" ht="12.75" customHeight="1" x14ac:dyDescent="0.2">
      <c r="A1021" s="18">
        <v>250</v>
      </c>
      <c r="B1021" s="18">
        <v>6</v>
      </c>
      <c r="C1021" s="18">
        <v>2000</v>
      </c>
      <c r="D1021" s="19">
        <v>1497</v>
      </c>
    </row>
    <row r="1022" spans="1:4" ht="12.75" customHeight="1" x14ac:dyDescent="0.2">
      <c r="A1022" s="18">
        <v>300</v>
      </c>
      <c r="B1022" s="18">
        <v>2</v>
      </c>
      <c r="C1022" s="18">
        <v>50</v>
      </c>
      <c r="D1022" s="19">
        <v>326</v>
      </c>
    </row>
    <row r="1023" spans="1:4" ht="12.75" customHeight="1" x14ac:dyDescent="0.2">
      <c r="A1023" s="18">
        <v>300</v>
      </c>
      <c r="B1023" s="18">
        <v>2</v>
      </c>
      <c r="C1023" s="18">
        <v>60</v>
      </c>
      <c r="D1023" s="19">
        <v>328.2</v>
      </c>
    </row>
    <row r="1024" spans="1:4" ht="12.75" customHeight="1" x14ac:dyDescent="0.2">
      <c r="A1024" s="18">
        <v>300</v>
      </c>
      <c r="B1024" s="18">
        <v>2</v>
      </c>
      <c r="C1024" s="18">
        <v>70</v>
      </c>
      <c r="D1024" s="19">
        <v>330.4</v>
      </c>
    </row>
    <row r="1025" spans="1:4" ht="12.75" customHeight="1" x14ac:dyDescent="0.2">
      <c r="A1025" s="18">
        <v>300</v>
      </c>
      <c r="B1025" s="18">
        <v>2</v>
      </c>
      <c r="C1025" s="18">
        <v>80</v>
      </c>
      <c r="D1025" s="19">
        <v>332.59999999999997</v>
      </c>
    </row>
    <row r="1026" spans="1:4" ht="12.75" customHeight="1" x14ac:dyDescent="0.2">
      <c r="A1026" s="18">
        <v>300</v>
      </c>
      <c r="B1026" s="18">
        <v>2</v>
      </c>
      <c r="C1026" s="18">
        <v>90</v>
      </c>
      <c r="D1026" s="19">
        <v>334.79999999999995</v>
      </c>
    </row>
    <row r="1027" spans="1:4" ht="12.75" customHeight="1" x14ac:dyDescent="0.2">
      <c r="A1027" s="18">
        <v>300</v>
      </c>
      <c r="B1027" s="18">
        <v>2</v>
      </c>
      <c r="C1027" s="18">
        <v>100</v>
      </c>
      <c r="D1027" s="19">
        <v>337</v>
      </c>
    </row>
    <row r="1028" spans="1:4" ht="12.75" customHeight="1" x14ac:dyDescent="0.2">
      <c r="A1028" s="18">
        <v>300</v>
      </c>
      <c r="B1028" s="18">
        <v>2</v>
      </c>
      <c r="C1028" s="18">
        <v>150</v>
      </c>
      <c r="D1028" s="19">
        <v>341.5</v>
      </c>
    </row>
    <row r="1029" spans="1:4" ht="12.75" customHeight="1" x14ac:dyDescent="0.2">
      <c r="A1029" s="18">
        <v>300</v>
      </c>
      <c r="B1029" s="18">
        <v>2</v>
      </c>
      <c r="C1029" s="18">
        <v>200</v>
      </c>
      <c r="D1029" s="19">
        <v>346</v>
      </c>
    </row>
    <row r="1030" spans="1:4" ht="12.75" customHeight="1" x14ac:dyDescent="0.2">
      <c r="A1030" s="18">
        <v>300</v>
      </c>
      <c r="B1030" s="18">
        <v>2</v>
      </c>
      <c r="C1030" s="18">
        <v>250</v>
      </c>
      <c r="D1030" s="19">
        <v>350.5</v>
      </c>
    </row>
    <row r="1031" spans="1:4" ht="12.75" customHeight="1" x14ac:dyDescent="0.2">
      <c r="A1031" s="18">
        <v>300</v>
      </c>
      <c r="B1031" s="18">
        <v>2</v>
      </c>
      <c r="C1031" s="18">
        <v>300</v>
      </c>
      <c r="D1031" s="19">
        <v>355</v>
      </c>
    </row>
    <row r="1032" spans="1:4" ht="12.75" customHeight="1" x14ac:dyDescent="0.2">
      <c r="A1032" s="18">
        <v>300</v>
      </c>
      <c r="B1032" s="18">
        <v>2</v>
      </c>
      <c r="C1032" s="18">
        <v>350</v>
      </c>
      <c r="D1032" s="19">
        <v>358.75</v>
      </c>
    </row>
    <row r="1033" spans="1:4" ht="12.75" customHeight="1" x14ac:dyDescent="0.2">
      <c r="A1033" s="18">
        <v>300</v>
      </c>
      <c r="B1033" s="18">
        <v>2</v>
      </c>
      <c r="C1033" s="18">
        <v>400</v>
      </c>
      <c r="D1033" s="19">
        <v>362.5</v>
      </c>
    </row>
    <row r="1034" spans="1:4" ht="12.75" customHeight="1" x14ac:dyDescent="0.2">
      <c r="A1034" s="18">
        <v>300</v>
      </c>
      <c r="B1034" s="18">
        <v>2</v>
      </c>
      <c r="C1034" s="18">
        <v>450</v>
      </c>
      <c r="D1034" s="19">
        <v>366.25</v>
      </c>
    </row>
    <row r="1035" spans="1:4" ht="12.75" customHeight="1" x14ac:dyDescent="0.2">
      <c r="A1035" s="18">
        <v>300</v>
      </c>
      <c r="B1035" s="18">
        <v>2</v>
      </c>
      <c r="C1035" s="18">
        <v>500</v>
      </c>
      <c r="D1035" s="19">
        <v>370</v>
      </c>
    </row>
    <row r="1036" spans="1:4" ht="12.75" customHeight="1" x14ac:dyDescent="0.2">
      <c r="A1036" s="18">
        <v>300</v>
      </c>
      <c r="B1036" s="18">
        <v>2</v>
      </c>
      <c r="C1036" s="18">
        <v>550</v>
      </c>
      <c r="D1036" s="19">
        <v>372.8</v>
      </c>
    </row>
    <row r="1037" spans="1:4" ht="12.75" customHeight="1" x14ac:dyDescent="0.2">
      <c r="A1037" s="18">
        <v>300</v>
      </c>
      <c r="B1037" s="18">
        <v>2</v>
      </c>
      <c r="C1037" s="18">
        <v>600</v>
      </c>
      <c r="D1037" s="19">
        <v>375.6</v>
      </c>
    </row>
    <row r="1038" spans="1:4" ht="12.75" customHeight="1" x14ac:dyDescent="0.2">
      <c r="A1038" s="18">
        <v>300</v>
      </c>
      <c r="B1038" s="18">
        <v>2</v>
      </c>
      <c r="C1038" s="18">
        <v>650</v>
      </c>
      <c r="D1038" s="19">
        <v>378.40000000000003</v>
      </c>
    </row>
    <row r="1039" spans="1:4" ht="12.75" customHeight="1" x14ac:dyDescent="0.2">
      <c r="A1039" s="18">
        <v>300</v>
      </c>
      <c r="B1039" s="18">
        <v>2</v>
      </c>
      <c r="C1039" s="18">
        <v>700</v>
      </c>
      <c r="D1039" s="19">
        <v>381.20000000000005</v>
      </c>
    </row>
    <row r="1040" spans="1:4" ht="12.75" customHeight="1" x14ac:dyDescent="0.2">
      <c r="A1040" s="18">
        <v>300</v>
      </c>
      <c r="B1040" s="18">
        <v>2</v>
      </c>
      <c r="C1040" s="18">
        <v>750</v>
      </c>
      <c r="D1040" s="19">
        <v>384.00000000000006</v>
      </c>
    </row>
    <row r="1041" spans="1:4" ht="12.75" customHeight="1" x14ac:dyDescent="0.2">
      <c r="A1041" s="18">
        <v>300</v>
      </c>
      <c r="B1041" s="18">
        <v>2</v>
      </c>
      <c r="C1041" s="18">
        <v>800</v>
      </c>
      <c r="D1041" s="19">
        <v>386.80000000000007</v>
      </c>
    </row>
    <row r="1042" spans="1:4" ht="12.75" customHeight="1" x14ac:dyDescent="0.2">
      <c r="A1042" s="18">
        <v>300</v>
      </c>
      <c r="B1042" s="18">
        <v>2</v>
      </c>
      <c r="C1042" s="18">
        <v>850</v>
      </c>
      <c r="D1042" s="19">
        <v>389.60000000000008</v>
      </c>
    </row>
    <row r="1043" spans="1:4" ht="12.75" customHeight="1" x14ac:dyDescent="0.2">
      <c r="A1043" s="18">
        <v>300</v>
      </c>
      <c r="B1043" s="18">
        <v>2</v>
      </c>
      <c r="C1043" s="18">
        <v>900</v>
      </c>
      <c r="D1043" s="19">
        <v>392.40000000000009</v>
      </c>
    </row>
    <row r="1044" spans="1:4" ht="12.75" customHeight="1" x14ac:dyDescent="0.2">
      <c r="A1044" s="18">
        <v>300</v>
      </c>
      <c r="B1044" s="18">
        <v>2</v>
      </c>
      <c r="C1044" s="18">
        <v>950</v>
      </c>
      <c r="D1044" s="19">
        <v>395.2000000000001</v>
      </c>
    </row>
    <row r="1045" spans="1:4" ht="12.75" customHeight="1" x14ac:dyDescent="0.2">
      <c r="A1045" s="18">
        <v>300</v>
      </c>
      <c r="B1045" s="18">
        <v>2</v>
      </c>
      <c r="C1045" s="18">
        <v>1000</v>
      </c>
      <c r="D1045" s="19">
        <v>398</v>
      </c>
    </row>
    <row r="1046" spans="1:4" ht="12.75" customHeight="1" x14ac:dyDescent="0.2">
      <c r="A1046" s="18">
        <v>300</v>
      </c>
      <c r="B1046" s="18">
        <v>2</v>
      </c>
      <c r="C1046" s="18">
        <v>1100</v>
      </c>
      <c r="D1046" s="19">
        <v>402.9</v>
      </c>
    </row>
    <row r="1047" spans="1:4" ht="12.75" customHeight="1" x14ac:dyDescent="0.2">
      <c r="A1047" s="18">
        <v>300</v>
      </c>
      <c r="B1047" s="18">
        <v>2</v>
      </c>
      <c r="C1047" s="18">
        <v>1200</v>
      </c>
      <c r="D1047" s="19">
        <v>407.79999999999995</v>
      </c>
    </row>
    <row r="1048" spans="1:4" ht="12.75" customHeight="1" x14ac:dyDescent="0.2">
      <c r="A1048" s="18">
        <v>300</v>
      </c>
      <c r="B1048" s="18">
        <v>2</v>
      </c>
      <c r="C1048" s="18">
        <v>1300</v>
      </c>
      <c r="D1048" s="19">
        <v>412.69999999999993</v>
      </c>
    </row>
    <row r="1049" spans="1:4" ht="12.75" customHeight="1" x14ac:dyDescent="0.2">
      <c r="A1049" s="18">
        <v>300</v>
      </c>
      <c r="B1049" s="18">
        <v>2</v>
      </c>
      <c r="C1049" s="18">
        <v>1400</v>
      </c>
      <c r="D1049" s="19">
        <v>417.59999999999991</v>
      </c>
    </row>
    <row r="1050" spans="1:4" ht="12.75" customHeight="1" x14ac:dyDescent="0.2">
      <c r="A1050" s="18">
        <v>300</v>
      </c>
      <c r="B1050" s="18">
        <v>2</v>
      </c>
      <c r="C1050" s="18">
        <v>1500</v>
      </c>
      <c r="D1050" s="19">
        <v>422.49999999999989</v>
      </c>
    </row>
    <row r="1051" spans="1:4" ht="12.75" customHeight="1" x14ac:dyDescent="0.2">
      <c r="A1051" s="18">
        <v>300</v>
      </c>
      <c r="B1051" s="18">
        <v>2</v>
      </c>
      <c r="C1051" s="18">
        <v>1600</v>
      </c>
      <c r="D1051" s="19">
        <v>427.39999999999986</v>
      </c>
    </row>
    <row r="1052" spans="1:4" ht="12.75" customHeight="1" x14ac:dyDescent="0.2">
      <c r="A1052" s="18">
        <v>300</v>
      </c>
      <c r="B1052" s="18">
        <v>2</v>
      </c>
      <c r="C1052" s="18">
        <v>1700</v>
      </c>
      <c r="D1052" s="19">
        <v>432.29999999999984</v>
      </c>
    </row>
    <row r="1053" spans="1:4" ht="12.75" customHeight="1" x14ac:dyDescent="0.2">
      <c r="A1053" s="18">
        <v>300</v>
      </c>
      <c r="B1053" s="18">
        <v>2</v>
      </c>
      <c r="C1053" s="18">
        <v>1800</v>
      </c>
      <c r="D1053" s="19">
        <v>437.19999999999982</v>
      </c>
    </row>
    <row r="1054" spans="1:4" ht="12.75" customHeight="1" x14ac:dyDescent="0.2">
      <c r="A1054" s="18">
        <v>300</v>
      </c>
      <c r="B1054" s="18">
        <v>2</v>
      </c>
      <c r="C1054" s="18">
        <v>1900</v>
      </c>
      <c r="D1054" s="19">
        <v>442.0999999999998</v>
      </c>
    </row>
    <row r="1055" spans="1:4" ht="12.75" customHeight="1" x14ac:dyDescent="0.2">
      <c r="A1055" s="18">
        <v>300</v>
      </c>
      <c r="B1055" s="18">
        <v>2</v>
      </c>
      <c r="C1055" s="18">
        <v>2000</v>
      </c>
      <c r="D1055" s="19">
        <v>447</v>
      </c>
    </row>
    <row r="1056" spans="1:4" ht="12.75" customHeight="1" x14ac:dyDescent="0.2">
      <c r="A1056" s="18">
        <v>300</v>
      </c>
      <c r="B1056" s="18">
        <v>3</v>
      </c>
      <c r="C1056" s="18">
        <v>50</v>
      </c>
      <c r="D1056" s="19">
        <v>336</v>
      </c>
    </row>
    <row r="1057" spans="1:4" ht="12.75" customHeight="1" x14ac:dyDescent="0.2">
      <c r="A1057" s="18">
        <v>300</v>
      </c>
      <c r="B1057" s="18">
        <v>3</v>
      </c>
      <c r="C1057" s="18">
        <v>60</v>
      </c>
      <c r="D1057" s="19">
        <v>339.2</v>
      </c>
    </row>
    <row r="1058" spans="1:4" ht="12.75" customHeight="1" x14ac:dyDescent="0.2">
      <c r="A1058" s="18">
        <v>300</v>
      </c>
      <c r="B1058" s="18">
        <v>3</v>
      </c>
      <c r="C1058" s="18">
        <v>70</v>
      </c>
      <c r="D1058" s="19">
        <v>342.4</v>
      </c>
    </row>
    <row r="1059" spans="1:4" ht="12.75" customHeight="1" x14ac:dyDescent="0.2">
      <c r="A1059" s="18">
        <v>300</v>
      </c>
      <c r="B1059" s="18">
        <v>3</v>
      </c>
      <c r="C1059" s="18">
        <v>80</v>
      </c>
      <c r="D1059" s="19">
        <v>345.59999999999997</v>
      </c>
    </row>
    <row r="1060" spans="1:4" ht="12.75" customHeight="1" x14ac:dyDescent="0.2">
      <c r="A1060" s="18">
        <v>300</v>
      </c>
      <c r="B1060" s="18">
        <v>3</v>
      </c>
      <c r="C1060" s="18">
        <v>90</v>
      </c>
      <c r="D1060" s="19">
        <v>348.79999999999995</v>
      </c>
    </row>
    <row r="1061" spans="1:4" ht="12.75" customHeight="1" x14ac:dyDescent="0.2">
      <c r="A1061" s="18">
        <v>300</v>
      </c>
      <c r="B1061" s="18">
        <v>3</v>
      </c>
      <c r="C1061" s="18">
        <v>100</v>
      </c>
      <c r="D1061" s="19">
        <v>352</v>
      </c>
    </row>
    <row r="1062" spans="1:4" ht="12.75" customHeight="1" x14ac:dyDescent="0.2">
      <c r="A1062" s="18">
        <v>300</v>
      </c>
      <c r="B1062" s="18">
        <v>3</v>
      </c>
      <c r="C1062" s="18">
        <v>150</v>
      </c>
      <c r="D1062" s="19">
        <v>361.25</v>
      </c>
    </row>
    <row r="1063" spans="1:4" ht="12.75" customHeight="1" x14ac:dyDescent="0.2">
      <c r="A1063" s="18">
        <v>300</v>
      </c>
      <c r="B1063" s="18">
        <v>3</v>
      </c>
      <c r="C1063" s="18">
        <v>200</v>
      </c>
      <c r="D1063" s="19">
        <v>370.5</v>
      </c>
    </row>
    <row r="1064" spans="1:4" ht="12.75" customHeight="1" x14ac:dyDescent="0.2">
      <c r="A1064" s="18">
        <v>300</v>
      </c>
      <c r="B1064" s="18">
        <v>3</v>
      </c>
      <c r="C1064" s="18">
        <v>250</v>
      </c>
      <c r="D1064" s="19">
        <v>379.75</v>
      </c>
    </row>
    <row r="1065" spans="1:4" ht="12.75" customHeight="1" x14ac:dyDescent="0.2">
      <c r="A1065" s="18">
        <v>300</v>
      </c>
      <c r="B1065" s="18">
        <v>3</v>
      </c>
      <c r="C1065" s="18">
        <v>300</v>
      </c>
      <c r="D1065" s="19">
        <v>389</v>
      </c>
    </row>
    <row r="1066" spans="1:4" ht="12.75" customHeight="1" x14ac:dyDescent="0.2">
      <c r="A1066" s="18">
        <v>300</v>
      </c>
      <c r="B1066" s="18">
        <v>3</v>
      </c>
      <c r="C1066" s="18">
        <v>350</v>
      </c>
      <c r="D1066" s="19">
        <v>396.75</v>
      </c>
    </row>
    <row r="1067" spans="1:4" ht="12.75" customHeight="1" x14ac:dyDescent="0.2">
      <c r="A1067" s="18">
        <v>300</v>
      </c>
      <c r="B1067" s="18">
        <v>3</v>
      </c>
      <c r="C1067" s="18">
        <v>400</v>
      </c>
      <c r="D1067" s="19">
        <v>404.5</v>
      </c>
    </row>
    <row r="1068" spans="1:4" ht="12.75" customHeight="1" x14ac:dyDescent="0.2">
      <c r="A1068" s="18">
        <v>300</v>
      </c>
      <c r="B1068" s="18">
        <v>3</v>
      </c>
      <c r="C1068" s="18">
        <v>450</v>
      </c>
      <c r="D1068" s="19">
        <v>412.25</v>
      </c>
    </row>
    <row r="1069" spans="1:4" ht="12.75" customHeight="1" x14ac:dyDescent="0.2">
      <c r="A1069" s="18">
        <v>300</v>
      </c>
      <c r="B1069" s="18">
        <v>3</v>
      </c>
      <c r="C1069" s="18">
        <v>500</v>
      </c>
      <c r="D1069" s="19">
        <v>420</v>
      </c>
    </row>
    <row r="1070" spans="1:4" ht="12.75" customHeight="1" x14ac:dyDescent="0.2">
      <c r="A1070" s="18">
        <v>300</v>
      </c>
      <c r="B1070" s="18">
        <v>3</v>
      </c>
      <c r="C1070" s="18">
        <v>550</v>
      </c>
      <c r="D1070" s="19">
        <v>426.9</v>
      </c>
    </row>
    <row r="1071" spans="1:4" ht="12.75" customHeight="1" x14ac:dyDescent="0.2">
      <c r="A1071" s="18">
        <v>300</v>
      </c>
      <c r="B1071" s="18">
        <v>3</v>
      </c>
      <c r="C1071" s="18">
        <v>600</v>
      </c>
      <c r="D1071" s="19">
        <v>433.79999999999995</v>
      </c>
    </row>
    <row r="1072" spans="1:4" ht="12.75" customHeight="1" x14ac:dyDescent="0.2">
      <c r="A1072" s="18">
        <v>300</v>
      </c>
      <c r="B1072" s="18">
        <v>3</v>
      </c>
      <c r="C1072" s="18">
        <v>650</v>
      </c>
      <c r="D1072" s="19">
        <v>440.69999999999993</v>
      </c>
    </row>
    <row r="1073" spans="1:4" ht="12.75" customHeight="1" x14ac:dyDescent="0.2">
      <c r="A1073" s="18">
        <v>300</v>
      </c>
      <c r="B1073" s="18">
        <v>3</v>
      </c>
      <c r="C1073" s="18">
        <v>700</v>
      </c>
      <c r="D1073" s="19">
        <v>447.59999999999991</v>
      </c>
    </row>
    <row r="1074" spans="1:4" ht="12.75" customHeight="1" x14ac:dyDescent="0.2">
      <c r="A1074" s="18">
        <v>300</v>
      </c>
      <c r="B1074" s="18">
        <v>3</v>
      </c>
      <c r="C1074" s="18">
        <v>750</v>
      </c>
      <c r="D1074" s="19">
        <v>454.49999999999989</v>
      </c>
    </row>
    <row r="1075" spans="1:4" ht="12.75" customHeight="1" x14ac:dyDescent="0.2">
      <c r="A1075" s="18">
        <v>300</v>
      </c>
      <c r="B1075" s="18">
        <v>3</v>
      </c>
      <c r="C1075" s="18">
        <v>800</v>
      </c>
      <c r="D1075" s="19">
        <v>461.39999999999986</v>
      </c>
    </row>
    <row r="1076" spans="1:4" ht="12.75" customHeight="1" x14ac:dyDescent="0.2">
      <c r="A1076" s="18">
        <v>300</v>
      </c>
      <c r="B1076" s="18">
        <v>3</v>
      </c>
      <c r="C1076" s="18">
        <v>850</v>
      </c>
      <c r="D1076" s="19">
        <v>468.29999999999984</v>
      </c>
    </row>
    <row r="1077" spans="1:4" ht="12.75" customHeight="1" x14ac:dyDescent="0.2">
      <c r="A1077" s="18">
        <v>300</v>
      </c>
      <c r="B1077" s="18">
        <v>3</v>
      </c>
      <c r="C1077" s="18">
        <v>900</v>
      </c>
      <c r="D1077" s="19">
        <v>475.19999999999982</v>
      </c>
    </row>
    <row r="1078" spans="1:4" ht="12.75" customHeight="1" x14ac:dyDescent="0.2">
      <c r="A1078" s="18">
        <v>300</v>
      </c>
      <c r="B1078" s="18">
        <v>3</v>
      </c>
      <c r="C1078" s="18">
        <v>950</v>
      </c>
      <c r="D1078" s="19">
        <v>482.0999999999998</v>
      </c>
    </row>
    <row r="1079" spans="1:4" ht="12.75" customHeight="1" x14ac:dyDescent="0.2">
      <c r="A1079" s="18">
        <v>300</v>
      </c>
      <c r="B1079" s="18">
        <v>3</v>
      </c>
      <c r="C1079" s="18">
        <v>1000</v>
      </c>
      <c r="D1079" s="19">
        <v>489</v>
      </c>
    </row>
    <row r="1080" spans="1:4" ht="12.75" customHeight="1" x14ac:dyDescent="0.2">
      <c r="A1080" s="18">
        <v>300</v>
      </c>
      <c r="B1080" s="18">
        <v>3</v>
      </c>
      <c r="C1080" s="18">
        <v>1100</v>
      </c>
      <c r="D1080" s="19">
        <v>501</v>
      </c>
    </row>
    <row r="1081" spans="1:4" ht="12.75" customHeight="1" x14ac:dyDescent="0.2">
      <c r="A1081" s="18">
        <v>300</v>
      </c>
      <c r="B1081" s="18">
        <v>3</v>
      </c>
      <c r="C1081" s="18">
        <v>1200</v>
      </c>
      <c r="D1081" s="19">
        <v>513</v>
      </c>
    </row>
    <row r="1082" spans="1:4" ht="12.75" customHeight="1" x14ac:dyDescent="0.2">
      <c r="A1082" s="18">
        <v>300</v>
      </c>
      <c r="B1082" s="18">
        <v>3</v>
      </c>
      <c r="C1082" s="18">
        <v>1300</v>
      </c>
      <c r="D1082" s="19">
        <v>525</v>
      </c>
    </row>
    <row r="1083" spans="1:4" ht="12.75" customHeight="1" x14ac:dyDescent="0.2">
      <c r="A1083" s="18">
        <v>300</v>
      </c>
      <c r="B1083" s="18">
        <v>3</v>
      </c>
      <c r="C1083" s="18">
        <v>1400</v>
      </c>
      <c r="D1083" s="19">
        <v>537</v>
      </c>
    </row>
    <row r="1084" spans="1:4" ht="12.75" customHeight="1" x14ac:dyDescent="0.2">
      <c r="A1084" s="18">
        <v>300</v>
      </c>
      <c r="B1084" s="18">
        <v>3</v>
      </c>
      <c r="C1084" s="18">
        <v>1500</v>
      </c>
      <c r="D1084" s="19">
        <v>549</v>
      </c>
    </row>
    <row r="1085" spans="1:4" ht="12.75" customHeight="1" x14ac:dyDescent="0.2">
      <c r="A1085" s="18">
        <v>300</v>
      </c>
      <c r="B1085" s="18">
        <v>3</v>
      </c>
      <c r="C1085" s="18">
        <v>1600</v>
      </c>
      <c r="D1085" s="19">
        <v>561</v>
      </c>
    </row>
    <row r="1086" spans="1:4" ht="12.75" customHeight="1" x14ac:dyDescent="0.2">
      <c r="A1086" s="18">
        <v>300</v>
      </c>
      <c r="B1086" s="18">
        <v>3</v>
      </c>
      <c r="C1086" s="18">
        <v>1700</v>
      </c>
      <c r="D1086" s="19">
        <v>573</v>
      </c>
    </row>
    <row r="1087" spans="1:4" ht="12.75" customHeight="1" x14ac:dyDescent="0.2">
      <c r="A1087" s="18">
        <v>300</v>
      </c>
      <c r="B1087" s="18">
        <v>3</v>
      </c>
      <c r="C1087" s="18">
        <v>1800</v>
      </c>
      <c r="D1087" s="19">
        <v>585</v>
      </c>
    </row>
    <row r="1088" spans="1:4" ht="12.75" customHeight="1" x14ac:dyDescent="0.2">
      <c r="A1088" s="18">
        <v>300</v>
      </c>
      <c r="B1088" s="18">
        <v>3</v>
      </c>
      <c r="C1088" s="18">
        <v>1900</v>
      </c>
      <c r="D1088" s="19">
        <v>597</v>
      </c>
    </row>
    <row r="1089" spans="1:4" ht="12.75" customHeight="1" x14ac:dyDescent="0.2">
      <c r="A1089" s="18">
        <v>300</v>
      </c>
      <c r="B1089" s="18">
        <v>3</v>
      </c>
      <c r="C1089" s="18">
        <v>2000</v>
      </c>
      <c r="D1089" s="19">
        <v>609</v>
      </c>
    </row>
    <row r="1090" spans="1:4" ht="12.75" customHeight="1" x14ac:dyDescent="0.2">
      <c r="A1090" s="18">
        <v>300</v>
      </c>
      <c r="B1090" s="18">
        <v>4</v>
      </c>
      <c r="C1090" s="18">
        <v>50</v>
      </c>
      <c r="D1090" s="19">
        <v>347</v>
      </c>
    </row>
    <row r="1091" spans="1:4" ht="12.75" customHeight="1" x14ac:dyDescent="0.2">
      <c r="A1091" s="18">
        <v>300</v>
      </c>
      <c r="B1091" s="18">
        <v>4</v>
      </c>
      <c r="C1091" s="18">
        <v>60</v>
      </c>
      <c r="D1091" s="19">
        <v>351.8</v>
      </c>
    </row>
    <row r="1092" spans="1:4" ht="12.75" customHeight="1" x14ac:dyDescent="0.2">
      <c r="A1092" s="18">
        <v>300</v>
      </c>
      <c r="B1092" s="18">
        <v>4</v>
      </c>
      <c r="C1092" s="18">
        <v>70</v>
      </c>
      <c r="D1092" s="19">
        <v>356.6</v>
      </c>
    </row>
    <row r="1093" spans="1:4" ht="12.75" customHeight="1" x14ac:dyDescent="0.2">
      <c r="A1093" s="18">
        <v>300</v>
      </c>
      <c r="B1093" s="18">
        <v>4</v>
      </c>
      <c r="C1093" s="18">
        <v>80</v>
      </c>
      <c r="D1093" s="19">
        <v>361.40000000000003</v>
      </c>
    </row>
    <row r="1094" spans="1:4" ht="12.75" customHeight="1" x14ac:dyDescent="0.2">
      <c r="A1094" s="18">
        <v>300</v>
      </c>
      <c r="B1094" s="18">
        <v>4</v>
      </c>
      <c r="C1094" s="18">
        <v>90</v>
      </c>
      <c r="D1094" s="19">
        <v>366.20000000000005</v>
      </c>
    </row>
    <row r="1095" spans="1:4" ht="12.75" customHeight="1" x14ac:dyDescent="0.2">
      <c r="A1095" s="18">
        <v>300</v>
      </c>
      <c r="B1095" s="18">
        <v>4</v>
      </c>
      <c r="C1095" s="18">
        <v>100</v>
      </c>
      <c r="D1095" s="19">
        <v>371</v>
      </c>
    </row>
    <row r="1096" spans="1:4" ht="12.75" customHeight="1" x14ac:dyDescent="0.2">
      <c r="A1096" s="18">
        <v>300</v>
      </c>
      <c r="B1096" s="18">
        <v>4</v>
      </c>
      <c r="C1096" s="18">
        <v>150</v>
      </c>
      <c r="D1096" s="19">
        <v>387</v>
      </c>
    </row>
    <row r="1097" spans="1:4" ht="12.75" customHeight="1" x14ac:dyDescent="0.2">
      <c r="A1097" s="18">
        <v>300</v>
      </c>
      <c r="B1097" s="18">
        <v>4</v>
      </c>
      <c r="C1097" s="18">
        <v>200</v>
      </c>
      <c r="D1097" s="19">
        <v>403</v>
      </c>
    </row>
    <row r="1098" spans="1:4" ht="12.75" customHeight="1" x14ac:dyDescent="0.2">
      <c r="A1098" s="18">
        <v>300</v>
      </c>
      <c r="B1098" s="18">
        <v>4</v>
      </c>
      <c r="C1098" s="18">
        <v>250</v>
      </c>
      <c r="D1098" s="19">
        <v>419</v>
      </c>
    </row>
    <row r="1099" spans="1:4" ht="12.75" customHeight="1" x14ac:dyDescent="0.2">
      <c r="A1099" s="18">
        <v>300</v>
      </c>
      <c r="B1099" s="18">
        <v>4</v>
      </c>
      <c r="C1099" s="18">
        <v>300</v>
      </c>
      <c r="D1099" s="19">
        <v>435</v>
      </c>
    </row>
    <row r="1100" spans="1:4" ht="12.75" customHeight="1" x14ac:dyDescent="0.2">
      <c r="A1100" s="18">
        <v>300</v>
      </c>
      <c r="B1100" s="18">
        <v>4</v>
      </c>
      <c r="C1100" s="18">
        <v>350</v>
      </c>
      <c r="D1100" s="19">
        <v>449</v>
      </c>
    </row>
    <row r="1101" spans="1:4" ht="12.75" customHeight="1" x14ac:dyDescent="0.2">
      <c r="A1101" s="18">
        <v>300</v>
      </c>
      <c r="B1101" s="18">
        <v>4</v>
      </c>
      <c r="C1101" s="18">
        <v>400</v>
      </c>
      <c r="D1101" s="19">
        <v>463</v>
      </c>
    </row>
    <row r="1102" spans="1:4" ht="12.75" customHeight="1" x14ac:dyDescent="0.2">
      <c r="A1102" s="18">
        <v>300</v>
      </c>
      <c r="B1102" s="18">
        <v>4</v>
      </c>
      <c r="C1102" s="18">
        <v>450</v>
      </c>
      <c r="D1102" s="19">
        <v>477</v>
      </c>
    </row>
    <row r="1103" spans="1:4" ht="12.75" customHeight="1" x14ac:dyDescent="0.2">
      <c r="A1103" s="18">
        <v>300</v>
      </c>
      <c r="B1103" s="18">
        <v>4</v>
      </c>
      <c r="C1103" s="18">
        <v>500</v>
      </c>
      <c r="D1103" s="19">
        <v>491</v>
      </c>
    </row>
    <row r="1104" spans="1:4" ht="12.75" customHeight="1" x14ac:dyDescent="0.2">
      <c r="A1104" s="18">
        <v>300</v>
      </c>
      <c r="B1104" s="18">
        <v>4</v>
      </c>
      <c r="C1104" s="18">
        <v>550</v>
      </c>
      <c r="D1104" s="19">
        <v>503.6</v>
      </c>
    </row>
    <row r="1105" spans="1:4" ht="12.75" customHeight="1" x14ac:dyDescent="0.2">
      <c r="A1105" s="18">
        <v>300</v>
      </c>
      <c r="B1105" s="18">
        <v>4</v>
      </c>
      <c r="C1105" s="18">
        <v>600</v>
      </c>
      <c r="D1105" s="19">
        <v>516.20000000000005</v>
      </c>
    </row>
    <row r="1106" spans="1:4" ht="12.75" customHeight="1" x14ac:dyDescent="0.2">
      <c r="A1106" s="18">
        <v>300</v>
      </c>
      <c r="B1106" s="18">
        <v>4</v>
      </c>
      <c r="C1106" s="18">
        <v>650</v>
      </c>
      <c r="D1106" s="19">
        <v>528.80000000000007</v>
      </c>
    </row>
    <row r="1107" spans="1:4" ht="12.75" customHeight="1" x14ac:dyDescent="0.2">
      <c r="A1107" s="18">
        <v>300</v>
      </c>
      <c r="B1107" s="18">
        <v>4</v>
      </c>
      <c r="C1107" s="18">
        <v>700</v>
      </c>
      <c r="D1107" s="19">
        <v>541.40000000000009</v>
      </c>
    </row>
    <row r="1108" spans="1:4" ht="12.75" customHeight="1" x14ac:dyDescent="0.2">
      <c r="A1108" s="18">
        <v>300</v>
      </c>
      <c r="B1108" s="18">
        <v>4</v>
      </c>
      <c r="C1108" s="18">
        <v>750</v>
      </c>
      <c r="D1108" s="19">
        <v>554.00000000000011</v>
      </c>
    </row>
    <row r="1109" spans="1:4" ht="12.75" customHeight="1" x14ac:dyDescent="0.2">
      <c r="A1109" s="18">
        <v>300</v>
      </c>
      <c r="B1109" s="18">
        <v>4</v>
      </c>
      <c r="C1109" s="18">
        <v>800</v>
      </c>
      <c r="D1109" s="19">
        <v>566.60000000000014</v>
      </c>
    </row>
    <row r="1110" spans="1:4" ht="12.75" customHeight="1" x14ac:dyDescent="0.2">
      <c r="A1110" s="18">
        <v>300</v>
      </c>
      <c r="B1110" s="18">
        <v>4</v>
      </c>
      <c r="C1110" s="18">
        <v>850</v>
      </c>
      <c r="D1110" s="19">
        <v>579.20000000000016</v>
      </c>
    </row>
    <row r="1111" spans="1:4" ht="12.75" customHeight="1" x14ac:dyDescent="0.2">
      <c r="A1111" s="18">
        <v>300</v>
      </c>
      <c r="B1111" s="18">
        <v>4</v>
      </c>
      <c r="C1111" s="18">
        <v>900</v>
      </c>
      <c r="D1111" s="19">
        <v>591.80000000000018</v>
      </c>
    </row>
    <row r="1112" spans="1:4" ht="12.75" customHeight="1" x14ac:dyDescent="0.2">
      <c r="A1112" s="18">
        <v>300</v>
      </c>
      <c r="B1112" s="18">
        <v>4</v>
      </c>
      <c r="C1112" s="18">
        <v>950</v>
      </c>
      <c r="D1112" s="19">
        <v>604.4000000000002</v>
      </c>
    </row>
    <row r="1113" spans="1:4" ht="12.75" customHeight="1" x14ac:dyDescent="0.2">
      <c r="A1113" s="18">
        <v>300</v>
      </c>
      <c r="B1113" s="18">
        <v>4</v>
      </c>
      <c r="C1113" s="18">
        <v>1000</v>
      </c>
      <c r="D1113" s="19">
        <v>617</v>
      </c>
    </row>
    <row r="1114" spans="1:4" ht="12.75" customHeight="1" x14ac:dyDescent="0.2">
      <c r="A1114" s="18">
        <v>300</v>
      </c>
      <c r="B1114" s="18">
        <v>4</v>
      </c>
      <c r="C1114" s="18">
        <v>1100</v>
      </c>
      <c r="D1114" s="19">
        <v>638.9</v>
      </c>
    </row>
    <row r="1115" spans="1:4" ht="12.75" customHeight="1" x14ac:dyDescent="0.2">
      <c r="A1115" s="18">
        <v>300</v>
      </c>
      <c r="B1115" s="18">
        <v>4</v>
      </c>
      <c r="C1115" s="18">
        <v>1200</v>
      </c>
      <c r="D1115" s="19">
        <v>660.8</v>
      </c>
    </row>
    <row r="1116" spans="1:4" ht="12.75" customHeight="1" x14ac:dyDescent="0.2">
      <c r="A1116" s="18">
        <v>300</v>
      </c>
      <c r="B1116" s="18">
        <v>4</v>
      </c>
      <c r="C1116" s="18">
        <v>1300</v>
      </c>
      <c r="D1116" s="19">
        <v>682.69999999999993</v>
      </c>
    </row>
    <row r="1117" spans="1:4" ht="12.75" customHeight="1" x14ac:dyDescent="0.2">
      <c r="A1117" s="18">
        <v>300</v>
      </c>
      <c r="B1117" s="18">
        <v>4</v>
      </c>
      <c r="C1117" s="18">
        <v>1400</v>
      </c>
      <c r="D1117" s="19">
        <v>704.59999999999991</v>
      </c>
    </row>
    <row r="1118" spans="1:4" ht="12.75" customHeight="1" x14ac:dyDescent="0.2">
      <c r="A1118" s="18">
        <v>300</v>
      </c>
      <c r="B1118" s="18">
        <v>4</v>
      </c>
      <c r="C1118" s="18">
        <v>1500</v>
      </c>
      <c r="D1118" s="19">
        <v>726.49999999999989</v>
      </c>
    </row>
    <row r="1119" spans="1:4" ht="12.75" customHeight="1" x14ac:dyDescent="0.2">
      <c r="A1119" s="18">
        <v>300</v>
      </c>
      <c r="B1119" s="18">
        <v>4</v>
      </c>
      <c r="C1119" s="18">
        <v>1600</v>
      </c>
      <c r="D1119" s="19">
        <v>748.39999999999986</v>
      </c>
    </row>
    <row r="1120" spans="1:4" ht="12.75" customHeight="1" x14ac:dyDescent="0.2">
      <c r="A1120" s="18">
        <v>300</v>
      </c>
      <c r="B1120" s="18">
        <v>4</v>
      </c>
      <c r="C1120" s="18">
        <v>1700</v>
      </c>
      <c r="D1120" s="19">
        <v>770.29999999999984</v>
      </c>
    </row>
    <row r="1121" spans="1:4" ht="12.75" customHeight="1" x14ac:dyDescent="0.2">
      <c r="A1121" s="18">
        <v>300</v>
      </c>
      <c r="B1121" s="18">
        <v>4</v>
      </c>
      <c r="C1121" s="18">
        <v>1800</v>
      </c>
      <c r="D1121" s="19">
        <v>792.19999999999982</v>
      </c>
    </row>
    <row r="1122" spans="1:4" ht="12.75" customHeight="1" x14ac:dyDescent="0.2">
      <c r="A1122" s="18">
        <v>300</v>
      </c>
      <c r="B1122" s="18">
        <v>4</v>
      </c>
      <c r="C1122" s="18">
        <v>1900</v>
      </c>
      <c r="D1122" s="19">
        <v>814.0999999999998</v>
      </c>
    </row>
    <row r="1123" spans="1:4" ht="12.75" customHeight="1" x14ac:dyDescent="0.2">
      <c r="A1123" s="18">
        <v>300</v>
      </c>
      <c r="B1123" s="18">
        <v>4</v>
      </c>
      <c r="C1123" s="18">
        <v>2000</v>
      </c>
      <c r="D1123" s="19">
        <v>836</v>
      </c>
    </row>
    <row r="1124" spans="1:4" ht="12.75" customHeight="1" x14ac:dyDescent="0.2">
      <c r="A1124" s="18">
        <v>300</v>
      </c>
      <c r="B1124" s="18">
        <v>5</v>
      </c>
      <c r="C1124" s="18">
        <v>50</v>
      </c>
      <c r="D1124" s="19">
        <v>360</v>
      </c>
    </row>
    <row r="1125" spans="1:4" ht="12.75" customHeight="1" x14ac:dyDescent="0.2">
      <c r="A1125" s="18">
        <v>300</v>
      </c>
      <c r="B1125" s="18">
        <v>5</v>
      </c>
      <c r="C1125" s="18">
        <v>60</v>
      </c>
      <c r="D1125" s="19">
        <v>366.8</v>
      </c>
    </row>
    <row r="1126" spans="1:4" ht="12.75" customHeight="1" x14ac:dyDescent="0.2">
      <c r="A1126" s="18">
        <v>300</v>
      </c>
      <c r="B1126" s="18">
        <v>5</v>
      </c>
      <c r="C1126" s="18">
        <v>70</v>
      </c>
      <c r="D1126" s="19">
        <v>373.6</v>
      </c>
    </row>
    <row r="1127" spans="1:4" ht="12.75" customHeight="1" x14ac:dyDescent="0.2">
      <c r="A1127" s="18">
        <v>300</v>
      </c>
      <c r="B1127" s="18">
        <v>5</v>
      </c>
      <c r="C1127" s="18">
        <v>80</v>
      </c>
      <c r="D1127" s="19">
        <v>380.40000000000003</v>
      </c>
    </row>
    <row r="1128" spans="1:4" ht="12.75" customHeight="1" x14ac:dyDescent="0.2">
      <c r="A1128" s="18">
        <v>300</v>
      </c>
      <c r="B1128" s="18">
        <v>5</v>
      </c>
      <c r="C1128" s="18">
        <v>90</v>
      </c>
      <c r="D1128" s="19">
        <v>387.20000000000005</v>
      </c>
    </row>
    <row r="1129" spans="1:4" ht="12.75" customHeight="1" x14ac:dyDescent="0.2">
      <c r="A1129" s="18">
        <v>300</v>
      </c>
      <c r="B1129" s="18">
        <v>5</v>
      </c>
      <c r="C1129" s="18">
        <v>100</v>
      </c>
      <c r="D1129" s="19">
        <v>394</v>
      </c>
    </row>
    <row r="1130" spans="1:4" ht="12.75" customHeight="1" x14ac:dyDescent="0.2">
      <c r="A1130" s="18">
        <v>300</v>
      </c>
      <c r="B1130" s="18">
        <v>5</v>
      </c>
      <c r="C1130" s="18">
        <v>150</v>
      </c>
      <c r="D1130" s="19">
        <v>419</v>
      </c>
    </row>
    <row r="1131" spans="1:4" ht="12.75" customHeight="1" x14ac:dyDescent="0.2">
      <c r="A1131" s="18">
        <v>300</v>
      </c>
      <c r="B1131" s="18">
        <v>5</v>
      </c>
      <c r="C1131" s="18">
        <v>200</v>
      </c>
      <c r="D1131" s="19">
        <v>444</v>
      </c>
    </row>
    <row r="1132" spans="1:4" ht="12.75" customHeight="1" x14ac:dyDescent="0.2">
      <c r="A1132" s="18">
        <v>300</v>
      </c>
      <c r="B1132" s="18">
        <v>5</v>
      </c>
      <c r="C1132" s="18">
        <v>250</v>
      </c>
      <c r="D1132" s="19">
        <v>469</v>
      </c>
    </row>
    <row r="1133" spans="1:4" ht="12.75" customHeight="1" x14ac:dyDescent="0.2">
      <c r="A1133" s="18">
        <v>300</v>
      </c>
      <c r="B1133" s="18">
        <v>5</v>
      </c>
      <c r="C1133" s="18">
        <v>300</v>
      </c>
      <c r="D1133" s="19">
        <v>494</v>
      </c>
    </row>
    <row r="1134" spans="1:4" ht="12.75" customHeight="1" x14ac:dyDescent="0.2">
      <c r="A1134" s="18">
        <v>300</v>
      </c>
      <c r="B1134" s="18">
        <v>5</v>
      </c>
      <c r="C1134" s="18">
        <v>350</v>
      </c>
      <c r="D1134" s="19">
        <v>516.5</v>
      </c>
    </row>
    <row r="1135" spans="1:4" ht="12.75" customHeight="1" x14ac:dyDescent="0.2">
      <c r="A1135" s="18">
        <v>300</v>
      </c>
      <c r="B1135" s="18">
        <v>5</v>
      </c>
      <c r="C1135" s="18">
        <v>400</v>
      </c>
      <c r="D1135" s="19">
        <v>539</v>
      </c>
    </row>
    <row r="1136" spans="1:4" ht="12.75" customHeight="1" x14ac:dyDescent="0.2">
      <c r="A1136" s="18">
        <v>300</v>
      </c>
      <c r="B1136" s="18">
        <v>5</v>
      </c>
      <c r="C1136" s="18">
        <v>450</v>
      </c>
      <c r="D1136" s="19">
        <v>561.5</v>
      </c>
    </row>
    <row r="1137" spans="1:4" ht="12.75" customHeight="1" x14ac:dyDescent="0.2">
      <c r="A1137" s="18">
        <v>300</v>
      </c>
      <c r="B1137" s="18">
        <v>5</v>
      </c>
      <c r="C1137" s="18">
        <v>500</v>
      </c>
      <c r="D1137" s="19">
        <v>584</v>
      </c>
    </row>
    <row r="1138" spans="1:4" ht="12.75" customHeight="1" x14ac:dyDescent="0.2">
      <c r="A1138" s="18">
        <v>300</v>
      </c>
      <c r="B1138" s="18">
        <v>5</v>
      </c>
      <c r="C1138" s="18">
        <v>550</v>
      </c>
      <c r="D1138" s="19">
        <v>605.20000000000005</v>
      </c>
    </row>
    <row r="1139" spans="1:4" ht="12.75" customHeight="1" x14ac:dyDescent="0.2">
      <c r="A1139" s="18">
        <v>300</v>
      </c>
      <c r="B1139" s="18">
        <v>5</v>
      </c>
      <c r="C1139" s="18">
        <v>600</v>
      </c>
      <c r="D1139" s="19">
        <v>626.40000000000009</v>
      </c>
    </row>
    <row r="1140" spans="1:4" ht="12.75" customHeight="1" x14ac:dyDescent="0.2">
      <c r="A1140" s="18">
        <v>300</v>
      </c>
      <c r="B1140" s="18">
        <v>5</v>
      </c>
      <c r="C1140" s="18">
        <v>650</v>
      </c>
      <c r="D1140" s="19">
        <v>647.60000000000014</v>
      </c>
    </row>
    <row r="1141" spans="1:4" ht="12.75" customHeight="1" x14ac:dyDescent="0.2">
      <c r="A1141" s="18">
        <v>300</v>
      </c>
      <c r="B1141" s="18">
        <v>5</v>
      </c>
      <c r="C1141" s="18">
        <v>700</v>
      </c>
      <c r="D1141" s="19">
        <v>668.80000000000018</v>
      </c>
    </row>
    <row r="1142" spans="1:4" ht="12.75" customHeight="1" x14ac:dyDescent="0.2">
      <c r="A1142" s="18">
        <v>300</v>
      </c>
      <c r="B1142" s="18">
        <v>5</v>
      </c>
      <c r="C1142" s="18">
        <v>750</v>
      </c>
      <c r="D1142" s="19">
        <v>690.00000000000023</v>
      </c>
    </row>
    <row r="1143" spans="1:4" ht="12.75" customHeight="1" x14ac:dyDescent="0.2">
      <c r="A1143" s="18">
        <v>300</v>
      </c>
      <c r="B1143" s="18">
        <v>5</v>
      </c>
      <c r="C1143" s="18">
        <v>800</v>
      </c>
      <c r="D1143" s="19">
        <v>711.20000000000027</v>
      </c>
    </row>
    <row r="1144" spans="1:4" ht="12.75" customHeight="1" x14ac:dyDescent="0.2">
      <c r="A1144" s="18">
        <v>300</v>
      </c>
      <c r="B1144" s="18">
        <v>5</v>
      </c>
      <c r="C1144" s="18">
        <v>850</v>
      </c>
      <c r="D1144" s="19">
        <v>732.40000000000032</v>
      </c>
    </row>
    <row r="1145" spans="1:4" ht="12.75" customHeight="1" x14ac:dyDescent="0.2">
      <c r="A1145" s="18">
        <v>300</v>
      </c>
      <c r="B1145" s="18">
        <v>5</v>
      </c>
      <c r="C1145" s="18">
        <v>900</v>
      </c>
      <c r="D1145" s="19">
        <v>753.60000000000036</v>
      </c>
    </row>
    <row r="1146" spans="1:4" ht="12.75" customHeight="1" x14ac:dyDescent="0.2">
      <c r="A1146" s="18">
        <v>300</v>
      </c>
      <c r="B1146" s="18">
        <v>5</v>
      </c>
      <c r="C1146" s="18">
        <v>950</v>
      </c>
      <c r="D1146" s="19">
        <v>774.80000000000041</v>
      </c>
    </row>
    <row r="1147" spans="1:4" ht="12.75" customHeight="1" x14ac:dyDescent="0.2">
      <c r="A1147" s="18">
        <v>300</v>
      </c>
      <c r="B1147" s="18">
        <v>5</v>
      </c>
      <c r="C1147" s="18">
        <v>1000</v>
      </c>
      <c r="D1147" s="19">
        <v>796</v>
      </c>
    </row>
    <row r="1148" spans="1:4" ht="12.75" customHeight="1" x14ac:dyDescent="0.2">
      <c r="A1148" s="18">
        <v>300</v>
      </c>
      <c r="B1148" s="18">
        <v>5</v>
      </c>
      <c r="C1148" s="18">
        <v>1100</v>
      </c>
      <c r="D1148" s="19">
        <v>831.1</v>
      </c>
    </row>
    <row r="1149" spans="1:4" ht="12.75" customHeight="1" x14ac:dyDescent="0.2">
      <c r="A1149" s="18">
        <v>300</v>
      </c>
      <c r="B1149" s="18">
        <v>5</v>
      </c>
      <c r="C1149" s="18">
        <v>1200</v>
      </c>
      <c r="D1149" s="19">
        <v>866.2</v>
      </c>
    </row>
    <row r="1150" spans="1:4" ht="12.75" customHeight="1" x14ac:dyDescent="0.2">
      <c r="A1150" s="18">
        <v>300</v>
      </c>
      <c r="B1150" s="18">
        <v>5</v>
      </c>
      <c r="C1150" s="18">
        <v>1300</v>
      </c>
      <c r="D1150" s="19">
        <v>901.30000000000007</v>
      </c>
    </row>
    <row r="1151" spans="1:4" ht="12.75" customHeight="1" x14ac:dyDescent="0.2">
      <c r="A1151" s="18">
        <v>300</v>
      </c>
      <c r="B1151" s="18">
        <v>5</v>
      </c>
      <c r="C1151" s="18">
        <v>1400</v>
      </c>
      <c r="D1151" s="19">
        <v>936.40000000000009</v>
      </c>
    </row>
    <row r="1152" spans="1:4" ht="12.75" customHeight="1" x14ac:dyDescent="0.2">
      <c r="A1152" s="18">
        <v>300</v>
      </c>
      <c r="B1152" s="18">
        <v>5</v>
      </c>
      <c r="C1152" s="18">
        <v>1500</v>
      </c>
      <c r="D1152" s="19">
        <v>971.50000000000011</v>
      </c>
    </row>
    <row r="1153" spans="1:4" ht="12.75" customHeight="1" x14ac:dyDescent="0.2">
      <c r="A1153" s="18">
        <v>300</v>
      </c>
      <c r="B1153" s="18">
        <v>5</v>
      </c>
      <c r="C1153" s="18">
        <v>1600</v>
      </c>
      <c r="D1153" s="19">
        <v>1006.6000000000001</v>
      </c>
    </row>
    <row r="1154" spans="1:4" ht="12.75" customHeight="1" x14ac:dyDescent="0.2">
      <c r="A1154" s="18">
        <v>300</v>
      </c>
      <c r="B1154" s="18">
        <v>5</v>
      </c>
      <c r="C1154" s="18">
        <v>1700</v>
      </c>
      <c r="D1154" s="19">
        <v>1041.7</v>
      </c>
    </row>
    <row r="1155" spans="1:4" ht="12.75" customHeight="1" x14ac:dyDescent="0.2">
      <c r="A1155" s="18">
        <v>300</v>
      </c>
      <c r="B1155" s="18">
        <v>5</v>
      </c>
      <c r="C1155" s="18">
        <v>1800</v>
      </c>
      <c r="D1155" s="19">
        <v>1076.8</v>
      </c>
    </row>
    <row r="1156" spans="1:4" ht="12.75" customHeight="1" x14ac:dyDescent="0.2">
      <c r="A1156" s="18">
        <v>300</v>
      </c>
      <c r="B1156" s="18">
        <v>5</v>
      </c>
      <c r="C1156" s="18">
        <v>1900</v>
      </c>
      <c r="D1156" s="19">
        <v>1111.8999999999999</v>
      </c>
    </row>
    <row r="1157" spans="1:4" ht="12.75" customHeight="1" x14ac:dyDescent="0.2">
      <c r="A1157" s="18">
        <v>300</v>
      </c>
      <c r="B1157" s="18">
        <v>5</v>
      </c>
      <c r="C1157" s="18">
        <v>2000</v>
      </c>
      <c r="D1157" s="19">
        <v>1147</v>
      </c>
    </row>
    <row r="1158" spans="1:4" ht="12.75" customHeight="1" x14ac:dyDescent="0.2">
      <c r="A1158" s="18">
        <v>300</v>
      </c>
      <c r="B1158" s="18">
        <v>6</v>
      </c>
      <c r="C1158" s="18">
        <v>50</v>
      </c>
      <c r="D1158" s="19">
        <v>377</v>
      </c>
    </row>
    <row r="1159" spans="1:4" ht="12.75" customHeight="1" x14ac:dyDescent="0.2">
      <c r="A1159" s="18">
        <v>300</v>
      </c>
      <c r="B1159" s="18">
        <v>6</v>
      </c>
      <c r="C1159" s="18">
        <v>60</v>
      </c>
      <c r="D1159" s="19">
        <v>386.2</v>
      </c>
    </row>
    <row r="1160" spans="1:4" ht="12.75" customHeight="1" x14ac:dyDescent="0.2">
      <c r="A1160" s="18">
        <v>300</v>
      </c>
      <c r="B1160" s="18">
        <v>6</v>
      </c>
      <c r="C1160" s="18">
        <v>70</v>
      </c>
      <c r="D1160" s="19">
        <v>395.4</v>
      </c>
    </row>
    <row r="1161" spans="1:4" ht="12.75" customHeight="1" x14ac:dyDescent="0.2">
      <c r="A1161" s="18">
        <v>300</v>
      </c>
      <c r="B1161" s="18">
        <v>6</v>
      </c>
      <c r="C1161" s="18">
        <v>80</v>
      </c>
      <c r="D1161" s="19">
        <v>404.59999999999997</v>
      </c>
    </row>
    <row r="1162" spans="1:4" ht="12.75" customHeight="1" x14ac:dyDescent="0.2">
      <c r="A1162" s="18">
        <v>300</v>
      </c>
      <c r="B1162" s="18">
        <v>6</v>
      </c>
      <c r="C1162" s="18">
        <v>90</v>
      </c>
      <c r="D1162" s="19">
        <v>413.79999999999995</v>
      </c>
    </row>
    <row r="1163" spans="1:4" ht="12.75" customHeight="1" x14ac:dyDescent="0.2">
      <c r="A1163" s="18">
        <v>300</v>
      </c>
      <c r="B1163" s="18">
        <v>6</v>
      </c>
      <c r="C1163" s="18">
        <v>100</v>
      </c>
      <c r="D1163" s="19">
        <v>423</v>
      </c>
    </row>
    <row r="1164" spans="1:4" ht="12.75" customHeight="1" x14ac:dyDescent="0.2">
      <c r="A1164" s="18">
        <v>300</v>
      </c>
      <c r="B1164" s="18">
        <v>6</v>
      </c>
      <c r="C1164" s="18">
        <v>150</v>
      </c>
      <c r="D1164" s="19">
        <v>459.5</v>
      </c>
    </row>
    <row r="1165" spans="1:4" ht="12.75" customHeight="1" x14ac:dyDescent="0.2">
      <c r="A1165" s="18">
        <v>300</v>
      </c>
      <c r="B1165" s="18">
        <v>6</v>
      </c>
      <c r="C1165" s="18">
        <v>200</v>
      </c>
      <c r="D1165" s="19">
        <v>496</v>
      </c>
    </row>
    <row r="1166" spans="1:4" ht="12.75" customHeight="1" x14ac:dyDescent="0.2">
      <c r="A1166" s="18">
        <v>300</v>
      </c>
      <c r="B1166" s="18">
        <v>6</v>
      </c>
      <c r="C1166" s="18">
        <v>250</v>
      </c>
      <c r="D1166" s="19">
        <v>532.5</v>
      </c>
    </row>
    <row r="1167" spans="1:4" ht="12.75" customHeight="1" x14ac:dyDescent="0.2">
      <c r="A1167" s="18">
        <v>300</v>
      </c>
      <c r="B1167" s="18">
        <v>6</v>
      </c>
      <c r="C1167" s="18">
        <v>300</v>
      </c>
      <c r="D1167" s="19">
        <v>569</v>
      </c>
    </row>
    <row r="1168" spans="1:4" ht="12.75" customHeight="1" x14ac:dyDescent="0.2">
      <c r="A1168" s="18">
        <v>300</v>
      </c>
      <c r="B1168" s="18">
        <v>6</v>
      </c>
      <c r="C1168" s="18">
        <v>350</v>
      </c>
      <c r="D1168" s="19">
        <v>602.75</v>
      </c>
    </row>
    <row r="1169" spans="1:4" ht="12.75" customHeight="1" x14ac:dyDescent="0.2">
      <c r="A1169" s="18">
        <v>300</v>
      </c>
      <c r="B1169" s="18">
        <v>6</v>
      </c>
      <c r="C1169" s="18">
        <v>400</v>
      </c>
      <c r="D1169" s="19">
        <v>636.5</v>
      </c>
    </row>
    <row r="1170" spans="1:4" ht="12.75" customHeight="1" x14ac:dyDescent="0.2">
      <c r="A1170" s="18">
        <v>300</v>
      </c>
      <c r="B1170" s="18">
        <v>6</v>
      </c>
      <c r="C1170" s="18">
        <v>450</v>
      </c>
      <c r="D1170" s="19">
        <v>670.25</v>
      </c>
    </row>
    <row r="1171" spans="1:4" ht="12.75" customHeight="1" x14ac:dyDescent="0.2">
      <c r="A1171" s="18">
        <v>300</v>
      </c>
      <c r="B1171" s="18">
        <v>6</v>
      </c>
      <c r="C1171" s="18">
        <v>500</v>
      </c>
      <c r="D1171" s="19">
        <v>704</v>
      </c>
    </row>
    <row r="1172" spans="1:4" ht="12.75" customHeight="1" x14ac:dyDescent="0.2">
      <c r="A1172" s="18">
        <v>300</v>
      </c>
      <c r="B1172" s="18">
        <v>6</v>
      </c>
      <c r="C1172" s="18">
        <v>550</v>
      </c>
      <c r="D1172" s="19">
        <v>734.2</v>
      </c>
    </row>
    <row r="1173" spans="1:4" ht="12.75" customHeight="1" x14ac:dyDescent="0.2">
      <c r="A1173" s="18">
        <v>300</v>
      </c>
      <c r="B1173" s="18">
        <v>6</v>
      </c>
      <c r="C1173" s="18">
        <v>600</v>
      </c>
      <c r="D1173" s="19">
        <v>764.40000000000009</v>
      </c>
    </row>
    <row r="1174" spans="1:4" ht="12.75" customHeight="1" x14ac:dyDescent="0.2">
      <c r="A1174" s="18">
        <v>300</v>
      </c>
      <c r="B1174" s="18">
        <v>6</v>
      </c>
      <c r="C1174" s="18">
        <v>650</v>
      </c>
      <c r="D1174" s="19">
        <v>794.60000000000014</v>
      </c>
    </row>
    <row r="1175" spans="1:4" ht="12.75" customHeight="1" x14ac:dyDescent="0.2">
      <c r="A1175" s="18">
        <v>300</v>
      </c>
      <c r="B1175" s="18">
        <v>6</v>
      </c>
      <c r="C1175" s="18">
        <v>700</v>
      </c>
      <c r="D1175" s="19">
        <v>824.80000000000018</v>
      </c>
    </row>
    <row r="1176" spans="1:4" ht="12.75" customHeight="1" x14ac:dyDescent="0.2">
      <c r="A1176" s="18">
        <v>300</v>
      </c>
      <c r="B1176" s="18">
        <v>6</v>
      </c>
      <c r="C1176" s="18">
        <v>750</v>
      </c>
      <c r="D1176" s="19">
        <v>855.00000000000023</v>
      </c>
    </row>
    <row r="1177" spans="1:4" ht="12.75" customHeight="1" x14ac:dyDescent="0.2">
      <c r="A1177" s="18">
        <v>300</v>
      </c>
      <c r="B1177" s="18">
        <v>6</v>
      </c>
      <c r="C1177" s="18">
        <v>800</v>
      </c>
      <c r="D1177" s="19">
        <v>885.20000000000027</v>
      </c>
    </row>
    <row r="1178" spans="1:4" ht="12.75" customHeight="1" x14ac:dyDescent="0.2">
      <c r="A1178" s="18">
        <v>300</v>
      </c>
      <c r="B1178" s="18">
        <v>6</v>
      </c>
      <c r="C1178" s="18">
        <v>850</v>
      </c>
      <c r="D1178" s="19">
        <v>915.40000000000032</v>
      </c>
    </row>
    <row r="1179" spans="1:4" ht="12.75" customHeight="1" x14ac:dyDescent="0.2">
      <c r="A1179" s="18">
        <v>300</v>
      </c>
      <c r="B1179" s="18">
        <v>6</v>
      </c>
      <c r="C1179" s="18">
        <v>900</v>
      </c>
      <c r="D1179" s="19">
        <v>945.60000000000036</v>
      </c>
    </row>
    <row r="1180" spans="1:4" ht="12.75" customHeight="1" x14ac:dyDescent="0.2">
      <c r="A1180" s="18">
        <v>300</v>
      </c>
      <c r="B1180" s="18">
        <v>6</v>
      </c>
      <c r="C1180" s="18">
        <v>950</v>
      </c>
      <c r="D1180" s="19">
        <v>975.80000000000041</v>
      </c>
    </row>
    <row r="1181" spans="1:4" ht="12.75" customHeight="1" x14ac:dyDescent="0.2">
      <c r="A1181" s="18">
        <v>300</v>
      </c>
      <c r="B1181" s="18">
        <v>6</v>
      </c>
      <c r="C1181" s="18">
        <v>1000</v>
      </c>
      <c r="D1181" s="19">
        <v>1006</v>
      </c>
    </row>
    <row r="1182" spans="1:4" ht="12.75" customHeight="1" x14ac:dyDescent="0.2">
      <c r="A1182" s="18">
        <v>300</v>
      </c>
      <c r="B1182" s="18">
        <v>6</v>
      </c>
      <c r="C1182" s="18">
        <v>1100</v>
      </c>
      <c r="D1182" s="19">
        <v>1060.3</v>
      </c>
    </row>
    <row r="1183" spans="1:4" ht="12.75" customHeight="1" x14ac:dyDescent="0.2">
      <c r="A1183" s="18">
        <v>300</v>
      </c>
      <c r="B1183" s="18">
        <v>6</v>
      </c>
      <c r="C1183" s="18">
        <v>1200</v>
      </c>
      <c r="D1183" s="19">
        <v>1114.5999999999999</v>
      </c>
    </row>
    <row r="1184" spans="1:4" ht="12.75" customHeight="1" x14ac:dyDescent="0.2">
      <c r="A1184" s="18">
        <v>300</v>
      </c>
      <c r="B1184" s="18">
        <v>6</v>
      </c>
      <c r="C1184" s="18">
        <v>1300</v>
      </c>
      <c r="D1184" s="19">
        <v>1168.8999999999999</v>
      </c>
    </row>
    <row r="1185" spans="1:4" ht="12.75" customHeight="1" x14ac:dyDescent="0.2">
      <c r="A1185" s="18">
        <v>300</v>
      </c>
      <c r="B1185" s="18">
        <v>6</v>
      </c>
      <c r="C1185" s="18">
        <v>1400</v>
      </c>
      <c r="D1185" s="19">
        <v>1223.1999999999998</v>
      </c>
    </row>
    <row r="1186" spans="1:4" ht="12.75" customHeight="1" x14ac:dyDescent="0.2">
      <c r="A1186" s="18">
        <v>300</v>
      </c>
      <c r="B1186" s="18">
        <v>6</v>
      </c>
      <c r="C1186" s="18">
        <v>1500</v>
      </c>
      <c r="D1186" s="19">
        <v>1277.4999999999998</v>
      </c>
    </row>
    <row r="1187" spans="1:4" ht="12.75" customHeight="1" x14ac:dyDescent="0.2">
      <c r="A1187" s="18">
        <v>300</v>
      </c>
      <c r="B1187" s="18">
        <v>6</v>
      </c>
      <c r="C1187" s="18">
        <v>1600</v>
      </c>
      <c r="D1187" s="19">
        <v>1331.7999999999997</v>
      </c>
    </row>
    <row r="1188" spans="1:4" ht="12.75" customHeight="1" x14ac:dyDescent="0.2">
      <c r="A1188" s="18">
        <v>300</v>
      </c>
      <c r="B1188" s="18">
        <v>6</v>
      </c>
      <c r="C1188" s="18">
        <v>1700</v>
      </c>
      <c r="D1188" s="19">
        <v>1386.0999999999997</v>
      </c>
    </row>
    <row r="1189" spans="1:4" ht="12.75" customHeight="1" x14ac:dyDescent="0.2">
      <c r="A1189" s="18">
        <v>300</v>
      </c>
      <c r="B1189" s="18">
        <v>6</v>
      </c>
      <c r="C1189" s="18">
        <v>1800</v>
      </c>
      <c r="D1189" s="19">
        <v>1440.3999999999996</v>
      </c>
    </row>
    <row r="1190" spans="1:4" ht="12.75" customHeight="1" x14ac:dyDescent="0.2">
      <c r="A1190" s="18">
        <v>300</v>
      </c>
      <c r="B1190" s="18">
        <v>6</v>
      </c>
      <c r="C1190" s="18">
        <v>1900</v>
      </c>
      <c r="D1190" s="19">
        <v>1494.6999999999996</v>
      </c>
    </row>
    <row r="1191" spans="1:4" ht="12.75" customHeight="1" x14ac:dyDescent="0.2">
      <c r="A1191" s="18">
        <v>300</v>
      </c>
      <c r="B1191" s="18">
        <v>6</v>
      </c>
      <c r="C1191" s="18">
        <v>2000</v>
      </c>
      <c r="D1191" s="19">
        <v>1549</v>
      </c>
    </row>
    <row r="1192" spans="1:4" x14ac:dyDescent="0.2">
      <c r="D1192" s="52"/>
    </row>
    <row r="1193" spans="1:4" x14ac:dyDescent="0.2">
      <c r="A1193" s="51"/>
      <c r="C1193" s="51" t="s">
        <v>400</v>
      </c>
    </row>
    <row r="1194" spans="1:4" x14ac:dyDescent="0.2">
      <c r="A1194" s="51"/>
      <c r="C1194" s="51" t="s">
        <v>397</v>
      </c>
    </row>
    <row r="1195" spans="1:4" x14ac:dyDescent="0.2">
      <c r="C1195" s="51" t="s">
        <v>401</v>
      </c>
    </row>
  </sheetData>
  <sheetProtection password="DE07" sheet="1" objects="1" scenarios="1"/>
  <phoneticPr fontId="2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E2"/>
  <sheetViews>
    <sheetView zoomScale="95" zoomScaleNormal="95" workbookViewId="0">
      <selection activeCell="D2" sqref="D2"/>
    </sheetView>
  </sheetViews>
  <sheetFormatPr defaultColWidth="9.140625" defaultRowHeight="12.75" x14ac:dyDescent="0.2"/>
  <cols>
    <col min="1" max="5" width="35.7109375" style="9" customWidth="1"/>
    <col min="6" max="16384" width="9.140625" style="9"/>
  </cols>
  <sheetData>
    <row r="1" spans="1:5" ht="38.25" customHeight="1" x14ac:dyDescent="0.2">
      <c r="A1" s="12" t="s">
        <v>4</v>
      </c>
      <c r="B1" s="8" t="s">
        <v>39</v>
      </c>
      <c r="C1" s="12" t="s">
        <v>35</v>
      </c>
      <c r="D1" s="8" t="s">
        <v>36</v>
      </c>
      <c r="E1" s="10" t="s">
        <v>115</v>
      </c>
    </row>
    <row r="2" spans="1:5" ht="12.75" customHeight="1" x14ac:dyDescent="0.2">
      <c r="A2" s="14">
        <f>Input!F14</f>
        <v>0</v>
      </c>
      <c r="B2" s="14" t="b">
        <f>IF(OR(A2="A-1-a",A2="A-2-4",A2="A-2-5",A2="GW",A2="GP",A2="GM",A2="SM"),300,IF(OR(A2="A-1-b",A2="SW"),200,IF(OR(A2="A-3",A2="A-2-6",A2="A-2-7",A2="SP",A2="GC",A2="SC"),150,IF(OR(A2="A-7-6",A2="CH",A2="OH"),50,IF(OR(A2="A-4",A2="A-5",A2="A-6",A2="A-7-5",A2="ML",A2="OL",A2="MH",A2="CL"),25)))))</f>
        <v>0</v>
      </c>
      <c r="C2" s="14">
        <f>ROUND(Input!F16,0)</f>
        <v>6</v>
      </c>
      <c r="D2" s="14">
        <f>IF(Input!F17&lt;=100,ROUND(Input!F17,-1),IF(AND(Input!F17&gt;100,Input!F17&lt;1000,MOD(Input!F17,50)&lt;25),Input!F17-MOD(Input!F17,50),IF(AND(Input!F17&gt;100,Input!F17&lt;1000,MOD(Input!F17,50)&gt;=25),Input!F17+50-MOD(Input!F17,50),IF(Input!F17&gt;=1000,ROUND(Input!F17,-2)))))</f>
        <v>0</v>
      </c>
      <c r="E2" s="7">
        <f>DSUM('K-Table'!A1:D1191,4,'Composite K'!B1:D2)</f>
        <v>0</v>
      </c>
    </row>
  </sheetData>
  <sheetProtection password="DE07" sheet="1" objects="1" scenarios="1"/>
  <phoneticPr fontId="2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0.59999389629810485"/>
    <pageSetUpPr fitToPage="1"/>
  </sheetPr>
  <dimension ref="A1:E1009"/>
  <sheetViews>
    <sheetView zoomScale="95" zoomScaleNormal="95" workbookViewId="0"/>
  </sheetViews>
  <sheetFormatPr defaultColWidth="9.140625" defaultRowHeight="12.75" x14ac:dyDescent="0.2"/>
  <cols>
    <col min="1" max="5" width="35.7109375" style="9" customWidth="1"/>
    <col min="6" max="16384" width="9.140625" style="9"/>
  </cols>
  <sheetData>
    <row r="1" spans="1:5" ht="38.25" customHeight="1" x14ac:dyDescent="0.2">
      <c r="A1" s="8" t="s">
        <v>28</v>
      </c>
      <c r="B1" s="8" t="s">
        <v>31</v>
      </c>
      <c r="C1" s="8" t="s">
        <v>115</v>
      </c>
      <c r="D1" s="8" t="s">
        <v>25</v>
      </c>
      <c r="E1" s="8" t="s">
        <v>24</v>
      </c>
    </row>
    <row r="2" spans="1:5" ht="12.75" customHeight="1" x14ac:dyDescent="0.2">
      <c r="A2" s="27">
        <v>-55</v>
      </c>
      <c r="B2" s="28">
        <v>6</v>
      </c>
      <c r="C2" s="27">
        <v>50</v>
      </c>
      <c r="D2" s="26">
        <v>444.63</v>
      </c>
      <c r="E2" s="26">
        <v>128.72999999999999</v>
      </c>
    </row>
    <row r="3" spans="1:5" ht="12.75" customHeight="1" x14ac:dyDescent="0.2">
      <c r="A3" s="27">
        <v>-55</v>
      </c>
      <c r="B3" s="28">
        <v>6</v>
      </c>
      <c r="C3" s="27">
        <v>100</v>
      </c>
      <c r="D3" s="26">
        <v>424.33</v>
      </c>
      <c r="E3" s="26">
        <v>128.87</v>
      </c>
    </row>
    <row r="4" spans="1:5" ht="12.75" customHeight="1" x14ac:dyDescent="0.2">
      <c r="A4" s="27">
        <v>-55</v>
      </c>
      <c r="B4" s="28">
        <v>6</v>
      </c>
      <c r="C4" s="27">
        <v>300</v>
      </c>
      <c r="D4" s="26">
        <v>343.15</v>
      </c>
      <c r="E4" s="26">
        <v>129.41999999999999</v>
      </c>
    </row>
    <row r="5" spans="1:5" ht="12.75" customHeight="1" x14ac:dyDescent="0.2">
      <c r="A5" s="27">
        <v>-55</v>
      </c>
      <c r="B5" s="28">
        <v>6</v>
      </c>
      <c r="C5" s="27">
        <v>500</v>
      </c>
      <c r="D5" s="26">
        <v>310.89999999999998</v>
      </c>
      <c r="E5" s="26">
        <v>129.74</v>
      </c>
    </row>
    <row r="6" spans="1:5" ht="12.75" customHeight="1" x14ac:dyDescent="0.2">
      <c r="A6" s="27">
        <v>-55</v>
      </c>
      <c r="B6" s="28">
        <v>6</v>
      </c>
      <c r="C6" s="27">
        <v>700</v>
      </c>
      <c r="D6" s="26">
        <v>299.01</v>
      </c>
      <c r="E6" s="26">
        <v>129.88999999999999</v>
      </c>
    </row>
    <row r="7" spans="1:5" ht="12.75" customHeight="1" x14ac:dyDescent="0.2">
      <c r="A7" s="27">
        <v>-55</v>
      </c>
      <c r="B7" s="28">
        <v>6</v>
      </c>
      <c r="C7" s="27">
        <v>1000</v>
      </c>
      <c r="D7" s="26">
        <v>281.17</v>
      </c>
      <c r="E7" s="26">
        <v>130.13</v>
      </c>
    </row>
    <row r="8" spans="1:5" ht="12.75" customHeight="1" x14ac:dyDescent="0.2">
      <c r="A8" s="27">
        <v>-55</v>
      </c>
      <c r="B8" s="28">
        <v>6</v>
      </c>
      <c r="C8" s="27">
        <v>1300</v>
      </c>
      <c r="D8" s="26">
        <v>263.33</v>
      </c>
      <c r="E8" s="26">
        <v>130.36000000000001</v>
      </c>
    </row>
    <row r="9" spans="1:5" ht="12.75" customHeight="1" x14ac:dyDescent="0.2">
      <c r="A9" s="27">
        <v>-55</v>
      </c>
      <c r="B9" s="28">
        <v>6</v>
      </c>
      <c r="C9" s="27">
        <v>1600</v>
      </c>
      <c r="D9" s="26">
        <v>245.49</v>
      </c>
      <c r="E9" s="26">
        <v>130.59</v>
      </c>
    </row>
    <row r="10" spans="1:5" ht="12.75" customHeight="1" x14ac:dyDescent="0.2">
      <c r="A10" s="27">
        <v>-55</v>
      </c>
      <c r="B10" s="28">
        <v>6.5</v>
      </c>
      <c r="C10" s="27">
        <v>50</v>
      </c>
      <c r="D10" s="26">
        <v>420.54</v>
      </c>
      <c r="E10" s="26">
        <v>128.86000000000001</v>
      </c>
    </row>
    <row r="11" spans="1:5" ht="12.75" customHeight="1" x14ac:dyDescent="0.2">
      <c r="A11" s="27">
        <v>-55</v>
      </c>
      <c r="B11" s="28">
        <v>6.5</v>
      </c>
      <c r="C11" s="27">
        <v>100</v>
      </c>
      <c r="D11" s="26">
        <v>400.19</v>
      </c>
      <c r="E11" s="26">
        <v>129.01</v>
      </c>
    </row>
    <row r="12" spans="1:5" ht="12.75" customHeight="1" x14ac:dyDescent="0.2">
      <c r="A12" s="27">
        <v>-55</v>
      </c>
      <c r="B12" s="28">
        <v>6.5</v>
      </c>
      <c r="C12" s="27">
        <v>300</v>
      </c>
      <c r="D12" s="26">
        <v>318.77999999999997</v>
      </c>
      <c r="E12" s="26">
        <v>129.62</v>
      </c>
    </row>
    <row r="13" spans="1:5" ht="12.75" customHeight="1" x14ac:dyDescent="0.2">
      <c r="A13" s="27">
        <v>-55</v>
      </c>
      <c r="B13" s="28">
        <v>6.5</v>
      </c>
      <c r="C13" s="27">
        <v>500</v>
      </c>
      <c r="D13" s="26">
        <v>286.89</v>
      </c>
      <c r="E13" s="26">
        <v>129.97</v>
      </c>
    </row>
    <row r="14" spans="1:5" ht="12.75" customHeight="1" x14ac:dyDescent="0.2">
      <c r="A14" s="27">
        <v>-55</v>
      </c>
      <c r="B14" s="28">
        <v>6.5</v>
      </c>
      <c r="C14" s="27">
        <v>700</v>
      </c>
      <c r="D14" s="26">
        <v>275.29000000000002</v>
      </c>
      <c r="E14" s="26">
        <v>130.13999999999999</v>
      </c>
    </row>
    <row r="15" spans="1:5" ht="12.75" customHeight="1" x14ac:dyDescent="0.2">
      <c r="A15" s="27">
        <v>-55</v>
      </c>
      <c r="B15" s="28">
        <v>6.5</v>
      </c>
      <c r="C15" s="27">
        <v>1000</v>
      </c>
      <c r="D15" s="26">
        <v>257.89</v>
      </c>
      <c r="E15" s="26">
        <v>130.4</v>
      </c>
    </row>
    <row r="16" spans="1:5" ht="12.75" customHeight="1" x14ac:dyDescent="0.2">
      <c r="A16" s="27">
        <v>-55</v>
      </c>
      <c r="B16" s="28">
        <v>6.5</v>
      </c>
      <c r="C16" s="27">
        <v>1300</v>
      </c>
      <c r="D16" s="26">
        <v>240.48</v>
      </c>
      <c r="E16" s="26">
        <v>130.65</v>
      </c>
    </row>
    <row r="17" spans="1:5" ht="12.75" customHeight="1" x14ac:dyDescent="0.2">
      <c r="A17" s="27">
        <v>-55</v>
      </c>
      <c r="B17" s="28">
        <v>6.5</v>
      </c>
      <c r="C17" s="27">
        <v>1600</v>
      </c>
      <c r="D17" s="26">
        <v>223.08</v>
      </c>
      <c r="E17" s="26">
        <v>130.91</v>
      </c>
    </row>
    <row r="18" spans="1:5" ht="12.75" customHeight="1" x14ac:dyDescent="0.2">
      <c r="A18" s="27">
        <v>-55</v>
      </c>
      <c r="B18" s="28">
        <v>7</v>
      </c>
      <c r="C18" s="27">
        <v>50</v>
      </c>
      <c r="D18" s="26">
        <v>396.46</v>
      </c>
      <c r="E18" s="26">
        <v>129</v>
      </c>
    </row>
    <row r="19" spans="1:5" ht="12.75" customHeight="1" x14ac:dyDescent="0.2">
      <c r="A19" s="27">
        <v>-55</v>
      </c>
      <c r="B19" s="28">
        <v>7</v>
      </c>
      <c r="C19" s="27">
        <v>100</v>
      </c>
      <c r="D19" s="26">
        <v>376.05</v>
      </c>
      <c r="E19" s="26">
        <v>129.16</v>
      </c>
    </row>
    <row r="20" spans="1:5" ht="12.75" customHeight="1" x14ac:dyDescent="0.2">
      <c r="A20" s="27">
        <v>-55</v>
      </c>
      <c r="B20" s="28">
        <v>7</v>
      </c>
      <c r="C20" s="27">
        <v>300</v>
      </c>
      <c r="D20" s="26">
        <v>294.39999999999998</v>
      </c>
      <c r="E20" s="26">
        <v>129.82</v>
      </c>
    </row>
    <row r="21" spans="1:5" ht="12.75" customHeight="1" x14ac:dyDescent="0.2">
      <c r="A21" s="27">
        <v>-55</v>
      </c>
      <c r="B21" s="28">
        <v>7</v>
      </c>
      <c r="C21" s="27">
        <v>500</v>
      </c>
      <c r="D21" s="26">
        <v>262.89</v>
      </c>
      <c r="E21" s="26">
        <v>130.19999999999999</v>
      </c>
    </row>
    <row r="22" spans="1:5" ht="12.75" customHeight="1" x14ac:dyDescent="0.2">
      <c r="A22" s="27">
        <v>-55</v>
      </c>
      <c r="B22" s="28">
        <v>7</v>
      </c>
      <c r="C22" s="27">
        <v>700</v>
      </c>
      <c r="D22" s="26">
        <v>251.58</v>
      </c>
      <c r="E22" s="26">
        <v>130.38999999999999</v>
      </c>
    </row>
    <row r="23" spans="1:5" ht="12.75" customHeight="1" x14ac:dyDescent="0.2">
      <c r="A23" s="27">
        <v>-55</v>
      </c>
      <c r="B23" s="28">
        <v>7</v>
      </c>
      <c r="C23" s="27">
        <v>1000</v>
      </c>
      <c r="D23" s="26">
        <v>234.61</v>
      </c>
      <c r="E23" s="26">
        <v>130.66999999999999</v>
      </c>
    </row>
    <row r="24" spans="1:5" ht="12.75" customHeight="1" x14ac:dyDescent="0.2">
      <c r="A24" s="27">
        <v>-55</v>
      </c>
      <c r="B24" s="28">
        <v>7</v>
      </c>
      <c r="C24" s="27">
        <v>1300</v>
      </c>
      <c r="D24" s="26">
        <v>217.64</v>
      </c>
      <c r="E24" s="26">
        <v>130.94</v>
      </c>
    </row>
    <row r="25" spans="1:5" ht="12.75" customHeight="1" x14ac:dyDescent="0.2">
      <c r="A25" s="27">
        <v>-55</v>
      </c>
      <c r="B25" s="28">
        <v>7</v>
      </c>
      <c r="C25" s="27">
        <v>1600</v>
      </c>
      <c r="D25" s="26">
        <v>200.67</v>
      </c>
      <c r="E25" s="26">
        <v>131.22</v>
      </c>
    </row>
    <row r="26" spans="1:5" ht="12.75" customHeight="1" x14ac:dyDescent="0.2">
      <c r="A26" s="27">
        <v>-55</v>
      </c>
      <c r="B26" s="28">
        <v>7.5</v>
      </c>
      <c r="C26" s="27">
        <v>50</v>
      </c>
      <c r="D26" s="26">
        <v>372.37</v>
      </c>
      <c r="E26" s="26">
        <v>129.13</v>
      </c>
    </row>
    <row r="27" spans="1:5" ht="12.75" customHeight="1" x14ac:dyDescent="0.2">
      <c r="A27" s="27">
        <v>-55</v>
      </c>
      <c r="B27" s="28">
        <v>7.5</v>
      </c>
      <c r="C27" s="27">
        <v>100</v>
      </c>
      <c r="D27" s="26">
        <v>351.9</v>
      </c>
      <c r="E27" s="26">
        <v>129.31</v>
      </c>
    </row>
    <row r="28" spans="1:5" ht="12.75" customHeight="1" x14ac:dyDescent="0.2">
      <c r="A28" s="27">
        <v>-55</v>
      </c>
      <c r="B28" s="28">
        <v>7.5</v>
      </c>
      <c r="C28" s="27">
        <v>300</v>
      </c>
      <c r="D28" s="26">
        <v>270.02999999999997</v>
      </c>
      <c r="E28" s="26">
        <v>130.02000000000001</v>
      </c>
    </row>
    <row r="29" spans="1:5" ht="12.75" customHeight="1" x14ac:dyDescent="0.2">
      <c r="A29" s="27">
        <v>-55</v>
      </c>
      <c r="B29" s="28">
        <v>7.5</v>
      </c>
      <c r="C29" s="27">
        <v>500</v>
      </c>
      <c r="D29" s="26">
        <v>238.88</v>
      </c>
      <c r="E29" s="26">
        <v>130.43</v>
      </c>
    </row>
    <row r="30" spans="1:5" ht="12.75" customHeight="1" x14ac:dyDescent="0.2">
      <c r="A30" s="27">
        <v>-55</v>
      </c>
      <c r="B30" s="28">
        <v>7.5</v>
      </c>
      <c r="C30" s="27">
        <v>700</v>
      </c>
      <c r="D30" s="26">
        <v>227.86</v>
      </c>
      <c r="E30" s="26">
        <v>130.63</v>
      </c>
    </row>
    <row r="31" spans="1:5" ht="12.75" customHeight="1" x14ac:dyDescent="0.2">
      <c r="A31" s="27">
        <v>-55</v>
      </c>
      <c r="B31" s="28">
        <v>7.5</v>
      </c>
      <c r="C31" s="27">
        <v>1000</v>
      </c>
      <c r="D31" s="26">
        <v>211.33</v>
      </c>
      <c r="E31" s="26">
        <v>130.94</v>
      </c>
    </row>
    <row r="32" spans="1:5" ht="12.75" customHeight="1" x14ac:dyDescent="0.2">
      <c r="A32" s="27">
        <v>-55</v>
      </c>
      <c r="B32" s="28">
        <v>7.5</v>
      </c>
      <c r="C32" s="27">
        <v>1300</v>
      </c>
      <c r="D32" s="26">
        <v>194.79</v>
      </c>
      <c r="E32" s="26">
        <v>131.24</v>
      </c>
    </row>
    <row r="33" spans="1:5" ht="12.75" customHeight="1" x14ac:dyDescent="0.2">
      <c r="A33" s="27">
        <v>-55</v>
      </c>
      <c r="B33" s="28">
        <v>7.5</v>
      </c>
      <c r="C33" s="27">
        <v>1600</v>
      </c>
      <c r="D33" s="26">
        <v>178.26</v>
      </c>
      <c r="E33" s="26">
        <v>131.54</v>
      </c>
    </row>
    <row r="34" spans="1:5" ht="12.75" customHeight="1" x14ac:dyDescent="0.2">
      <c r="A34" s="27">
        <v>-55</v>
      </c>
      <c r="B34" s="28">
        <v>8</v>
      </c>
      <c r="C34" s="27">
        <v>50</v>
      </c>
      <c r="D34" s="26">
        <v>344.83</v>
      </c>
      <c r="E34" s="26">
        <v>129.43</v>
      </c>
    </row>
    <row r="35" spans="1:5" ht="12.75" customHeight="1" x14ac:dyDescent="0.2">
      <c r="A35" s="27">
        <v>-55</v>
      </c>
      <c r="B35" s="28">
        <v>8</v>
      </c>
      <c r="C35" s="27">
        <v>100</v>
      </c>
      <c r="D35" s="26">
        <v>324.39999999999998</v>
      </c>
      <c r="E35" s="26">
        <v>129.65</v>
      </c>
    </row>
    <row r="36" spans="1:5" ht="12.75" customHeight="1" x14ac:dyDescent="0.2">
      <c r="A36" s="27">
        <v>-55</v>
      </c>
      <c r="B36" s="28">
        <v>8</v>
      </c>
      <c r="C36" s="27">
        <v>300</v>
      </c>
      <c r="D36" s="26">
        <v>242.67</v>
      </c>
      <c r="E36" s="26">
        <v>130.55000000000001</v>
      </c>
    </row>
    <row r="37" spans="1:5" ht="12.75" customHeight="1" x14ac:dyDescent="0.2">
      <c r="A37" s="27">
        <v>-55</v>
      </c>
      <c r="B37" s="28">
        <v>8</v>
      </c>
      <c r="C37" s="27">
        <v>500</v>
      </c>
      <c r="D37" s="26">
        <v>212.08</v>
      </c>
      <c r="E37" s="26">
        <v>131.05000000000001</v>
      </c>
    </row>
    <row r="38" spans="1:5" ht="12.75" customHeight="1" x14ac:dyDescent="0.2">
      <c r="A38" s="27">
        <v>-55</v>
      </c>
      <c r="B38" s="28">
        <v>8</v>
      </c>
      <c r="C38" s="27">
        <v>700</v>
      </c>
      <c r="D38" s="26">
        <v>201.43</v>
      </c>
      <c r="E38" s="26">
        <v>131.29</v>
      </c>
    </row>
    <row r="39" spans="1:5" ht="12.75" customHeight="1" x14ac:dyDescent="0.2">
      <c r="A39" s="27">
        <v>-55</v>
      </c>
      <c r="B39" s="28">
        <v>8</v>
      </c>
      <c r="C39" s="27">
        <v>1000</v>
      </c>
      <c r="D39" s="26">
        <v>185.45</v>
      </c>
      <c r="E39" s="26">
        <v>131.65</v>
      </c>
    </row>
    <row r="40" spans="1:5" ht="12.75" customHeight="1" x14ac:dyDescent="0.2">
      <c r="A40" s="27">
        <v>-55</v>
      </c>
      <c r="B40" s="28">
        <v>8</v>
      </c>
      <c r="C40" s="27">
        <v>1300</v>
      </c>
      <c r="D40" s="26">
        <v>169.46</v>
      </c>
      <c r="E40" s="26">
        <v>132</v>
      </c>
    </row>
    <row r="41" spans="1:5" ht="12.75" customHeight="1" x14ac:dyDescent="0.2">
      <c r="A41" s="27">
        <v>-55</v>
      </c>
      <c r="B41" s="28">
        <v>8</v>
      </c>
      <c r="C41" s="27">
        <v>1600</v>
      </c>
      <c r="D41" s="26">
        <v>153.47999999999999</v>
      </c>
      <c r="E41" s="26">
        <v>132.36000000000001</v>
      </c>
    </row>
    <row r="42" spans="1:5" ht="12.75" customHeight="1" x14ac:dyDescent="0.2">
      <c r="A42" s="27">
        <v>-55</v>
      </c>
      <c r="B42" s="28">
        <v>8.5</v>
      </c>
      <c r="C42" s="27">
        <v>50</v>
      </c>
      <c r="D42" s="26">
        <v>330.18</v>
      </c>
      <c r="E42" s="26">
        <v>129.54</v>
      </c>
    </row>
    <row r="43" spans="1:5" ht="12.75" customHeight="1" x14ac:dyDescent="0.2">
      <c r="A43" s="27">
        <v>-55</v>
      </c>
      <c r="B43" s="28">
        <v>8.5</v>
      </c>
      <c r="C43" s="27">
        <v>100</v>
      </c>
      <c r="D43" s="26">
        <v>309.68</v>
      </c>
      <c r="E43" s="26">
        <v>129.78</v>
      </c>
    </row>
    <row r="44" spans="1:5" ht="12.75" customHeight="1" x14ac:dyDescent="0.2">
      <c r="A44" s="27">
        <v>-55</v>
      </c>
      <c r="B44" s="28">
        <v>8.5</v>
      </c>
      <c r="C44" s="27">
        <v>300</v>
      </c>
      <c r="D44" s="26">
        <v>227.69</v>
      </c>
      <c r="E44" s="26">
        <v>130.74</v>
      </c>
    </row>
    <row r="45" spans="1:5" ht="12.75" customHeight="1" x14ac:dyDescent="0.2">
      <c r="A45" s="27">
        <v>-55</v>
      </c>
      <c r="B45" s="28">
        <v>8.5</v>
      </c>
      <c r="C45" s="27">
        <v>500</v>
      </c>
      <c r="D45" s="26">
        <v>197.5</v>
      </c>
      <c r="E45" s="26">
        <v>131.27000000000001</v>
      </c>
    </row>
    <row r="46" spans="1:5" ht="12.75" customHeight="1" x14ac:dyDescent="0.2">
      <c r="A46" s="27">
        <v>-55</v>
      </c>
      <c r="B46" s="28">
        <v>8.5</v>
      </c>
      <c r="C46" s="27">
        <v>700</v>
      </c>
      <c r="D46" s="26">
        <v>187.14</v>
      </c>
      <c r="E46" s="26">
        <v>131.52000000000001</v>
      </c>
    </row>
    <row r="47" spans="1:5" ht="12.75" customHeight="1" x14ac:dyDescent="0.2">
      <c r="A47" s="27">
        <v>-55</v>
      </c>
      <c r="B47" s="28">
        <v>8.5</v>
      </c>
      <c r="C47" s="27">
        <v>1000</v>
      </c>
      <c r="D47" s="26">
        <v>171.59</v>
      </c>
      <c r="E47" s="26">
        <v>131.9</v>
      </c>
    </row>
    <row r="48" spans="1:5" ht="12.75" customHeight="1" x14ac:dyDescent="0.2">
      <c r="A48" s="27">
        <v>-55</v>
      </c>
      <c r="B48" s="28">
        <v>8.5</v>
      </c>
      <c r="C48" s="27">
        <v>1300</v>
      </c>
      <c r="D48" s="26">
        <v>156.04</v>
      </c>
      <c r="E48" s="26">
        <v>132.28</v>
      </c>
    </row>
    <row r="49" spans="1:5" ht="12.75" customHeight="1" x14ac:dyDescent="0.2">
      <c r="A49" s="27">
        <v>-55</v>
      </c>
      <c r="B49" s="28">
        <v>8.5</v>
      </c>
      <c r="C49" s="27">
        <v>1600</v>
      </c>
      <c r="D49" s="26">
        <v>140.5</v>
      </c>
      <c r="E49" s="26">
        <v>132.66</v>
      </c>
    </row>
    <row r="50" spans="1:5" ht="12.75" customHeight="1" x14ac:dyDescent="0.2">
      <c r="A50" s="27">
        <v>-55</v>
      </c>
      <c r="B50" s="28">
        <v>9</v>
      </c>
      <c r="C50" s="27">
        <v>50</v>
      </c>
      <c r="D50" s="26">
        <v>315.54000000000002</v>
      </c>
      <c r="E50" s="26">
        <v>129.66999999999999</v>
      </c>
    </row>
    <row r="51" spans="1:5" ht="12.75" customHeight="1" x14ac:dyDescent="0.2">
      <c r="A51" s="27">
        <v>-55</v>
      </c>
      <c r="B51" s="28">
        <v>9</v>
      </c>
      <c r="C51" s="27">
        <v>100</v>
      </c>
      <c r="D51" s="26">
        <v>294.97000000000003</v>
      </c>
      <c r="E51" s="26">
        <v>129.91999999999999</v>
      </c>
    </row>
    <row r="52" spans="1:5" ht="12.75" customHeight="1" x14ac:dyDescent="0.2">
      <c r="A52" s="27">
        <v>-55</v>
      </c>
      <c r="B52" s="28">
        <v>9</v>
      </c>
      <c r="C52" s="27">
        <v>300</v>
      </c>
      <c r="D52" s="26">
        <v>212.71</v>
      </c>
      <c r="E52" s="26">
        <v>130.93</v>
      </c>
    </row>
    <row r="53" spans="1:5" ht="12.75" customHeight="1" x14ac:dyDescent="0.2">
      <c r="A53" s="27">
        <v>-55</v>
      </c>
      <c r="B53" s="28">
        <v>9</v>
      </c>
      <c r="C53" s="27">
        <v>500</v>
      </c>
      <c r="D53" s="26">
        <v>182.92</v>
      </c>
      <c r="E53" s="26">
        <v>131.49</v>
      </c>
    </row>
    <row r="54" spans="1:5" ht="12.75" customHeight="1" x14ac:dyDescent="0.2">
      <c r="A54" s="27">
        <v>-55</v>
      </c>
      <c r="B54" s="28">
        <v>9</v>
      </c>
      <c r="C54" s="27">
        <v>700</v>
      </c>
      <c r="D54" s="26">
        <v>172.84</v>
      </c>
      <c r="E54" s="26">
        <v>131.76</v>
      </c>
    </row>
    <row r="55" spans="1:5" ht="12.75" customHeight="1" x14ac:dyDescent="0.2">
      <c r="A55" s="27">
        <v>-55</v>
      </c>
      <c r="B55" s="28">
        <v>9</v>
      </c>
      <c r="C55" s="27">
        <v>1000</v>
      </c>
      <c r="D55" s="26">
        <v>157.72999999999999</v>
      </c>
      <c r="E55" s="26">
        <v>132.16</v>
      </c>
    </row>
    <row r="56" spans="1:5" ht="12.75" customHeight="1" x14ac:dyDescent="0.2">
      <c r="A56" s="27">
        <v>-55</v>
      </c>
      <c r="B56" s="28">
        <v>9</v>
      </c>
      <c r="C56" s="27">
        <v>1300</v>
      </c>
      <c r="D56" s="26">
        <v>142.62</v>
      </c>
      <c r="E56" s="26">
        <v>132.56</v>
      </c>
    </row>
    <row r="57" spans="1:5" ht="12.75" customHeight="1" x14ac:dyDescent="0.2">
      <c r="A57" s="27">
        <v>-55</v>
      </c>
      <c r="B57" s="28">
        <v>9</v>
      </c>
      <c r="C57" s="27">
        <v>1600</v>
      </c>
      <c r="D57" s="26">
        <v>127.5</v>
      </c>
      <c r="E57" s="26">
        <v>132.96</v>
      </c>
    </row>
    <row r="58" spans="1:5" ht="12.75" customHeight="1" x14ac:dyDescent="0.2">
      <c r="A58" s="27">
        <v>-55</v>
      </c>
      <c r="B58" s="28">
        <v>9.5</v>
      </c>
      <c r="C58" s="27">
        <v>50</v>
      </c>
      <c r="D58" s="26">
        <v>297.44</v>
      </c>
      <c r="E58" s="26">
        <v>129.96</v>
      </c>
    </row>
    <row r="59" spans="1:5" ht="12.75" customHeight="1" x14ac:dyDescent="0.2">
      <c r="A59" s="27">
        <v>-55</v>
      </c>
      <c r="B59" s="28">
        <v>9.5</v>
      </c>
      <c r="C59" s="27">
        <v>100</v>
      </c>
      <c r="D59" s="26">
        <v>276.89999999999998</v>
      </c>
      <c r="E59" s="26">
        <v>130.27000000000001</v>
      </c>
    </row>
    <row r="60" spans="1:5" ht="12.75" customHeight="1" x14ac:dyDescent="0.2">
      <c r="A60" s="27">
        <v>-55</v>
      </c>
      <c r="B60" s="28">
        <v>9.5</v>
      </c>
      <c r="C60" s="27">
        <v>300</v>
      </c>
      <c r="D60" s="26">
        <v>194.73</v>
      </c>
      <c r="E60" s="26">
        <v>131.51</v>
      </c>
    </row>
    <row r="61" spans="1:5" ht="12.75" customHeight="1" x14ac:dyDescent="0.2">
      <c r="A61" s="27">
        <v>-55</v>
      </c>
      <c r="B61" s="28">
        <v>9.5</v>
      </c>
      <c r="C61" s="27">
        <v>500</v>
      </c>
      <c r="D61" s="26">
        <v>165.53</v>
      </c>
      <c r="E61" s="26">
        <v>132.16999999999999</v>
      </c>
    </row>
    <row r="62" spans="1:5" ht="12.75" customHeight="1" x14ac:dyDescent="0.2">
      <c r="A62" s="27">
        <v>-55</v>
      </c>
      <c r="B62" s="28">
        <v>9.5</v>
      </c>
      <c r="C62" s="27">
        <v>700</v>
      </c>
      <c r="D62" s="26">
        <v>155.83000000000001</v>
      </c>
      <c r="E62" s="26">
        <v>132.47</v>
      </c>
    </row>
    <row r="63" spans="1:5" ht="12.75" customHeight="1" x14ac:dyDescent="0.2">
      <c r="A63" s="27">
        <v>-55</v>
      </c>
      <c r="B63" s="28">
        <v>9.5</v>
      </c>
      <c r="C63" s="27">
        <v>1000</v>
      </c>
      <c r="D63" s="26">
        <v>141.28</v>
      </c>
      <c r="E63" s="26">
        <v>132.93</v>
      </c>
    </row>
    <row r="64" spans="1:5" ht="12.75" customHeight="1" x14ac:dyDescent="0.2">
      <c r="A64" s="27">
        <v>-55</v>
      </c>
      <c r="B64" s="28">
        <v>9.5</v>
      </c>
      <c r="C64" s="27">
        <v>1300</v>
      </c>
      <c r="D64" s="26">
        <v>126.73</v>
      </c>
      <c r="E64" s="26">
        <v>133.38999999999999</v>
      </c>
    </row>
    <row r="65" spans="1:5" ht="12.75" customHeight="1" x14ac:dyDescent="0.2">
      <c r="A65" s="27">
        <v>-55</v>
      </c>
      <c r="B65" s="28">
        <v>9.5</v>
      </c>
      <c r="C65" s="27">
        <v>1600</v>
      </c>
      <c r="D65" s="26">
        <v>112.18</v>
      </c>
      <c r="E65" s="26">
        <v>133.84</v>
      </c>
    </row>
    <row r="66" spans="1:5" ht="12.75" customHeight="1" x14ac:dyDescent="0.2">
      <c r="A66" s="27">
        <v>-55</v>
      </c>
      <c r="B66" s="28">
        <v>10</v>
      </c>
      <c r="C66" s="27">
        <v>50</v>
      </c>
      <c r="D66" s="26">
        <v>279.36</v>
      </c>
      <c r="E66" s="26">
        <v>130.27000000000001</v>
      </c>
    </row>
    <row r="67" spans="1:5" ht="12.75" customHeight="1" x14ac:dyDescent="0.2">
      <c r="A67" s="27">
        <v>-55</v>
      </c>
      <c r="B67" s="28">
        <v>10</v>
      </c>
      <c r="C67" s="27">
        <v>100</v>
      </c>
      <c r="D67" s="26">
        <v>258.83</v>
      </c>
      <c r="E67" s="26">
        <v>130.63999999999999</v>
      </c>
    </row>
    <row r="68" spans="1:5" ht="12.75" customHeight="1" x14ac:dyDescent="0.2">
      <c r="A68" s="27">
        <v>-55</v>
      </c>
      <c r="B68" s="28">
        <v>10</v>
      </c>
      <c r="C68" s="27">
        <v>300</v>
      </c>
      <c r="D68" s="26">
        <v>176.72</v>
      </c>
      <c r="E68" s="26">
        <v>132.13999999999999</v>
      </c>
    </row>
    <row r="69" spans="1:5" ht="12.75" customHeight="1" x14ac:dyDescent="0.2">
      <c r="A69" s="27">
        <v>-55</v>
      </c>
      <c r="B69" s="28">
        <v>10</v>
      </c>
      <c r="C69" s="27">
        <v>500</v>
      </c>
      <c r="D69" s="26">
        <v>148.13</v>
      </c>
      <c r="E69" s="26">
        <v>132.9</v>
      </c>
    </row>
    <row r="70" spans="1:5" ht="12.75" customHeight="1" x14ac:dyDescent="0.2">
      <c r="A70" s="27">
        <v>-55</v>
      </c>
      <c r="B70" s="28">
        <v>10</v>
      </c>
      <c r="C70" s="27">
        <v>700</v>
      </c>
      <c r="D70" s="26">
        <v>138.81</v>
      </c>
      <c r="E70" s="26">
        <v>133.24</v>
      </c>
    </row>
    <row r="71" spans="1:5" ht="12.75" customHeight="1" x14ac:dyDescent="0.2">
      <c r="A71" s="27">
        <v>-55</v>
      </c>
      <c r="B71" s="28">
        <v>10</v>
      </c>
      <c r="C71" s="27">
        <v>1000</v>
      </c>
      <c r="D71" s="26">
        <v>124.84</v>
      </c>
      <c r="E71" s="26">
        <v>133.76</v>
      </c>
    </row>
    <row r="72" spans="1:5" ht="12.75" customHeight="1" x14ac:dyDescent="0.2">
      <c r="A72" s="27">
        <v>-55</v>
      </c>
      <c r="B72" s="28">
        <v>10</v>
      </c>
      <c r="C72" s="27">
        <v>1300</v>
      </c>
      <c r="D72" s="26">
        <v>110.87</v>
      </c>
      <c r="E72" s="26">
        <v>134.27000000000001</v>
      </c>
    </row>
    <row r="73" spans="1:5" ht="12.75" customHeight="1" x14ac:dyDescent="0.2">
      <c r="A73" s="27">
        <v>-55</v>
      </c>
      <c r="B73" s="28">
        <v>10</v>
      </c>
      <c r="C73" s="27">
        <v>1600</v>
      </c>
      <c r="D73" s="26">
        <v>96.89</v>
      </c>
      <c r="E73" s="26">
        <v>134.78</v>
      </c>
    </row>
    <row r="74" spans="1:5" ht="12.75" customHeight="1" x14ac:dyDescent="0.2">
      <c r="A74" s="27">
        <v>-55</v>
      </c>
      <c r="B74" s="28">
        <v>10.5</v>
      </c>
      <c r="C74" s="27">
        <v>50</v>
      </c>
      <c r="D74" s="26">
        <v>272.97000000000003</v>
      </c>
      <c r="E74" s="26">
        <v>130.19999999999999</v>
      </c>
    </row>
    <row r="75" spans="1:5" ht="12.75" customHeight="1" x14ac:dyDescent="0.2">
      <c r="A75" s="27">
        <v>-55</v>
      </c>
      <c r="B75" s="28">
        <v>10.5</v>
      </c>
      <c r="C75" s="27">
        <v>100</v>
      </c>
      <c r="D75" s="26">
        <v>252.28</v>
      </c>
      <c r="E75" s="26">
        <v>130.54</v>
      </c>
    </row>
    <row r="76" spans="1:5" ht="12.75" customHeight="1" x14ac:dyDescent="0.2">
      <c r="A76" s="27">
        <v>-55</v>
      </c>
      <c r="B76" s="28">
        <v>10.5</v>
      </c>
      <c r="C76" s="27">
        <v>300</v>
      </c>
      <c r="D76" s="26">
        <v>169.52</v>
      </c>
      <c r="E76" s="26">
        <v>131.9</v>
      </c>
    </row>
    <row r="77" spans="1:5" ht="12.75" customHeight="1" x14ac:dyDescent="0.2">
      <c r="A77" s="27">
        <v>-55</v>
      </c>
      <c r="B77" s="28">
        <v>10.5</v>
      </c>
      <c r="C77" s="27">
        <v>500</v>
      </c>
      <c r="D77" s="26">
        <v>141.16</v>
      </c>
      <c r="E77" s="26">
        <v>132.62</v>
      </c>
    </row>
    <row r="78" spans="1:5" ht="12.75" customHeight="1" x14ac:dyDescent="0.2">
      <c r="A78" s="27">
        <v>-55</v>
      </c>
      <c r="B78" s="28">
        <v>10.5</v>
      </c>
      <c r="C78" s="27">
        <v>700</v>
      </c>
      <c r="D78" s="26">
        <v>132.04</v>
      </c>
      <c r="E78" s="26">
        <v>132.94999999999999</v>
      </c>
    </row>
    <row r="79" spans="1:5" ht="12.75" customHeight="1" x14ac:dyDescent="0.2">
      <c r="A79" s="27">
        <v>-55</v>
      </c>
      <c r="B79" s="28">
        <v>10.5</v>
      </c>
      <c r="C79" s="27">
        <v>1000</v>
      </c>
      <c r="D79" s="26">
        <v>118.37</v>
      </c>
      <c r="E79" s="26">
        <v>133.44999999999999</v>
      </c>
    </row>
    <row r="80" spans="1:5" ht="12.75" customHeight="1" x14ac:dyDescent="0.2">
      <c r="A80" s="27">
        <v>-55</v>
      </c>
      <c r="B80" s="28">
        <v>10.5</v>
      </c>
      <c r="C80" s="27">
        <v>1300</v>
      </c>
      <c r="D80" s="26">
        <v>104.7</v>
      </c>
      <c r="E80" s="26">
        <v>133.94</v>
      </c>
    </row>
    <row r="81" spans="1:5" ht="12.75" customHeight="1" x14ac:dyDescent="0.2">
      <c r="A81" s="27">
        <v>-55</v>
      </c>
      <c r="B81" s="28">
        <v>10.5</v>
      </c>
      <c r="C81" s="27">
        <v>1600</v>
      </c>
      <c r="D81" s="26">
        <v>91.02</v>
      </c>
      <c r="E81" s="26">
        <v>134.44</v>
      </c>
    </row>
    <row r="82" spans="1:5" ht="12.75" customHeight="1" x14ac:dyDescent="0.2">
      <c r="A82" s="27">
        <v>-55</v>
      </c>
      <c r="B82" s="28">
        <v>11</v>
      </c>
      <c r="C82" s="27">
        <v>50</v>
      </c>
      <c r="D82" s="26">
        <v>263.14999999999998</v>
      </c>
      <c r="E82" s="26">
        <v>130.30000000000001</v>
      </c>
    </row>
    <row r="83" spans="1:5" ht="12.75" customHeight="1" x14ac:dyDescent="0.2">
      <c r="A83" s="27">
        <v>-55</v>
      </c>
      <c r="B83" s="28">
        <v>11</v>
      </c>
      <c r="C83" s="27">
        <v>100</v>
      </c>
      <c r="D83" s="26">
        <v>242.38</v>
      </c>
      <c r="E83" s="26">
        <v>130.66</v>
      </c>
    </row>
    <row r="84" spans="1:5" ht="12.75" customHeight="1" x14ac:dyDescent="0.2">
      <c r="A84" s="27">
        <v>-55</v>
      </c>
      <c r="B84" s="28">
        <v>11</v>
      </c>
      <c r="C84" s="27">
        <v>300</v>
      </c>
      <c r="D84" s="26">
        <v>159.30000000000001</v>
      </c>
      <c r="E84" s="26">
        <v>132.09</v>
      </c>
    </row>
    <row r="85" spans="1:5" ht="12.75" customHeight="1" x14ac:dyDescent="0.2">
      <c r="A85" s="27">
        <v>-55</v>
      </c>
      <c r="B85" s="28">
        <v>11</v>
      </c>
      <c r="C85" s="27">
        <v>500</v>
      </c>
      <c r="D85" s="26">
        <v>131.37</v>
      </c>
      <c r="E85" s="26">
        <v>132.83000000000001</v>
      </c>
    </row>
    <row r="86" spans="1:5" ht="12.75" customHeight="1" x14ac:dyDescent="0.2">
      <c r="A86" s="27">
        <v>-55</v>
      </c>
      <c r="B86" s="28">
        <v>11</v>
      </c>
      <c r="C86" s="27">
        <v>700</v>
      </c>
      <c r="D86" s="26">
        <v>122.55</v>
      </c>
      <c r="E86" s="26">
        <v>133.16999999999999</v>
      </c>
    </row>
    <row r="87" spans="1:5" ht="12.75" customHeight="1" x14ac:dyDescent="0.2">
      <c r="A87" s="27">
        <v>-55</v>
      </c>
      <c r="B87" s="28">
        <v>11</v>
      </c>
      <c r="C87" s="27">
        <v>1000</v>
      </c>
      <c r="D87" s="26">
        <v>109.31</v>
      </c>
      <c r="E87" s="26">
        <v>133.68</v>
      </c>
    </row>
    <row r="88" spans="1:5" ht="12.75" customHeight="1" x14ac:dyDescent="0.2">
      <c r="A88" s="27">
        <v>-55</v>
      </c>
      <c r="B88" s="28">
        <v>11</v>
      </c>
      <c r="C88" s="27">
        <v>1300</v>
      </c>
      <c r="D88" s="26">
        <v>96.07</v>
      </c>
      <c r="E88" s="26">
        <v>134.19</v>
      </c>
    </row>
    <row r="89" spans="1:5" ht="12.75" customHeight="1" x14ac:dyDescent="0.2">
      <c r="A89" s="27">
        <v>-55</v>
      </c>
      <c r="B89" s="28">
        <v>11</v>
      </c>
      <c r="C89" s="27">
        <v>1600</v>
      </c>
      <c r="D89" s="26">
        <v>82.84</v>
      </c>
      <c r="E89" s="26">
        <v>134.69999999999999</v>
      </c>
    </row>
    <row r="90" spans="1:5" ht="12.75" customHeight="1" x14ac:dyDescent="0.2">
      <c r="A90" s="27">
        <v>-55</v>
      </c>
      <c r="B90" s="28">
        <v>11.5</v>
      </c>
      <c r="C90" s="27">
        <v>50</v>
      </c>
      <c r="D90" s="26">
        <v>256.74</v>
      </c>
      <c r="E90" s="26">
        <v>130.22999999999999</v>
      </c>
    </row>
    <row r="91" spans="1:5" ht="12.75" customHeight="1" x14ac:dyDescent="0.2">
      <c r="A91" s="27">
        <v>-55</v>
      </c>
      <c r="B91" s="28">
        <v>11.5</v>
      </c>
      <c r="C91" s="27">
        <v>100</v>
      </c>
      <c r="D91" s="26">
        <v>235.82</v>
      </c>
      <c r="E91" s="26">
        <v>130.54</v>
      </c>
    </row>
    <row r="92" spans="1:5" ht="12.75" customHeight="1" x14ac:dyDescent="0.2">
      <c r="A92" s="27">
        <v>-55</v>
      </c>
      <c r="B92" s="28">
        <v>11.5</v>
      </c>
      <c r="C92" s="27">
        <v>300</v>
      </c>
      <c r="D92" s="26">
        <v>152.13</v>
      </c>
      <c r="E92" s="26">
        <v>131.79</v>
      </c>
    </row>
    <row r="93" spans="1:5" ht="12.75" customHeight="1" x14ac:dyDescent="0.2">
      <c r="A93" s="27">
        <v>-55</v>
      </c>
      <c r="B93" s="28">
        <v>11.5</v>
      </c>
      <c r="C93" s="27">
        <v>500</v>
      </c>
      <c r="D93" s="26">
        <v>124.42</v>
      </c>
      <c r="E93" s="26">
        <v>132.47999999999999</v>
      </c>
    </row>
    <row r="94" spans="1:5" ht="12.75" customHeight="1" x14ac:dyDescent="0.2">
      <c r="A94" s="27">
        <v>-55</v>
      </c>
      <c r="B94" s="28">
        <v>11.5</v>
      </c>
      <c r="C94" s="27">
        <v>700</v>
      </c>
      <c r="D94" s="26">
        <v>115.78</v>
      </c>
      <c r="E94" s="26">
        <v>132.81</v>
      </c>
    </row>
    <row r="95" spans="1:5" ht="12.75" customHeight="1" x14ac:dyDescent="0.2">
      <c r="A95" s="27">
        <v>-55</v>
      </c>
      <c r="B95" s="28">
        <v>11.5</v>
      </c>
      <c r="C95" s="27">
        <v>1000</v>
      </c>
      <c r="D95" s="26">
        <v>102.82</v>
      </c>
      <c r="E95" s="26">
        <v>133.30000000000001</v>
      </c>
    </row>
    <row r="96" spans="1:5" ht="12.75" customHeight="1" x14ac:dyDescent="0.2">
      <c r="A96" s="27">
        <v>-55</v>
      </c>
      <c r="B96" s="28">
        <v>11.5</v>
      </c>
      <c r="C96" s="27">
        <v>1300</v>
      </c>
      <c r="D96" s="26">
        <v>89.86</v>
      </c>
      <c r="E96" s="26">
        <v>133.79</v>
      </c>
    </row>
    <row r="97" spans="1:5" ht="12.75" customHeight="1" x14ac:dyDescent="0.2">
      <c r="A97" s="27">
        <v>-55</v>
      </c>
      <c r="B97" s="28">
        <v>11.5</v>
      </c>
      <c r="C97" s="27">
        <v>1600</v>
      </c>
      <c r="D97" s="26">
        <v>76.900000000000006</v>
      </c>
      <c r="E97" s="26">
        <v>134.28</v>
      </c>
    </row>
    <row r="98" spans="1:5" ht="12.75" customHeight="1" x14ac:dyDescent="0.2">
      <c r="A98" s="27">
        <v>-55</v>
      </c>
      <c r="B98" s="28">
        <v>12</v>
      </c>
      <c r="C98" s="27">
        <v>50</v>
      </c>
      <c r="D98" s="26">
        <v>246.91</v>
      </c>
      <c r="E98" s="26">
        <v>130.34</v>
      </c>
    </row>
    <row r="99" spans="1:5" ht="12.75" customHeight="1" x14ac:dyDescent="0.2">
      <c r="A99" s="27">
        <v>-55</v>
      </c>
      <c r="B99" s="28">
        <v>12</v>
      </c>
      <c r="C99" s="27">
        <v>100</v>
      </c>
      <c r="D99" s="26">
        <v>225.91</v>
      </c>
      <c r="E99" s="26">
        <v>130.66</v>
      </c>
    </row>
    <row r="100" spans="1:5" ht="12.75" customHeight="1" x14ac:dyDescent="0.2">
      <c r="A100" s="27">
        <v>-55</v>
      </c>
      <c r="B100" s="28">
        <v>12</v>
      </c>
      <c r="C100" s="27">
        <v>300</v>
      </c>
      <c r="D100" s="26">
        <v>141.93</v>
      </c>
      <c r="E100" s="26">
        <v>131.96</v>
      </c>
    </row>
    <row r="101" spans="1:5" ht="12.75" customHeight="1" x14ac:dyDescent="0.2">
      <c r="A101" s="27">
        <v>-55</v>
      </c>
      <c r="B101" s="28">
        <v>12</v>
      </c>
      <c r="C101" s="27">
        <v>500</v>
      </c>
      <c r="D101" s="26">
        <v>114.64</v>
      </c>
      <c r="E101" s="26">
        <v>132.66999999999999</v>
      </c>
    </row>
    <row r="102" spans="1:5" ht="12.75" customHeight="1" x14ac:dyDescent="0.2">
      <c r="A102" s="27">
        <v>-55</v>
      </c>
      <c r="B102" s="28">
        <v>12</v>
      </c>
      <c r="C102" s="27">
        <v>700</v>
      </c>
      <c r="D102" s="26">
        <v>106.29</v>
      </c>
      <c r="E102" s="26">
        <v>133.01</v>
      </c>
    </row>
    <row r="103" spans="1:5" ht="12.75" customHeight="1" x14ac:dyDescent="0.2">
      <c r="A103" s="27">
        <v>-55</v>
      </c>
      <c r="B103" s="28">
        <v>12</v>
      </c>
      <c r="C103" s="27">
        <v>1000</v>
      </c>
      <c r="D103" s="26">
        <v>93.76</v>
      </c>
      <c r="E103" s="26">
        <v>133.51</v>
      </c>
    </row>
    <row r="104" spans="1:5" ht="12.75" customHeight="1" x14ac:dyDescent="0.2">
      <c r="A104" s="27">
        <v>-55</v>
      </c>
      <c r="B104" s="28">
        <v>12</v>
      </c>
      <c r="C104" s="27">
        <v>1300</v>
      </c>
      <c r="D104" s="26">
        <v>81.23</v>
      </c>
      <c r="E104" s="26">
        <v>134.01</v>
      </c>
    </row>
    <row r="105" spans="1:5" ht="12.75" customHeight="1" x14ac:dyDescent="0.2">
      <c r="A105" s="27">
        <v>-55</v>
      </c>
      <c r="B105" s="28">
        <v>12</v>
      </c>
      <c r="C105" s="27">
        <v>1600</v>
      </c>
      <c r="D105" s="26">
        <v>68.7</v>
      </c>
      <c r="E105" s="26">
        <v>134.52000000000001</v>
      </c>
    </row>
    <row r="106" spans="1:5" ht="12.75" customHeight="1" x14ac:dyDescent="0.2">
      <c r="A106" s="27">
        <v>-55</v>
      </c>
      <c r="B106" s="28">
        <v>12.5</v>
      </c>
      <c r="C106" s="27">
        <v>50</v>
      </c>
      <c r="D106" s="26">
        <v>239.9</v>
      </c>
      <c r="E106" s="26">
        <v>130.43</v>
      </c>
    </row>
    <row r="107" spans="1:5" ht="12.75" customHeight="1" x14ac:dyDescent="0.2">
      <c r="A107" s="27">
        <v>-55</v>
      </c>
      <c r="B107" s="28">
        <v>12.5</v>
      </c>
      <c r="C107" s="27">
        <v>100</v>
      </c>
      <c r="D107" s="26">
        <v>218.81</v>
      </c>
      <c r="E107" s="26">
        <v>130.76</v>
      </c>
    </row>
    <row r="108" spans="1:5" ht="12.75" customHeight="1" x14ac:dyDescent="0.2">
      <c r="A108" s="27">
        <v>-55</v>
      </c>
      <c r="B108" s="28">
        <v>12.5</v>
      </c>
      <c r="C108" s="27">
        <v>300</v>
      </c>
      <c r="D108" s="26">
        <v>134.47</v>
      </c>
      <c r="E108" s="26">
        <v>132.09</v>
      </c>
    </row>
    <row r="109" spans="1:5" ht="12.75" customHeight="1" x14ac:dyDescent="0.2">
      <c r="A109" s="27">
        <v>-55</v>
      </c>
      <c r="B109" s="28">
        <v>12.5</v>
      </c>
      <c r="C109" s="27">
        <v>500</v>
      </c>
      <c r="D109" s="26">
        <v>107.65</v>
      </c>
      <c r="E109" s="26">
        <v>132.81</v>
      </c>
    </row>
    <row r="110" spans="1:5" ht="12.75" customHeight="1" x14ac:dyDescent="0.2">
      <c r="A110" s="27">
        <v>-55</v>
      </c>
      <c r="B110" s="28">
        <v>12.5</v>
      </c>
      <c r="C110" s="27">
        <v>700</v>
      </c>
      <c r="D110" s="26">
        <v>99.58</v>
      </c>
      <c r="E110" s="26">
        <v>133.15</v>
      </c>
    </row>
    <row r="111" spans="1:5" ht="12.75" customHeight="1" x14ac:dyDescent="0.2">
      <c r="A111" s="27">
        <v>-55</v>
      </c>
      <c r="B111" s="28">
        <v>12.5</v>
      </c>
      <c r="C111" s="27">
        <v>1000</v>
      </c>
      <c r="D111" s="26">
        <v>87.49</v>
      </c>
      <c r="E111" s="26">
        <v>133.66999999999999</v>
      </c>
    </row>
    <row r="112" spans="1:5" ht="12.75" customHeight="1" x14ac:dyDescent="0.2">
      <c r="A112" s="27">
        <v>-55</v>
      </c>
      <c r="B112" s="28">
        <v>12.5</v>
      </c>
      <c r="C112" s="27">
        <v>1300</v>
      </c>
      <c r="D112" s="26">
        <v>75.39</v>
      </c>
      <c r="E112" s="26">
        <v>134.18</v>
      </c>
    </row>
    <row r="113" spans="1:5" ht="12.75" customHeight="1" x14ac:dyDescent="0.2">
      <c r="A113" s="27">
        <v>-55</v>
      </c>
      <c r="B113" s="28">
        <v>12.5</v>
      </c>
      <c r="C113" s="27">
        <v>1600</v>
      </c>
      <c r="D113" s="26">
        <v>63.29</v>
      </c>
      <c r="E113" s="26">
        <v>134.69</v>
      </c>
    </row>
    <row r="114" spans="1:5" ht="12.75" customHeight="1" x14ac:dyDescent="0.2">
      <c r="A114" s="27">
        <v>-55</v>
      </c>
      <c r="B114" s="28">
        <v>13</v>
      </c>
      <c r="C114" s="27">
        <v>50</v>
      </c>
      <c r="D114" s="26">
        <v>229.52</v>
      </c>
      <c r="E114" s="26">
        <v>130.72</v>
      </c>
    </row>
    <row r="115" spans="1:5" ht="12.75" customHeight="1" x14ac:dyDescent="0.2">
      <c r="A115" s="27">
        <v>-55</v>
      </c>
      <c r="B115" s="28">
        <v>13</v>
      </c>
      <c r="C115" s="27">
        <v>100</v>
      </c>
      <c r="D115" s="26">
        <v>208.4</v>
      </c>
      <c r="E115" s="26">
        <v>131.13</v>
      </c>
    </row>
    <row r="116" spans="1:5" ht="12.75" customHeight="1" x14ac:dyDescent="0.2">
      <c r="A116" s="27">
        <v>-55</v>
      </c>
      <c r="B116" s="28">
        <v>13</v>
      </c>
      <c r="C116" s="27">
        <v>300</v>
      </c>
      <c r="D116" s="26">
        <v>123.91</v>
      </c>
      <c r="E116" s="26">
        <v>132.76</v>
      </c>
    </row>
    <row r="117" spans="1:5" ht="12.75" customHeight="1" x14ac:dyDescent="0.2">
      <c r="A117" s="27">
        <v>-55</v>
      </c>
      <c r="B117" s="28">
        <v>13</v>
      </c>
      <c r="C117" s="27">
        <v>500</v>
      </c>
      <c r="D117" s="26">
        <v>97.82</v>
      </c>
      <c r="E117" s="26">
        <v>133.58000000000001</v>
      </c>
    </row>
    <row r="118" spans="1:5" ht="12.75" customHeight="1" x14ac:dyDescent="0.2">
      <c r="A118" s="27">
        <v>-55</v>
      </c>
      <c r="B118" s="28">
        <v>13</v>
      </c>
      <c r="C118" s="27">
        <v>700</v>
      </c>
      <c r="D118" s="26">
        <v>90.16</v>
      </c>
      <c r="E118" s="26">
        <v>133.94999999999999</v>
      </c>
    </row>
    <row r="119" spans="1:5" ht="12.75" customHeight="1" x14ac:dyDescent="0.2">
      <c r="A119" s="27">
        <v>-55</v>
      </c>
      <c r="B119" s="28">
        <v>13</v>
      </c>
      <c r="C119" s="27">
        <v>1000</v>
      </c>
      <c r="D119" s="26">
        <v>78.680000000000007</v>
      </c>
      <c r="E119" s="26">
        <v>134.51</v>
      </c>
    </row>
    <row r="120" spans="1:5" ht="12.75" customHeight="1" x14ac:dyDescent="0.2">
      <c r="A120" s="27">
        <v>-55</v>
      </c>
      <c r="B120" s="28">
        <v>13</v>
      </c>
      <c r="C120" s="27">
        <v>1300</v>
      </c>
      <c r="D120" s="26">
        <v>67.2</v>
      </c>
      <c r="E120" s="26">
        <v>135.06</v>
      </c>
    </row>
    <row r="121" spans="1:5" ht="12.75" customHeight="1" x14ac:dyDescent="0.2">
      <c r="A121" s="27">
        <v>-55</v>
      </c>
      <c r="B121" s="28">
        <v>13</v>
      </c>
      <c r="C121" s="27">
        <v>1600</v>
      </c>
      <c r="D121" s="26">
        <v>55.71</v>
      </c>
      <c r="E121" s="26">
        <v>135.62</v>
      </c>
    </row>
    <row r="122" spans="1:5" x14ac:dyDescent="0.2">
      <c r="A122" s="72">
        <v>-55</v>
      </c>
      <c r="B122" s="16">
        <v>13.5</v>
      </c>
      <c r="C122" s="72">
        <v>50</v>
      </c>
      <c r="D122" s="15">
        <v>222.53</v>
      </c>
      <c r="E122" s="15">
        <v>130.82</v>
      </c>
    </row>
    <row r="123" spans="1:5" x14ac:dyDescent="0.2">
      <c r="A123" s="72">
        <v>-55</v>
      </c>
      <c r="B123" s="16">
        <v>13.5</v>
      </c>
      <c r="C123" s="72">
        <v>100</v>
      </c>
      <c r="D123" s="15">
        <v>201.31</v>
      </c>
      <c r="E123" s="15">
        <v>131.24</v>
      </c>
    </row>
    <row r="124" spans="1:5" x14ac:dyDescent="0.2">
      <c r="A124" s="72">
        <v>-55</v>
      </c>
      <c r="B124" s="16">
        <v>13.5</v>
      </c>
      <c r="C124" s="72">
        <v>300</v>
      </c>
      <c r="D124" s="15">
        <v>116.44</v>
      </c>
      <c r="E124" s="15">
        <v>132.91</v>
      </c>
    </row>
    <row r="125" spans="1:5" x14ac:dyDescent="0.2">
      <c r="A125" s="72">
        <v>-55</v>
      </c>
      <c r="B125" s="16">
        <v>13.5</v>
      </c>
      <c r="C125" s="72">
        <v>500</v>
      </c>
      <c r="D125" s="15">
        <v>90.83</v>
      </c>
      <c r="E125" s="15">
        <v>133.75</v>
      </c>
    </row>
    <row r="126" spans="1:5" x14ac:dyDescent="0.2">
      <c r="A126" s="72">
        <v>-55</v>
      </c>
      <c r="B126" s="16">
        <v>13.5</v>
      </c>
      <c r="C126" s="72">
        <v>700</v>
      </c>
      <c r="D126" s="15">
        <v>83.47</v>
      </c>
      <c r="E126" s="15">
        <v>134.13</v>
      </c>
    </row>
    <row r="127" spans="1:5" x14ac:dyDescent="0.2">
      <c r="A127" s="72">
        <v>-55</v>
      </c>
      <c r="B127" s="16">
        <v>13.5</v>
      </c>
      <c r="C127" s="72">
        <v>1000</v>
      </c>
      <c r="D127" s="15">
        <v>72.42</v>
      </c>
      <c r="E127" s="15">
        <v>134.69</v>
      </c>
    </row>
    <row r="128" spans="1:5" x14ac:dyDescent="0.2">
      <c r="A128" s="72">
        <v>-55</v>
      </c>
      <c r="B128" s="16">
        <v>13.5</v>
      </c>
      <c r="C128" s="72">
        <v>1300</v>
      </c>
      <c r="D128" s="15">
        <v>61.37</v>
      </c>
      <c r="E128" s="15">
        <v>135.25</v>
      </c>
    </row>
    <row r="129" spans="1:5" x14ac:dyDescent="0.2">
      <c r="A129" s="72">
        <v>-55</v>
      </c>
      <c r="B129" s="16">
        <v>13.5</v>
      </c>
      <c r="C129" s="72">
        <v>1600</v>
      </c>
      <c r="D129" s="15">
        <v>50.33</v>
      </c>
      <c r="E129" s="15">
        <v>135.82</v>
      </c>
    </row>
    <row r="130" spans="1:5" x14ac:dyDescent="0.2">
      <c r="A130" s="72">
        <v>-55</v>
      </c>
      <c r="B130" s="16">
        <v>14</v>
      </c>
      <c r="C130" s="72">
        <v>50</v>
      </c>
      <c r="D130" s="15">
        <v>202.22</v>
      </c>
      <c r="E130" s="15">
        <v>131.69999999999999</v>
      </c>
    </row>
    <row r="131" spans="1:5" x14ac:dyDescent="0.2">
      <c r="A131" s="72">
        <v>-55</v>
      </c>
      <c r="B131" s="16">
        <v>14</v>
      </c>
      <c r="C131" s="72">
        <v>100</v>
      </c>
      <c r="D131" s="15">
        <v>181.06</v>
      </c>
      <c r="E131" s="15">
        <v>132.43</v>
      </c>
    </row>
    <row r="132" spans="1:5" x14ac:dyDescent="0.2">
      <c r="A132" s="72">
        <v>-55</v>
      </c>
      <c r="B132" s="16">
        <v>14</v>
      </c>
      <c r="C132" s="72">
        <v>300</v>
      </c>
      <c r="D132" s="15">
        <v>96.44</v>
      </c>
      <c r="E132" s="15">
        <v>135.37</v>
      </c>
    </row>
    <row r="133" spans="1:5" x14ac:dyDescent="0.2">
      <c r="A133" s="72">
        <v>-55</v>
      </c>
      <c r="B133" s="16">
        <v>14</v>
      </c>
      <c r="C133" s="72">
        <v>500</v>
      </c>
      <c r="D133" s="15">
        <v>72.459999999999994</v>
      </c>
      <c r="E133" s="15">
        <v>136.56</v>
      </c>
    </row>
    <row r="134" spans="1:5" x14ac:dyDescent="0.2">
      <c r="A134" s="72">
        <v>-55</v>
      </c>
      <c r="B134" s="16">
        <v>14</v>
      </c>
      <c r="C134" s="72">
        <v>700</v>
      </c>
      <c r="D134" s="15">
        <v>65.930000000000007</v>
      </c>
      <c r="E134" s="15">
        <v>137.04</v>
      </c>
    </row>
    <row r="135" spans="1:5" x14ac:dyDescent="0.2">
      <c r="A135" s="72">
        <v>-55</v>
      </c>
      <c r="B135" s="16">
        <v>14</v>
      </c>
      <c r="C135" s="72">
        <v>1000</v>
      </c>
      <c r="D135" s="15">
        <v>56.14</v>
      </c>
      <c r="E135" s="15">
        <v>137.77000000000001</v>
      </c>
    </row>
    <row r="136" spans="1:5" x14ac:dyDescent="0.2">
      <c r="A136" s="72">
        <v>-55</v>
      </c>
      <c r="B136" s="16">
        <v>14</v>
      </c>
      <c r="C136" s="72">
        <v>1300</v>
      </c>
      <c r="D136" s="15">
        <v>46.34</v>
      </c>
      <c r="E136" s="15">
        <v>138.49</v>
      </c>
    </row>
    <row r="137" spans="1:5" x14ac:dyDescent="0.2">
      <c r="A137" s="72">
        <v>-55</v>
      </c>
      <c r="B137" s="16">
        <v>14</v>
      </c>
      <c r="C137" s="72">
        <v>1600</v>
      </c>
      <c r="D137" s="15">
        <v>36.549999999999997</v>
      </c>
      <c r="E137" s="15">
        <v>139.21</v>
      </c>
    </row>
    <row r="138" spans="1:5" x14ac:dyDescent="0.2">
      <c r="A138" s="72">
        <v>-55</v>
      </c>
      <c r="B138" s="16">
        <v>14.5</v>
      </c>
      <c r="C138" s="72">
        <v>50</v>
      </c>
      <c r="D138" s="15">
        <v>189.59</v>
      </c>
      <c r="E138" s="15">
        <v>132.21</v>
      </c>
    </row>
    <row r="139" spans="1:5" x14ac:dyDescent="0.2">
      <c r="A139" s="72">
        <v>-55</v>
      </c>
      <c r="B139" s="16">
        <v>14.5</v>
      </c>
      <c r="C139" s="72">
        <v>100</v>
      </c>
      <c r="D139" s="15">
        <v>169.3</v>
      </c>
      <c r="E139" s="15">
        <v>133.09</v>
      </c>
    </row>
    <row r="140" spans="1:5" x14ac:dyDescent="0.2">
      <c r="A140" s="72">
        <v>-55</v>
      </c>
      <c r="B140" s="16">
        <v>14.5</v>
      </c>
      <c r="C140" s="72">
        <v>300</v>
      </c>
      <c r="D140" s="15">
        <v>88.13</v>
      </c>
      <c r="E140" s="15">
        <v>136.6</v>
      </c>
    </row>
    <row r="141" spans="1:5" x14ac:dyDescent="0.2">
      <c r="A141" s="72">
        <v>-55</v>
      </c>
      <c r="B141" s="16">
        <v>14.5</v>
      </c>
      <c r="C141" s="72">
        <v>500</v>
      </c>
      <c r="D141" s="15">
        <v>65.599999999999994</v>
      </c>
      <c r="E141" s="15">
        <v>137.97999999999999</v>
      </c>
    </row>
    <row r="142" spans="1:5" x14ac:dyDescent="0.2">
      <c r="A142" s="72">
        <v>-55</v>
      </c>
      <c r="B142" s="16">
        <v>14.5</v>
      </c>
      <c r="C142" s="72">
        <v>700</v>
      </c>
      <c r="D142" s="15">
        <v>59.55</v>
      </c>
      <c r="E142" s="15">
        <v>138.52000000000001</v>
      </c>
    </row>
    <row r="143" spans="1:5" x14ac:dyDescent="0.2">
      <c r="A143" s="72">
        <v>-55</v>
      </c>
      <c r="B143" s="16">
        <v>14.5</v>
      </c>
      <c r="C143" s="72">
        <v>1000</v>
      </c>
      <c r="D143" s="15">
        <v>50.49</v>
      </c>
      <c r="E143" s="15">
        <v>139.32</v>
      </c>
    </row>
    <row r="144" spans="1:5" x14ac:dyDescent="0.2">
      <c r="A144" s="72">
        <v>-55</v>
      </c>
      <c r="B144" s="16">
        <v>14.5</v>
      </c>
      <c r="C144" s="72">
        <v>1300</v>
      </c>
      <c r="D144" s="15">
        <v>41.42</v>
      </c>
      <c r="E144" s="15">
        <v>140.12</v>
      </c>
    </row>
    <row r="145" spans="1:5" x14ac:dyDescent="0.2">
      <c r="A145" s="72">
        <v>-55</v>
      </c>
      <c r="B145" s="16">
        <v>14.5</v>
      </c>
      <c r="C145" s="72">
        <v>1600</v>
      </c>
      <c r="D145" s="15">
        <v>32.35</v>
      </c>
      <c r="E145" s="15">
        <v>140.93</v>
      </c>
    </row>
    <row r="146" spans="1:5" x14ac:dyDescent="0.2">
      <c r="A146" s="72">
        <v>-55</v>
      </c>
      <c r="B146" s="16">
        <v>15</v>
      </c>
      <c r="C146" s="72">
        <v>50</v>
      </c>
      <c r="D146" s="15">
        <v>180.41</v>
      </c>
      <c r="E146" s="15">
        <v>132.54</v>
      </c>
    </row>
    <row r="147" spans="1:5" x14ac:dyDescent="0.2">
      <c r="A147" s="72">
        <v>-55</v>
      </c>
      <c r="B147" s="16">
        <v>15</v>
      </c>
      <c r="C147" s="72">
        <v>100</v>
      </c>
      <c r="D147" s="15">
        <v>160.97</v>
      </c>
      <c r="E147" s="15">
        <v>133.47999999999999</v>
      </c>
    </row>
    <row r="148" spans="1:5" x14ac:dyDescent="0.2">
      <c r="A148" s="72">
        <v>-55</v>
      </c>
      <c r="B148" s="16">
        <v>15</v>
      </c>
      <c r="C148" s="72">
        <v>300</v>
      </c>
      <c r="D148" s="15">
        <v>83.23</v>
      </c>
      <c r="E148" s="15">
        <v>137.22999999999999</v>
      </c>
    </row>
    <row r="149" spans="1:5" x14ac:dyDescent="0.2">
      <c r="A149" s="72">
        <v>-55</v>
      </c>
      <c r="B149" s="16">
        <v>15</v>
      </c>
      <c r="C149" s="72">
        <v>500</v>
      </c>
      <c r="D149" s="15">
        <v>61.88</v>
      </c>
      <c r="E149" s="15">
        <v>138.69</v>
      </c>
    </row>
    <row r="150" spans="1:5" x14ac:dyDescent="0.2">
      <c r="A150" s="72">
        <v>-55</v>
      </c>
      <c r="B150" s="16">
        <v>15</v>
      </c>
      <c r="C150" s="72">
        <v>700</v>
      </c>
      <c r="D150" s="15">
        <v>56.17</v>
      </c>
      <c r="E150" s="15">
        <v>139.25</v>
      </c>
    </row>
    <row r="151" spans="1:5" x14ac:dyDescent="0.2">
      <c r="A151" s="72">
        <v>-55</v>
      </c>
      <c r="B151" s="16">
        <v>15</v>
      </c>
      <c r="C151" s="72">
        <v>1000</v>
      </c>
      <c r="D151" s="15">
        <v>47.61</v>
      </c>
      <c r="E151" s="15">
        <v>140.1</v>
      </c>
    </row>
    <row r="152" spans="1:5" x14ac:dyDescent="0.2">
      <c r="A152" s="72">
        <v>-55</v>
      </c>
      <c r="B152" s="16">
        <v>15</v>
      </c>
      <c r="C152" s="72">
        <v>1300</v>
      </c>
      <c r="D152" s="15">
        <v>39.049999999999997</v>
      </c>
      <c r="E152" s="15">
        <v>140.94999999999999</v>
      </c>
    </row>
    <row r="153" spans="1:5" x14ac:dyDescent="0.2">
      <c r="A153" s="72">
        <v>-55</v>
      </c>
      <c r="B153" s="16">
        <v>15</v>
      </c>
      <c r="C153" s="72">
        <v>1600</v>
      </c>
      <c r="D153" s="15">
        <v>30.49</v>
      </c>
      <c r="E153" s="15">
        <v>141.79</v>
      </c>
    </row>
    <row r="154" spans="1:5" x14ac:dyDescent="0.2">
      <c r="A154" s="72">
        <v>-55</v>
      </c>
      <c r="B154" s="16">
        <v>15.5</v>
      </c>
      <c r="C154" s="72">
        <v>50</v>
      </c>
      <c r="D154" s="15">
        <v>174.49</v>
      </c>
      <c r="E154" s="15">
        <v>132.69</v>
      </c>
    </row>
    <row r="155" spans="1:5" x14ac:dyDescent="0.2">
      <c r="A155" s="72">
        <v>-55</v>
      </c>
      <c r="B155" s="16">
        <v>15.5</v>
      </c>
      <c r="C155" s="72">
        <v>100</v>
      </c>
      <c r="D155" s="15">
        <v>155.86000000000001</v>
      </c>
      <c r="E155" s="15">
        <v>133.61000000000001</v>
      </c>
    </row>
    <row r="156" spans="1:5" x14ac:dyDescent="0.2">
      <c r="A156" s="72">
        <v>-55</v>
      </c>
      <c r="B156" s="16">
        <v>15.5</v>
      </c>
      <c r="C156" s="72">
        <v>300</v>
      </c>
      <c r="D156" s="15">
        <v>81.33</v>
      </c>
      <c r="E156" s="15">
        <v>137.31</v>
      </c>
    </row>
    <row r="157" spans="1:5" x14ac:dyDescent="0.2">
      <c r="A157" s="72">
        <v>-55</v>
      </c>
      <c r="B157" s="16">
        <v>15.5</v>
      </c>
      <c r="C157" s="72">
        <v>500</v>
      </c>
      <c r="D157" s="15">
        <v>60.86</v>
      </c>
      <c r="E157" s="15">
        <v>138.76</v>
      </c>
    </row>
    <row r="158" spans="1:5" x14ac:dyDescent="0.2">
      <c r="A158" s="72">
        <v>-55</v>
      </c>
      <c r="B158" s="16">
        <v>15.5</v>
      </c>
      <c r="C158" s="72">
        <v>700</v>
      </c>
      <c r="D158" s="15">
        <v>55.36</v>
      </c>
      <c r="E158" s="15">
        <v>139.33000000000001</v>
      </c>
    </row>
    <row r="159" spans="1:5" x14ac:dyDescent="0.2">
      <c r="A159" s="72">
        <v>-55</v>
      </c>
      <c r="B159" s="16">
        <v>15.5</v>
      </c>
      <c r="C159" s="72">
        <v>1000</v>
      </c>
      <c r="D159" s="15">
        <v>47.12</v>
      </c>
      <c r="E159" s="15">
        <v>140.18</v>
      </c>
    </row>
    <row r="160" spans="1:5" x14ac:dyDescent="0.2">
      <c r="A160" s="72">
        <v>-55</v>
      </c>
      <c r="B160" s="16">
        <v>15.5</v>
      </c>
      <c r="C160" s="72">
        <v>1300</v>
      </c>
      <c r="D160" s="15">
        <v>38.869999999999997</v>
      </c>
      <c r="E160" s="15">
        <v>141.03</v>
      </c>
    </row>
    <row r="161" spans="1:5" x14ac:dyDescent="0.2">
      <c r="A161" s="72">
        <v>-55</v>
      </c>
      <c r="B161" s="16">
        <v>15.5</v>
      </c>
      <c r="C161" s="72">
        <v>1600</v>
      </c>
      <c r="D161" s="15">
        <v>30.62</v>
      </c>
      <c r="E161" s="15">
        <v>141.88</v>
      </c>
    </row>
    <row r="162" spans="1:5" x14ac:dyDescent="0.2">
      <c r="A162" s="72">
        <v>-55</v>
      </c>
      <c r="B162" s="16">
        <v>16</v>
      </c>
      <c r="C162" s="72">
        <v>50</v>
      </c>
      <c r="D162" s="15">
        <v>168.58</v>
      </c>
      <c r="E162" s="15">
        <v>132.82</v>
      </c>
    </row>
    <row r="163" spans="1:5" x14ac:dyDescent="0.2">
      <c r="A163" s="72">
        <v>-55</v>
      </c>
      <c r="B163" s="16">
        <v>16</v>
      </c>
      <c r="C163" s="72">
        <v>100</v>
      </c>
      <c r="D163" s="15">
        <v>150.75</v>
      </c>
      <c r="E163" s="15">
        <v>133.72999999999999</v>
      </c>
    </row>
    <row r="164" spans="1:5" x14ac:dyDescent="0.2">
      <c r="A164" s="72">
        <v>-55</v>
      </c>
      <c r="B164" s="16">
        <v>16</v>
      </c>
      <c r="C164" s="72">
        <v>300</v>
      </c>
      <c r="D164" s="15">
        <v>79.42</v>
      </c>
      <c r="E164" s="15">
        <v>137.38</v>
      </c>
    </row>
    <row r="165" spans="1:5" x14ac:dyDescent="0.2">
      <c r="A165" s="72">
        <v>-55</v>
      </c>
      <c r="B165" s="16">
        <v>16</v>
      </c>
      <c r="C165" s="72">
        <v>500</v>
      </c>
      <c r="D165" s="15">
        <v>59.83</v>
      </c>
      <c r="E165" s="15">
        <v>138.83000000000001</v>
      </c>
    </row>
    <row r="166" spans="1:5" x14ac:dyDescent="0.2">
      <c r="A166" s="72">
        <v>-55</v>
      </c>
      <c r="B166" s="16">
        <v>16</v>
      </c>
      <c r="C166" s="72">
        <v>700</v>
      </c>
      <c r="D166" s="15">
        <v>54.54</v>
      </c>
      <c r="E166" s="15">
        <v>139.4</v>
      </c>
    </row>
    <row r="167" spans="1:5" x14ac:dyDescent="0.2">
      <c r="A167" s="72">
        <v>-55</v>
      </c>
      <c r="B167" s="16">
        <v>16</v>
      </c>
      <c r="C167" s="72">
        <v>1000</v>
      </c>
      <c r="D167" s="15">
        <v>46.61</v>
      </c>
      <c r="E167" s="15">
        <v>140.27000000000001</v>
      </c>
    </row>
    <row r="168" spans="1:5" x14ac:dyDescent="0.2">
      <c r="A168" s="72">
        <v>-55</v>
      </c>
      <c r="B168" s="16">
        <v>16</v>
      </c>
      <c r="C168" s="72">
        <v>1300</v>
      </c>
      <c r="D168" s="15">
        <v>38.68</v>
      </c>
      <c r="E168" s="15">
        <v>141.13</v>
      </c>
    </row>
    <row r="169" spans="1:5" x14ac:dyDescent="0.2">
      <c r="A169" s="72">
        <v>-55</v>
      </c>
      <c r="B169" s="16">
        <v>16</v>
      </c>
      <c r="C169" s="72">
        <v>1600</v>
      </c>
      <c r="D169" s="15">
        <v>30.75</v>
      </c>
      <c r="E169" s="15">
        <v>141.99</v>
      </c>
    </row>
    <row r="170" spans="1:5" x14ac:dyDescent="0.2">
      <c r="A170" s="72">
        <v>-25</v>
      </c>
      <c r="B170" s="16">
        <v>6</v>
      </c>
      <c r="C170" s="72">
        <v>50</v>
      </c>
      <c r="D170" s="15">
        <v>444.63</v>
      </c>
      <c r="E170" s="15">
        <v>145.69999999999999</v>
      </c>
    </row>
    <row r="171" spans="1:5" x14ac:dyDescent="0.2">
      <c r="A171" s="72">
        <v>-25</v>
      </c>
      <c r="B171" s="16">
        <v>6</v>
      </c>
      <c r="C171" s="72">
        <v>100</v>
      </c>
      <c r="D171" s="15">
        <v>424.33</v>
      </c>
      <c r="E171" s="15">
        <v>145.78</v>
      </c>
    </row>
    <row r="172" spans="1:5" x14ac:dyDescent="0.2">
      <c r="A172" s="72">
        <v>-25</v>
      </c>
      <c r="B172" s="16">
        <v>6</v>
      </c>
      <c r="C172" s="72">
        <v>300</v>
      </c>
      <c r="D172" s="15">
        <v>343.15</v>
      </c>
      <c r="E172" s="15">
        <v>146.11000000000001</v>
      </c>
    </row>
    <row r="173" spans="1:5" x14ac:dyDescent="0.2">
      <c r="A173" s="72">
        <v>-25</v>
      </c>
      <c r="B173" s="16">
        <v>6</v>
      </c>
      <c r="C173" s="72">
        <v>500</v>
      </c>
      <c r="D173" s="15">
        <v>310.89999999999998</v>
      </c>
      <c r="E173" s="15">
        <v>146.30000000000001</v>
      </c>
    </row>
    <row r="174" spans="1:5" x14ac:dyDescent="0.2">
      <c r="A174" s="72">
        <v>-25</v>
      </c>
      <c r="B174" s="16">
        <v>6</v>
      </c>
      <c r="C174" s="72">
        <v>700</v>
      </c>
      <c r="D174" s="15">
        <v>299.01</v>
      </c>
      <c r="E174" s="15">
        <v>146.4</v>
      </c>
    </row>
    <row r="175" spans="1:5" x14ac:dyDescent="0.2">
      <c r="A175" s="72">
        <v>-25</v>
      </c>
      <c r="B175" s="16">
        <v>6</v>
      </c>
      <c r="C175" s="72">
        <v>1000</v>
      </c>
      <c r="D175" s="15">
        <v>281.17</v>
      </c>
      <c r="E175" s="15">
        <v>146.55000000000001</v>
      </c>
    </row>
    <row r="176" spans="1:5" x14ac:dyDescent="0.2">
      <c r="A176" s="72">
        <v>-25</v>
      </c>
      <c r="B176" s="16">
        <v>6</v>
      </c>
      <c r="C176" s="72">
        <v>1300</v>
      </c>
      <c r="D176" s="15">
        <v>263.33</v>
      </c>
      <c r="E176" s="15">
        <v>146.69999999999999</v>
      </c>
    </row>
    <row r="177" spans="1:5" x14ac:dyDescent="0.2">
      <c r="A177" s="72">
        <v>-25</v>
      </c>
      <c r="B177" s="16">
        <v>6</v>
      </c>
      <c r="C177" s="72">
        <v>1600</v>
      </c>
      <c r="D177" s="15">
        <v>245.49</v>
      </c>
      <c r="E177" s="15">
        <v>146.85</v>
      </c>
    </row>
    <row r="178" spans="1:5" x14ac:dyDescent="0.2">
      <c r="A178" s="72">
        <v>-25</v>
      </c>
      <c r="B178" s="16">
        <v>6.5</v>
      </c>
      <c r="C178" s="72">
        <v>50</v>
      </c>
      <c r="D178" s="15">
        <v>420.54</v>
      </c>
      <c r="E178" s="15">
        <v>145.76</v>
      </c>
    </row>
    <row r="179" spans="1:5" x14ac:dyDescent="0.2">
      <c r="A179" s="72">
        <v>-25</v>
      </c>
      <c r="B179" s="16">
        <v>6.5</v>
      </c>
      <c r="C179" s="72">
        <v>100</v>
      </c>
      <c r="D179" s="15">
        <v>400.19</v>
      </c>
      <c r="E179" s="15">
        <v>145.85</v>
      </c>
    </row>
    <row r="180" spans="1:5" x14ac:dyDescent="0.2">
      <c r="A180" s="72">
        <v>-25</v>
      </c>
      <c r="B180" s="16">
        <v>6.5</v>
      </c>
      <c r="C180" s="72">
        <v>300</v>
      </c>
      <c r="D180" s="15">
        <v>318.77999999999997</v>
      </c>
      <c r="E180" s="15">
        <v>146.21</v>
      </c>
    </row>
    <row r="181" spans="1:5" x14ac:dyDescent="0.2">
      <c r="A181" s="72">
        <v>-25</v>
      </c>
      <c r="B181" s="16">
        <v>6.5</v>
      </c>
      <c r="C181" s="72">
        <v>500</v>
      </c>
      <c r="D181" s="15">
        <v>286.89</v>
      </c>
      <c r="E181" s="15">
        <v>146.41999999999999</v>
      </c>
    </row>
    <row r="182" spans="1:5" x14ac:dyDescent="0.2">
      <c r="A182" s="72">
        <v>-25</v>
      </c>
      <c r="B182" s="16">
        <v>6.5</v>
      </c>
      <c r="C182" s="72">
        <v>700</v>
      </c>
      <c r="D182" s="15">
        <v>275.29000000000002</v>
      </c>
      <c r="E182" s="15">
        <v>146.53</v>
      </c>
    </row>
    <row r="183" spans="1:5" x14ac:dyDescent="0.2">
      <c r="A183" s="72">
        <v>-25</v>
      </c>
      <c r="B183" s="16">
        <v>6.5</v>
      </c>
      <c r="C183" s="72">
        <v>1000</v>
      </c>
      <c r="D183" s="15">
        <v>257.89</v>
      </c>
      <c r="E183" s="15">
        <v>146.69</v>
      </c>
    </row>
    <row r="184" spans="1:5" x14ac:dyDescent="0.2">
      <c r="A184" s="72">
        <v>-25</v>
      </c>
      <c r="B184" s="16">
        <v>6.5</v>
      </c>
      <c r="C184" s="72">
        <v>1300</v>
      </c>
      <c r="D184" s="15">
        <v>240.48</v>
      </c>
      <c r="E184" s="15">
        <v>146.85</v>
      </c>
    </row>
    <row r="185" spans="1:5" x14ac:dyDescent="0.2">
      <c r="A185" s="72">
        <v>-25</v>
      </c>
      <c r="B185" s="16">
        <v>6.5</v>
      </c>
      <c r="C185" s="72">
        <v>1600</v>
      </c>
      <c r="D185" s="15">
        <v>223.08</v>
      </c>
      <c r="E185" s="15">
        <v>147.01</v>
      </c>
    </row>
    <row r="186" spans="1:5" x14ac:dyDescent="0.2">
      <c r="A186" s="72">
        <v>-25</v>
      </c>
      <c r="B186" s="16">
        <v>7</v>
      </c>
      <c r="C186" s="72">
        <v>50</v>
      </c>
      <c r="D186" s="15">
        <v>396.46</v>
      </c>
      <c r="E186" s="15">
        <v>145.84</v>
      </c>
    </row>
    <row r="187" spans="1:5" x14ac:dyDescent="0.2">
      <c r="A187" s="72">
        <v>-25</v>
      </c>
      <c r="B187" s="16">
        <v>7</v>
      </c>
      <c r="C187" s="72">
        <v>100</v>
      </c>
      <c r="D187" s="15">
        <v>376.05</v>
      </c>
      <c r="E187" s="15">
        <v>145.93</v>
      </c>
    </row>
    <row r="188" spans="1:5" x14ac:dyDescent="0.2">
      <c r="A188" s="72">
        <v>-25</v>
      </c>
      <c r="B188" s="16">
        <v>7</v>
      </c>
      <c r="C188" s="72">
        <v>300</v>
      </c>
      <c r="D188" s="15">
        <v>294.39999999999998</v>
      </c>
      <c r="E188" s="15">
        <v>146.31</v>
      </c>
    </row>
    <row r="189" spans="1:5" x14ac:dyDescent="0.2">
      <c r="A189" s="72">
        <v>-25</v>
      </c>
      <c r="B189" s="16">
        <v>7</v>
      </c>
      <c r="C189" s="72">
        <v>500</v>
      </c>
      <c r="D189" s="15">
        <v>262.89</v>
      </c>
      <c r="E189" s="15">
        <v>146.54</v>
      </c>
    </row>
    <row r="190" spans="1:5" x14ac:dyDescent="0.2">
      <c r="A190" s="72">
        <v>-25</v>
      </c>
      <c r="B190" s="16">
        <v>7</v>
      </c>
      <c r="C190" s="72">
        <v>700</v>
      </c>
      <c r="D190" s="15">
        <v>251.58</v>
      </c>
      <c r="E190" s="15">
        <v>146.66</v>
      </c>
    </row>
    <row r="191" spans="1:5" x14ac:dyDescent="0.2">
      <c r="A191" s="72">
        <v>-25</v>
      </c>
      <c r="B191" s="16">
        <v>7</v>
      </c>
      <c r="C191" s="72">
        <v>1000</v>
      </c>
      <c r="D191" s="15">
        <v>234.61</v>
      </c>
      <c r="E191" s="15">
        <v>146.83000000000001</v>
      </c>
    </row>
    <row r="192" spans="1:5" x14ac:dyDescent="0.2">
      <c r="A192" s="72">
        <v>-25</v>
      </c>
      <c r="B192" s="16">
        <v>7</v>
      </c>
      <c r="C192" s="72">
        <v>1300</v>
      </c>
      <c r="D192" s="15">
        <v>217.64</v>
      </c>
      <c r="E192" s="15">
        <v>147</v>
      </c>
    </row>
    <row r="193" spans="1:5" x14ac:dyDescent="0.2">
      <c r="A193" s="72">
        <v>-25</v>
      </c>
      <c r="B193" s="16">
        <v>7</v>
      </c>
      <c r="C193" s="72">
        <v>1600</v>
      </c>
      <c r="D193" s="15">
        <v>200.67</v>
      </c>
      <c r="E193" s="15">
        <v>147.18</v>
      </c>
    </row>
    <row r="194" spans="1:5" x14ac:dyDescent="0.2">
      <c r="A194" s="72">
        <v>-25</v>
      </c>
      <c r="B194" s="16">
        <v>7.5</v>
      </c>
      <c r="C194" s="72">
        <v>50</v>
      </c>
      <c r="D194" s="15">
        <v>372.37</v>
      </c>
      <c r="E194" s="15">
        <v>145.91</v>
      </c>
    </row>
    <row r="195" spans="1:5" x14ac:dyDescent="0.2">
      <c r="A195" s="72">
        <v>-25</v>
      </c>
      <c r="B195" s="16">
        <v>7.5</v>
      </c>
      <c r="C195" s="72">
        <v>100</v>
      </c>
      <c r="D195" s="15">
        <v>351.9</v>
      </c>
      <c r="E195" s="15">
        <v>146.01</v>
      </c>
    </row>
    <row r="196" spans="1:5" x14ac:dyDescent="0.2">
      <c r="A196" s="72">
        <v>-25</v>
      </c>
      <c r="B196" s="16">
        <v>7.5</v>
      </c>
      <c r="C196" s="72">
        <v>300</v>
      </c>
      <c r="D196" s="15">
        <v>270.02999999999997</v>
      </c>
      <c r="E196" s="15">
        <v>146.41</v>
      </c>
    </row>
    <row r="197" spans="1:5" x14ac:dyDescent="0.2">
      <c r="A197" s="72">
        <v>-25</v>
      </c>
      <c r="B197" s="16">
        <v>7.5</v>
      </c>
      <c r="C197" s="72">
        <v>500</v>
      </c>
      <c r="D197" s="15">
        <v>238.88</v>
      </c>
      <c r="E197" s="15">
        <v>146.66</v>
      </c>
    </row>
    <row r="198" spans="1:5" x14ac:dyDescent="0.2">
      <c r="A198" s="72">
        <v>-25</v>
      </c>
      <c r="B198" s="16">
        <v>7.5</v>
      </c>
      <c r="C198" s="72">
        <v>700</v>
      </c>
      <c r="D198" s="15">
        <v>227.86</v>
      </c>
      <c r="E198" s="15">
        <v>146.78</v>
      </c>
    </row>
    <row r="199" spans="1:5" x14ac:dyDescent="0.2">
      <c r="A199" s="72">
        <v>-25</v>
      </c>
      <c r="B199" s="16">
        <v>7.5</v>
      </c>
      <c r="C199" s="72">
        <v>1000</v>
      </c>
      <c r="D199" s="15">
        <v>211.33</v>
      </c>
      <c r="E199" s="15">
        <v>146.97</v>
      </c>
    </row>
    <row r="200" spans="1:5" x14ac:dyDescent="0.2">
      <c r="A200" s="72">
        <v>-25</v>
      </c>
      <c r="B200" s="16">
        <v>7.5</v>
      </c>
      <c r="C200" s="72">
        <v>1300</v>
      </c>
      <c r="D200" s="15">
        <v>194.79</v>
      </c>
      <c r="E200" s="15">
        <v>147.16</v>
      </c>
    </row>
    <row r="201" spans="1:5" x14ac:dyDescent="0.2">
      <c r="A201" s="72">
        <v>-25</v>
      </c>
      <c r="B201" s="16">
        <v>7.5</v>
      </c>
      <c r="C201" s="72">
        <v>1600</v>
      </c>
      <c r="D201" s="15">
        <v>178.26</v>
      </c>
      <c r="E201" s="15">
        <v>147.34</v>
      </c>
    </row>
    <row r="202" spans="1:5" x14ac:dyDescent="0.2">
      <c r="A202" s="72">
        <v>-25</v>
      </c>
      <c r="B202" s="16">
        <v>8</v>
      </c>
      <c r="C202" s="72">
        <v>50</v>
      </c>
      <c r="D202" s="15">
        <v>344.83</v>
      </c>
      <c r="E202" s="15">
        <v>146.12</v>
      </c>
    </row>
    <row r="203" spans="1:5" x14ac:dyDescent="0.2">
      <c r="A203" s="72">
        <v>-25</v>
      </c>
      <c r="B203" s="16">
        <v>8</v>
      </c>
      <c r="C203" s="72">
        <v>100</v>
      </c>
      <c r="D203" s="15">
        <v>324.39999999999998</v>
      </c>
      <c r="E203" s="15">
        <v>146.25</v>
      </c>
    </row>
    <row r="204" spans="1:5" x14ac:dyDescent="0.2">
      <c r="A204" s="72">
        <v>-25</v>
      </c>
      <c r="B204" s="16">
        <v>8</v>
      </c>
      <c r="C204" s="72">
        <v>300</v>
      </c>
      <c r="D204" s="15">
        <v>242.67</v>
      </c>
      <c r="E204" s="15">
        <v>146.79</v>
      </c>
    </row>
    <row r="205" spans="1:5" x14ac:dyDescent="0.2">
      <c r="A205" s="72">
        <v>-25</v>
      </c>
      <c r="B205" s="16">
        <v>8</v>
      </c>
      <c r="C205" s="72">
        <v>500</v>
      </c>
      <c r="D205" s="15">
        <v>212.08</v>
      </c>
      <c r="E205" s="15">
        <v>147.1</v>
      </c>
    </row>
    <row r="206" spans="1:5" x14ac:dyDescent="0.2">
      <c r="A206" s="72">
        <v>-25</v>
      </c>
      <c r="B206" s="16">
        <v>8</v>
      </c>
      <c r="C206" s="72">
        <v>700</v>
      </c>
      <c r="D206" s="15">
        <v>201.43</v>
      </c>
      <c r="E206" s="15">
        <v>147.25</v>
      </c>
    </row>
    <row r="207" spans="1:5" x14ac:dyDescent="0.2">
      <c r="A207" s="72">
        <v>-25</v>
      </c>
      <c r="B207" s="16">
        <v>8</v>
      </c>
      <c r="C207" s="72">
        <v>1000</v>
      </c>
      <c r="D207" s="15">
        <v>185.45</v>
      </c>
      <c r="E207" s="15">
        <v>147.47999999999999</v>
      </c>
    </row>
    <row r="208" spans="1:5" x14ac:dyDescent="0.2">
      <c r="A208" s="72">
        <v>-25</v>
      </c>
      <c r="B208" s="16">
        <v>8</v>
      </c>
      <c r="C208" s="72">
        <v>1300</v>
      </c>
      <c r="D208" s="15">
        <v>169.46</v>
      </c>
      <c r="E208" s="15">
        <v>147.69999999999999</v>
      </c>
    </row>
    <row r="209" spans="1:5" x14ac:dyDescent="0.2">
      <c r="A209" s="72">
        <v>-25</v>
      </c>
      <c r="B209" s="16">
        <v>8</v>
      </c>
      <c r="C209" s="72">
        <v>1600</v>
      </c>
      <c r="D209" s="15">
        <v>153.47999999999999</v>
      </c>
      <c r="E209" s="15">
        <v>147.93</v>
      </c>
    </row>
    <row r="210" spans="1:5" x14ac:dyDescent="0.2">
      <c r="A210" s="72">
        <v>-25</v>
      </c>
      <c r="B210" s="16">
        <v>8.5</v>
      </c>
      <c r="C210" s="72">
        <v>50</v>
      </c>
      <c r="D210" s="15">
        <v>330.18</v>
      </c>
      <c r="E210" s="15">
        <v>146.19</v>
      </c>
    </row>
    <row r="211" spans="1:5" x14ac:dyDescent="0.2">
      <c r="A211" s="72">
        <v>-25</v>
      </c>
      <c r="B211" s="16">
        <v>8.5</v>
      </c>
      <c r="C211" s="72">
        <v>100</v>
      </c>
      <c r="D211" s="15">
        <v>309.68</v>
      </c>
      <c r="E211" s="15">
        <v>146.33000000000001</v>
      </c>
    </row>
    <row r="212" spans="1:5" x14ac:dyDescent="0.2">
      <c r="A212" s="72">
        <v>-25</v>
      </c>
      <c r="B212" s="16">
        <v>8.5</v>
      </c>
      <c r="C212" s="72">
        <v>300</v>
      </c>
      <c r="D212" s="15">
        <v>227.69</v>
      </c>
      <c r="E212" s="15">
        <v>146.88999999999999</v>
      </c>
    </row>
    <row r="213" spans="1:5" x14ac:dyDescent="0.2">
      <c r="A213" s="72">
        <v>-25</v>
      </c>
      <c r="B213" s="16">
        <v>8.5</v>
      </c>
      <c r="C213" s="72">
        <v>500</v>
      </c>
      <c r="D213" s="15">
        <v>197.5</v>
      </c>
      <c r="E213" s="15">
        <v>147.21</v>
      </c>
    </row>
    <row r="214" spans="1:5" x14ac:dyDescent="0.2">
      <c r="A214" s="72">
        <v>-25</v>
      </c>
      <c r="B214" s="16">
        <v>8.5</v>
      </c>
      <c r="C214" s="72">
        <v>700</v>
      </c>
      <c r="D214" s="15">
        <v>187.14</v>
      </c>
      <c r="E214" s="15">
        <v>147.37</v>
      </c>
    </row>
    <row r="215" spans="1:5" x14ac:dyDescent="0.2">
      <c r="A215" s="72">
        <v>-25</v>
      </c>
      <c r="B215" s="16">
        <v>8.5</v>
      </c>
      <c r="C215" s="72">
        <v>1000</v>
      </c>
      <c r="D215" s="15">
        <v>171.59</v>
      </c>
      <c r="E215" s="15">
        <v>147.61000000000001</v>
      </c>
    </row>
    <row r="216" spans="1:5" x14ac:dyDescent="0.2">
      <c r="A216" s="72">
        <v>-25</v>
      </c>
      <c r="B216" s="16">
        <v>8.5</v>
      </c>
      <c r="C216" s="72">
        <v>1300</v>
      </c>
      <c r="D216" s="15">
        <v>156.04</v>
      </c>
      <c r="E216" s="15">
        <v>147.84</v>
      </c>
    </row>
    <row r="217" spans="1:5" x14ac:dyDescent="0.2">
      <c r="A217" s="72">
        <v>-25</v>
      </c>
      <c r="B217" s="16">
        <v>8.5</v>
      </c>
      <c r="C217" s="72">
        <v>1600</v>
      </c>
      <c r="D217" s="15">
        <v>140.5</v>
      </c>
      <c r="E217" s="15">
        <v>148.08000000000001</v>
      </c>
    </row>
    <row r="218" spans="1:5" x14ac:dyDescent="0.2">
      <c r="A218" s="72">
        <v>-25</v>
      </c>
      <c r="B218" s="16">
        <v>9</v>
      </c>
      <c r="C218" s="72">
        <v>50</v>
      </c>
      <c r="D218" s="15">
        <v>315.54000000000002</v>
      </c>
      <c r="E218" s="15">
        <v>146.26</v>
      </c>
    </row>
    <row r="219" spans="1:5" x14ac:dyDescent="0.2">
      <c r="A219" s="72">
        <v>-25</v>
      </c>
      <c r="B219" s="16">
        <v>9</v>
      </c>
      <c r="C219" s="72">
        <v>100</v>
      </c>
      <c r="D219" s="15">
        <v>294.97000000000003</v>
      </c>
      <c r="E219" s="15">
        <v>146.4</v>
      </c>
    </row>
    <row r="220" spans="1:5" x14ac:dyDescent="0.2">
      <c r="A220" s="72">
        <v>-25</v>
      </c>
      <c r="B220" s="16">
        <v>9</v>
      </c>
      <c r="C220" s="72">
        <v>300</v>
      </c>
      <c r="D220" s="15">
        <v>212.71</v>
      </c>
      <c r="E220" s="15">
        <v>146.97999999999999</v>
      </c>
    </row>
    <row r="221" spans="1:5" x14ac:dyDescent="0.2">
      <c r="A221" s="72">
        <v>-25</v>
      </c>
      <c r="B221" s="16">
        <v>9</v>
      </c>
      <c r="C221" s="72">
        <v>500</v>
      </c>
      <c r="D221" s="15">
        <v>182.92</v>
      </c>
      <c r="E221" s="15">
        <v>147.31</v>
      </c>
    </row>
    <row r="222" spans="1:5" x14ac:dyDescent="0.2">
      <c r="A222" s="72">
        <v>-25</v>
      </c>
      <c r="B222" s="16">
        <v>9</v>
      </c>
      <c r="C222" s="72">
        <v>700</v>
      </c>
      <c r="D222" s="15">
        <v>172.84</v>
      </c>
      <c r="E222" s="15">
        <v>147.47999999999999</v>
      </c>
    </row>
    <row r="223" spans="1:5" x14ac:dyDescent="0.2">
      <c r="A223" s="72">
        <v>-25</v>
      </c>
      <c r="B223" s="16">
        <v>9</v>
      </c>
      <c r="C223" s="72">
        <v>1000</v>
      </c>
      <c r="D223" s="15">
        <v>157.72999999999999</v>
      </c>
      <c r="E223" s="15">
        <v>147.72999999999999</v>
      </c>
    </row>
    <row r="224" spans="1:5" x14ac:dyDescent="0.2">
      <c r="A224" s="72">
        <v>-25</v>
      </c>
      <c r="B224" s="16">
        <v>9</v>
      </c>
      <c r="C224" s="72">
        <v>1300</v>
      </c>
      <c r="D224" s="15">
        <v>142.62</v>
      </c>
      <c r="E224" s="15">
        <v>147.97999999999999</v>
      </c>
    </row>
    <row r="225" spans="1:5" x14ac:dyDescent="0.2">
      <c r="A225" s="72">
        <v>-25</v>
      </c>
      <c r="B225" s="16">
        <v>9</v>
      </c>
      <c r="C225" s="72">
        <v>1600</v>
      </c>
      <c r="D225" s="15">
        <v>127.5</v>
      </c>
      <c r="E225" s="15">
        <v>148.22999999999999</v>
      </c>
    </row>
    <row r="226" spans="1:5" x14ac:dyDescent="0.2">
      <c r="A226" s="72">
        <v>-25</v>
      </c>
      <c r="B226" s="16">
        <v>9.5</v>
      </c>
      <c r="C226" s="72">
        <v>50</v>
      </c>
      <c r="D226" s="15">
        <v>297.44</v>
      </c>
      <c r="E226" s="15">
        <v>146.46</v>
      </c>
    </row>
    <row r="227" spans="1:5" x14ac:dyDescent="0.2">
      <c r="A227" s="72">
        <v>-25</v>
      </c>
      <c r="B227" s="16">
        <v>9.5</v>
      </c>
      <c r="C227" s="72">
        <v>100</v>
      </c>
      <c r="D227" s="15">
        <v>276.89999999999998</v>
      </c>
      <c r="E227" s="15">
        <v>146.65</v>
      </c>
    </row>
    <row r="228" spans="1:5" x14ac:dyDescent="0.2">
      <c r="A228" s="72">
        <v>-25</v>
      </c>
      <c r="B228" s="16">
        <v>9.5</v>
      </c>
      <c r="C228" s="72">
        <v>300</v>
      </c>
      <c r="D228" s="15">
        <v>194.73</v>
      </c>
      <c r="E228" s="15">
        <v>147.4</v>
      </c>
    </row>
    <row r="229" spans="1:5" x14ac:dyDescent="0.2">
      <c r="A229" s="72">
        <v>-25</v>
      </c>
      <c r="B229" s="16">
        <v>9.5</v>
      </c>
      <c r="C229" s="72">
        <v>500</v>
      </c>
      <c r="D229" s="15">
        <v>165.53</v>
      </c>
      <c r="E229" s="15">
        <v>147.80000000000001</v>
      </c>
    </row>
    <row r="230" spans="1:5" x14ac:dyDescent="0.2">
      <c r="A230" s="72">
        <v>-25</v>
      </c>
      <c r="B230" s="16">
        <v>9.5</v>
      </c>
      <c r="C230" s="72">
        <v>700</v>
      </c>
      <c r="D230" s="15">
        <v>155.83000000000001</v>
      </c>
      <c r="E230" s="15">
        <v>147.99</v>
      </c>
    </row>
    <row r="231" spans="1:5" x14ac:dyDescent="0.2">
      <c r="A231" s="72">
        <v>-25</v>
      </c>
      <c r="B231" s="16">
        <v>9.5</v>
      </c>
      <c r="C231" s="72">
        <v>1000</v>
      </c>
      <c r="D231" s="15">
        <v>141.28</v>
      </c>
      <c r="E231" s="15">
        <v>148.29</v>
      </c>
    </row>
    <row r="232" spans="1:5" x14ac:dyDescent="0.2">
      <c r="A232" s="72">
        <v>-25</v>
      </c>
      <c r="B232" s="16">
        <v>9.5</v>
      </c>
      <c r="C232" s="72">
        <v>1300</v>
      </c>
      <c r="D232" s="15">
        <v>126.73</v>
      </c>
      <c r="E232" s="15">
        <v>148.58000000000001</v>
      </c>
    </row>
    <row r="233" spans="1:5" x14ac:dyDescent="0.2">
      <c r="A233" s="72">
        <v>-25</v>
      </c>
      <c r="B233" s="16">
        <v>9.5</v>
      </c>
      <c r="C233" s="72">
        <v>1600</v>
      </c>
      <c r="D233" s="15">
        <v>112.18</v>
      </c>
      <c r="E233" s="15">
        <v>148.87</v>
      </c>
    </row>
    <row r="234" spans="1:5" x14ac:dyDescent="0.2">
      <c r="A234" s="72">
        <v>-25</v>
      </c>
      <c r="B234" s="16">
        <v>10</v>
      </c>
      <c r="C234" s="72">
        <v>50</v>
      </c>
      <c r="D234" s="15">
        <v>279.36</v>
      </c>
      <c r="E234" s="15">
        <v>146.69</v>
      </c>
    </row>
    <row r="235" spans="1:5" x14ac:dyDescent="0.2">
      <c r="A235" s="72">
        <v>-25</v>
      </c>
      <c r="B235" s="16">
        <v>10</v>
      </c>
      <c r="C235" s="72">
        <v>100</v>
      </c>
      <c r="D235" s="15">
        <v>258.83</v>
      </c>
      <c r="E235" s="15">
        <v>146.91999999999999</v>
      </c>
    </row>
    <row r="236" spans="1:5" x14ac:dyDescent="0.2">
      <c r="A236" s="72">
        <v>-25</v>
      </c>
      <c r="B236" s="16">
        <v>10</v>
      </c>
      <c r="C236" s="72">
        <v>300</v>
      </c>
      <c r="D236" s="15">
        <v>176.72</v>
      </c>
      <c r="E236" s="15">
        <v>147.85</v>
      </c>
    </row>
    <row r="237" spans="1:5" x14ac:dyDescent="0.2">
      <c r="A237" s="72">
        <v>-25</v>
      </c>
      <c r="B237" s="16">
        <v>10</v>
      </c>
      <c r="C237" s="72">
        <v>500</v>
      </c>
      <c r="D237" s="15">
        <v>148.13</v>
      </c>
      <c r="E237" s="15">
        <v>148.33000000000001</v>
      </c>
    </row>
    <row r="238" spans="1:5" x14ac:dyDescent="0.2">
      <c r="A238" s="72">
        <v>-25</v>
      </c>
      <c r="B238" s="16">
        <v>10</v>
      </c>
      <c r="C238" s="72">
        <v>700</v>
      </c>
      <c r="D238" s="15">
        <v>138.81</v>
      </c>
      <c r="E238" s="15">
        <v>148.55000000000001</v>
      </c>
    </row>
    <row r="239" spans="1:5" x14ac:dyDescent="0.2">
      <c r="A239" s="72">
        <v>-25</v>
      </c>
      <c r="B239" s="16">
        <v>10</v>
      </c>
      <c r="C239" s="72">
        <v>1000</v>
      </c>
      <c r="D239" s="15">
        <v>124.84</v>
      </c>
      <c r="E239" s="15">
        <v>148.88</v>
      </c>
    </row>
    <row r="240" spans="1:5" x14ac:dyDescent="0.2">
      <c r="A240" s="72">
        <v>-25</v>
      </c>
      <c r="B240" s="16">
        <v>10</v>
      </c>
      <c r="C240" s="72">
        <v>1300</v>
      </c>
      <c r="D240" s="15">
        <v>110.87</v>
      </c>
      <c r="E240" s="15">
        <v>149.21</v>
      </c>
    </row>
    <row r="241" spans="1:5" x14ac:dyDescent="0.2">
      <c r="A241" s="72">
        <v>-25</v>
      </c>
      <c r="B241" s="16">
        <v>10</v>
      </c>
      <c r="C241" s="72">
        <v>1600</v>
      </c>
      <c r="D241" s="15">
        <v>96.89</v>
      </c>
      <c r="E241" s="15">
        <v>149.54</v>
      </c>
    </row>
    <row r="242" spans="1:5" x14ac:dyDescent="0.2">
      <c r="A242" s="72">
        <v>-25</v>
      </c>
      <c r="B242" s="16">
        <v>10.5</v>
      </c>
      <c r="C242" s="72">
        <v>50</v>
      </c>
      <c r="D242" s="15">
        <v>272.97000000000003</v>
      </c>
      <c r="E242" s="15">
        <v>146.61000000000001</v>
      </c>
    </row>
    <row r="243" spans="1:5" x14ac:dyDescent="0.2">
      <c r="A243" s="72">
        <v>-25</v>
      </c>
      <c r="B243" s="16">
        <v>10.5</v>
      </c>
      <c r="C243" s="72">
        <v>100</v>
      </c>
      <c r="D243" s="15">
        <v>252.28</v>
      </c>
      <c r="E243" s="15">
        <v>146.81</v>
      </c>
    </row>
    <row r="244" spans="1:5" x14ac:dyDescent="0.2">
      <c r="A244" s="72">
        <v>-25</v>
      </c>
      <c r="B244" s="16">
        <v>10.5</v>
      </c>
      <c r="C244" s="72">
        <v>300</v>
      </c>
      <c r="D244" s="15">
        <v>169.52</v>
      </c>
      <c r="E244" s="15">
        <v>147.6</v>
      </c>
    </row>
    <row r="245" spans="1:5" x14ac:dyDescent="0.2">
      <c r="A245" s="72">
        <v>-25</v>
      </c>
      <c r="B245" s="16">
        <v>10.5</v>
      </c>
      <c r="C245" s="72">
        <v>500</v>
      </c>
      <c r="D245" s="15">
        <v>141.16</v>
      </c>
      <c r="E245" s="15">
        <v>148.03</v>
      </c>
    </row>
    <row r="246" spans="1:5" x14ac:dyDescent="0.2">
      <c r="A246" s="72">
        <v>-25</v>
      </c>
      <c r="B246" s="16">
        <v>10.5</v>
      </c>
      <c r="C246" s="72">
        <v>700</v>
      </c>
      <c r="D246" s="15">
        <v>132.04</v>
      </c>
      <c r="E246" s="15">
        <v>148.22999999999999</v>
      </c>
    </row>
    <row r="247" spans="1:5" x14ac:dyDescent="0.2">
      <c r="A247" s="72">
        <v>-25</v>
      </c>
      <c r="B247" s="16">
        <v>10.5</v>
      </c>
      <c r="C247" s="72">
        <v>1000</v>
      </c>
      <c r="D247" s="15">
        <v>118.37</v>
      </c>
      <c r="E247" s="15">
        <v>148.54</v>
      </c>
    </row>
    <row r="248" spans="1:5" x14ac:dyDescent="0.2">
      <c r="A248" s="72">
        <v>-25</v>
      </c>
      <c r="B248" s="16">
        <v>10.5</v>
      </c>
      <c r="C248" s="72">
        <v>1300</v>
      </c>
      <c r="D248" s="15">
        <v>104.7</v>
      </c>
      <c r="E248" s="15">
        <v>148.85</v>
      </c>
    </row>
    <row r="249" spans="1:5" x14ac:dyDescent="0.2">
      <c r="A249" s="72">
        <v>-25</v>
      </c>
      <c r="B249" s="16">
        <v>10.5</v>
      </c>
      <c r="C249" s="72">
        <v>1600</v>
      </c>
      <c r="D249" s="15">
        <v>91.02</v>
      </c>
      <c r="E249" s="15">
        <v>149.15</v>
      </c>
    </row>
    <row r="250" spans="1:5" x14ac:dyDescent="0.2">
      <c r="A250" s="72">
        <v>-25</v>
      </c>
      <c r="B250" s="16">
        <v>11</v>
      </c>
      <c r="C250" s="72">
        <v>50</v>
      </c>
      <c r="D250" s="15">
        <v>263.14999999999998</v>
      </c>
      <c r="E250" s="15">
        <v>146.68</v>
      </c>
    </row>
    <row r="251" spans="1:5" x14ac:dyDescent="0.2">
      <c r="A251" s="72">
        <v>-25</v>
      </c>
      <c r="B251" s="16">
        <v>11</v>
      </c>
      <c r="C251" s="72">
        <v>100</v>
      </c>
      <c r="D251" s="15">
        <v>242.38</v>
      </c>
      <c r="E251" s="15">
        <v>146.88</v>
      </c>
    </row>
    <row r="252" spans="1:5" x14ac:dyDescent="0.2">
      <c r="A252" s="72">
        <v>-25</v>
      </c>
      <c r="B252" s="16">
        <v>11</v>
      </c>
      <c r="C252" s="72">
        <v>300</v>
      </c>
      <c r="D252" s="15">
        <v>159.30000000000001</v>
      </c>
      <c r="E252" s="15">
        <v>147.69</v>
      </c>
    </row>
    <row r="253" spans="1:5" x14ac:dyDescent="0.2">
      <c r="A253" s="72">
        <v>-25</v>
      </c>
      <c r="B253" s="16">
        <v>11</v>
      </c>
      <c r="C253" s="72">
        <v>500</v>
      </c>
      <c r="D253" s="15">
        <v>131.37</v>
      </c>
      <c r="E253" s="15">
        <v>148.13</v>
      </c>
    </row>
    <row r="254" spans="1:5" x14ac:dyDescent="0.2">
      <c r="A254" s="72">
        <v>-25</v>
      </c>
      <c r="B254" s="16">
        <v>11</v>
      </c>
      <c r="C254" s="72">
        <v>700</v>
      </c>
      <c r="D254" s="15">
        <v>122.55</v>
      </c>
      <c r="E254" s="15">
        <v>148.34</v>
      </c>
    </row>
    <row r="255" spans="1:5" x14ac:dyDescent="0.2">
      <c r="A255" s="72">
        <v>-25</v>
      </c>
      <c r="B255" s="16">
        <v>11</v>
      </c>
      <c r="C255" s="72">
        <v>1000</v>
      </c>
      <c r="D255" s="15">
        <v>109.31</v>
      </c>
      <c r="E255" s="15">
        <v>148.65</v>
      </c>
    </row>
    <row r="256" spans="1:5" x14ac:dyDescent="0.2">
      <c r="A256" s="72">
        <v>-25</v>
      </c>
      <c r="B256" s="16">
        <v>11</v>
      </c>
      <c r="C256" s="72">
        <v>1300</v>
      </c>
      <c r="D256" s="15">
        <v>96.07</v>
      </c>
      <c r="E256" s="15">
        <v>148.96</v>
      </c>
    </row>
    <row r="257" spans="1:5" x14ac:dyDescent="0.2">
      <c r="A257" s="72">
        <v>-25</v>
      </c>
      <c r="B257" s="16">
        <v>11</v>
      </c>
      <c r="C257" s="72">
        <v>1600</v>
      </c>
      <c r="D257" s="15">
        <v>82.84</v>
      </c>
      <c r="E257" s="15">
        <v>149.27000000000001</v>
      </c>
    </row>
    <row r="258" spans="1:5" x14ac:dyDescent="0.2">
      <c r="A258" s="72">
        <v>-25</v>
      </c>
      <c r="B258" s="16">
        <v>11.5</v>
      </c>
      <c r="C258" s="72">
        <v>50</v>
      </c>
      <c r="D258" s="15">
        <v>256.74</v>
      </c>
      <c r="E258" s="15">
        <v>146.59</v>
      </c>
    </row>
    <row r="259" spans="1:5" x14ac:dyDescent="0.2">
      <c r="A259" s="72">
        <v>-25</v>
      </c>
      <c r="B259" s="16">
        <v>11.5</v>
      </c>
      <c r="C259" s="72">
        <v>100</v>
      </c>
      <c r="D259" s="15">
        <v>235.82</v>
      </c>
      <c r="E259" s="15">
        <v>146.75</v>
      </c>
    </row>
    <row r="260" spans="1:5" x14ac:dyDescent="0.2">
      <c r="A260" s="72">
        <v>-25</v>
      </c>
      <c r="B260" s="16">
        <v>11.5</v>
      </c>
      <c r="C260" s="72">
        <v>300</v>
      </c>
      <c r="D260" s="15">
        <v>152.13</v>
      </c>
      <c r="E260" s="15">
        <v>147.38999999999999</v>
      </c>
    </row>
    <row r="261" spans="1:5" x14ac:dyDescent="0.2">
      <c r="A261" s="72">
        <v>-25</v>
      </c>
      <c r="B261" s="16">
        <v>11.5</v>
      </c>
      <c r="C261" s="72">
        <v>500</v>
      </c>
      <c r="D261" s="15">
        <v>124.42</v>
      </c>
      <c r="E261" s="15">
        <v>147.78</v>
      </c>
    </row>
    <row r="262" spans="1:5" x14ac:dyDescent="0.2">
      <c r="A262" s="72">
        <v>-25</v>
      </c>
      <c r="B262" s="16">
        <v>11.5</v>
      </c>
      <c r="C262" s="72">
        <v>700</v>
      </c>
      <c r="D262" s="15">
        <v>115.78</v>
      </c>
      <c r="E262" s="15">
        <v>147.97</v>
      </c>
    </row>
    <row r="263" spans="1:5" x14ac:dyDescent="0.2">
      <c r="A263" s="72">
        <v>-25</v>
      </c>
      <c r="B263" s="16">
        <v>11.5</v>
      </c>
      <c r="C263" s="72">
        <v>1000</v>
      </c>
      <c r="D263" s="15">
        <v>102.82</v>
      </c>
      <c r="E263" s="15">
        <v>148.26</v>
      </c>
    </row>
    <row r="264" spans="1:5" x14ac:dyDescent="0.2">
      <c r="A264" s="72">
        <v>-25</v>
      </c>
      <c r="B264" s="16">
        <v>11.5</v>
      </c>
      <c r="C264" s="72">
        <v>1300</v>
      </c>
      <c r="D264" s="15">
        <v>89.86</v>
      </c>
      <c r="E264" s="15">
        <v>148.55000000000001</v>
      </c>
    </row>
    <row r="265" spans="1:5" x14ac:dyDescent="0.2">
      <c r="A265" s="72">
        <v>-25</v>
      </c>
      <c r="B265" s="16">
        <v>11.5</v>
      </c>
      <c r="C265" s="72">
        <v>1600</v>
      </c>
      <c r="D265" s="15">
        <v>76.900000000000006</v>
      </c>
      <c r="E265" s="15">
        <v>148.84</v>
      </c>
    </row>
    <row r="266" spans="1:5" x14ac:dyDescent="0.2">
      <c r="A266" s="72">
        <v>-25</v>
      </c>
      <c r="B266" s="16">
        <v>12</v>
      </c>
      <c r="C266" s="72">
        <v>50</v>
      </c>
      <c r="D266" s="15">
        <v>246.91</v>
      </c>
      <c r="E266" s="15">
        <v>146.66</v>
      </c>
    </row>
    <row r="267" spans="1:5" x14ac:dyDescent="0.2">
      <c r="A267" s="72">
        <v>-25</v>
      </c>
      <c r="B267" s="16">
        <v>12</v>
      </c>
      <c r="C267" s="72">
        <v>100</v>
      </c>
      <c r="D267" s="15">
        <v>225.91</v>
      </c>
      <c r="E267" s="15">
        <v>146.82</v>
      </c>
    </row>
    <row r="268" spans="1:5" x14ac:dyDescent="0.2">
      <c r="A268" s="72">
        <v>-25</v>
      </c>
      <c r="B268" s="16">
        <v>12</v>
      </c>
      <c r="C268" s="72">
        <v>300</v>
      </c>
      <c r="D268" s="15">
        <v>141.93</v>
      </c>
      <c r="E268" s="15">
        <v>147.47</v>
      </c>
    </row>
    <row r="269" spans="1:5" x14ac:dyDescent="0.2">
      <c r="A269" s="72">
        <v>-25</v>
      </c>
      <c r="B269" s="16">
        <v>12</v>
      </c>
      <c r="C269" s="72">
        <v>500</v>
      </c>
      <c r="D269" s="15">
        <v>114.64</v>
      </c>
      <c r="E269" s="15">
        <v>147.86000000000001</v>
      </c>
    </row>
    <row r="270" spans="1:5" x14ac:dyDescent="0.2">
      <c r="A270" s="72">
        <v>-25</v>
      </c>
      <c r="B270" s="16">
        <v>12</v>
      </c>
      <c r="C270" s="72">
        <v>700</v>
      </c>
      <c r="D270" s="15">
        <v>106.29</v>
      </c>
      <c r="E270" s="15">
        <v>148.06</v>
      </c>
    </row>
    <row r="271" spans="1:5" x14ac:dyDescent="0.2">
      <c r="A271" s="72">
        <v>-25</v>
      </c>
      <c r="B271" s="16">
        <v>12</v>
      </c>
      <c r="C271" s="72">
        <v>1000</v>
      </c>
      <c r="D271" s="15">
        <v>93.76</v>
      </c>
      <c r="E271" s="15">
        <v>148.35</v>
      </c>
    </row>
    <row r="272" spans="1:5" x14ac:dyDescent="0.2">
      <c r="A272" s="72">
        <v>-25</v>
      </c>
      <c r="B272" s="16">
        <v>12</v>
      </c>
      <c r="C272" s="72">
        <v>1300</v>
      </c>
      <c r="D272" s="15">
        <v>81.23</v>
      </c>
      <c r="E272" s="15">
        <v>148.63999999999999</v>
      </c>
    </row>
    <row r="273" spans="1:5" x14ac:dyDescent="0.2">
      <c r="A273" s="72">
        <v>-25</v>
      </c>
      <c r="B273" s="16">
        <v>12</v>
      </c>
      <c r="C273" s="72">
        <v>1600</v>
      </c>
      <c r="D273" s="15">
        <v>68.7</v>
      </c>
      <c r="E273" s="15">
        <v>148.94</v>
      </c>
    </row>
    <row r="274" spans="1:5" x14ac:dyDescent="0.2">
      <c r="A274" s="72">
        <v>-25</v>
      </c>
      <c r="B274" s="16">
        <v>12.5</v>
      </c>
      <c r="C274" s="72">
        <v>50</v>
      </c>
      <c r="D274" s="15">
        <v>239.9</v>
      </c>
      <c r="E274" s="15">
        <v>146.72</v>
      </c>
    </row>
    <row r="275" spans="1:5" x14ac:dyDescent="0.2">
      <c r="A275" s="72">
        <v>-25</v>
      </c>
      <c r="B275" s="16">
        <v>12.5</v>
      </c>
      <c r="C275" s="72">
        <v>100</v>
      </c>
      <c r="D275" s="15">
        <v>218.81</v>
      </c>
      <c r="E275" s="15">
        <v>146.88</v>
      </c>
    </row>
    <row r="276" spans="1:5" x14ac:dyDescent="0.2">
      <c r="A276" s="72">
        <v>-25</v>
      </c>
      <c r="B276" s="16">
        <v>12.5</v>
      </c>
      <c r="C276" s="72">
        <v>300</v>
      </c>
      <c r="D276" s="15">
        <v>134.47</v>
      </c>
      <c r="E276" s="15">
        <v>147.52000000000001</v>
      </c>
    </row>
    <row r="277" spans="1:5" x14ac:dyDescent="0.2">
      <c r="A277" s="72">
        <v>-25</v>
      </c>
      <c r="B277" s="16">
        <v>12.5</v>
      </c>
      <c r="C277" s="72">
        <v>500</v>
      </c>
      <c r="D277" s="15">
        <v>107.65</v>
      </c>
      <c r="E277" s="15">
        <v>147.91</v>
      </c>
    </row>
    <row r="278" spans="1:5" x14ac:dyDescent="0.2">
      <c r="A278" s="72">
        <v>-25</v>
      </c>
      <c r="B278" s="16">
        <v>12.5</v>
      </c>
      <c r="C278" s="72">
        <v>700</v>
      </c>
      <c r="D278" s="15">
        <v>99.58</v>
      </c>
      <c r="E278" s="15">
        <v>148.11000000000001</v>
      </c>
    </row>
    <row r="279" spans="1:5" x14ac:dyDescent="0.2">
      <c r="A279" s="72">
        <v>-25</v>
      </c>
      <c r="B279" s="16">
        <v>12.5</v>
      </c>
      <c r="C279" s="72">
        <v>1000</v>
      </c>
      <c r="D279" s="15">
        <v>87.49</v>
      </c>
      <c r="E279" s="15">
        <v>148.4</v>
      </c>
    </row>
    <row r="280" spans="1:5" x14ac:dyDescent="0.2">
      <c r="A280" s="72">
        <v>-25</v>
      </c>
      <c r="B280" s="16">
        <v>12.5</v>
      </c>
      <c r="C280" s="72">
        <v>1300</v>
      </c>
      <c r="D280" s="15">
        <v>75.39</v>
      </c>
      <c r="E280" s="15">
        <v>148.69</v>
      </c>
    </row>
    <row r="281" spans="1:5" x14ac:dyDescent="0.2">
      <c r="A281" s="72">
        <v>-25</v>
      </c>
      <c r="B281" s="16">
        <v>12.5</v>
      </c>
      <c r="C281" s="72">
        <v>1600</v>
      </c>
      <c r="D281" s="15">
        <v>63.29</v>
      </c>
      <c r="E281" s="15">
        <v>148.99</v>
      </c>
    </row>
    <row r="282" spans="1:5" x14ac:dyDescent="0.2">
      <c r="A282" s="72">
        <v>-25</v>
      </c>
      <c r="B282" s="16">
        <v>13</v>
      </c>
      <c r="C282" s="72">
        <v>50</v>
      </c>
      <c r="D282" s="15">
        <v>229.52</v>
      </c>
      <c r="E282" s="15">
        <v>146.91999999999999</v>
      </c>
    </row>
    <row r="283" spans="1:5" x14ac:dyDescent="0.2">
      <c r="A283" s="72">
        <v>-25</v>
      </c>
      <c r="B283" s="16">
        <v>13</v>
      </c>
      <c r="C283" s="72">
        <v>100</v>
      </c>
      <c r="D283" s="15">
        <v>208.4</v>
      </c>
      <c r="E283" s="15">
        <v>147.13999999999999</v>
      </c>
    </row>
    <row r="284" spans="1:5" x14ac:dyDescent="0.2">
      <c r="A284" s="72">
        <v>-25</v>
      </c>
      <c r="B284" s="16">
        <v>13</v>
      </c>
      <c r="C284" s="72">
        <v>300</v>
      </c>
      <c r="D284" s="15">
        <v>123.91</v>
      </c>
      <c r="E284" s="15">
        <v>148.01</v>
      </c>
    </row>
    <row r="285" spans="1:5" x14ac:dyDescent="0.2">
      <c r="A285" s="72">
        <v>-25</v>
      </c>
      <c r="B285" s="16">
        <v>13</v>
      </c>
      <c r="C285" s="72">
        <v>500</v>
      </c>
      <c r="D285" s="15">
        <v>97.82</v>
      </c>
      <c r="E285" s="15">
        <v>148.46</v>
      </c>
    </row>
    <row r="286" spans="1:5" x14ac:dyDescent="0.2">
      <c r="A286" s="72">
        <v>-25</v>
      </c>
      <c r="B286" s="16">
        <v>13</v>
      </c>
      <c r="C286" s="72">
        <v>700</v>
      </c>
      <c r="D286" s="15">
        <v>90.16</v>
      </c>
      <c r="E286" s="15">
        <v>148.68</v>
      </c>
    </row>
    <row r="287" spans="1:5" x14ac:dyDescent="0.2">
      <c r="A287" s="72">
        <v>-25</v>
      </c>
      <c r="B287" s="16">
        <v>13</v>
      </c>
      <c r="C287" s="72">
        <v>1000</v>
      </c>
      <c r="D287" s="15">
        <v>78.680000000000007</v>
      </c>
      <c r="E287" s="15">
        <v>149</v>
      </c>
    </row>
    <row r="288" spans="1:5" x14ac:dyDescent="0.2">
      <c r="A288" s="72">
        <v>-25</v>
      </c>
      <c r="B288" s="16">
        <v>13</v>
      </c>
      <c r="C288" s="72">
        <v>1300</v>
      </c>
      <c r="D288" s="15">
        <v>67.2</v>
      </c>
      <c r="E288" s="15">
        <v>149.32</v>
      </c>
    </row>
    <row r="289" spans="1:5" x14ac:dyDescent="0.2">
      <c r="A289" s="72">
        <v>-25</v>
      </c>
      <c r="B289" s="16">
        <v>13</v>
      </c>
      <c r="C289" s="72">
        <v>1600</v>
      </c>
      <c r="D289" s="15">
        <v>55.71</v>
      </c>
      <c r="E289" s="15">
        <v>149.65</v>
      </c>
    </row>
    <row r="290" spans="1:5" x14ac:dyDescent="0.2">
      <c r="A290" s="72">
        <v>-25</v>
      </c>
      <c r="B290" s="16">
        <v>13.5</v>
      </c>
      <c r="C290" s="72">
        <v>50</v>
      </c>
      <c r="D290" s="15">
        <v>222.53</v>
      </c>
      <c r="E290" s="15">
        <v>147</v>
      </c>
    </row>
    <row r="291" spans="1:5" x14ac:dyDescent="0.2">
      <c r="A291" s="72">
        <v>-25</v>
      </c>
      <c r="B291" s="16">
        <v>13.5</v>
      </c>
      <c r="C291" s="72">
        <v>100</v>
      </c>
      <c r="D291" s="15">
        <v>201.31</v>
      </c>
      <c r="E291" s="15">
        <v>147.21</v>
      </c>
    </row>
    <row r="292" spans="1:5" x14ac:dyDescent="0.2">
      <c r="A292" s="72">
        <v>-25</v>
      </c>
      <c r="B292" s="16">
        <v>13.5</v>
      </c>
      <c r="C292" s="72">
        <v>300</v>
      </c>
      <c r="D292" s="15">
        <v>116.44</v>
      </c>
      <c r="E292" s="15">
        <v>148.07</v>
      </c>
    </row>
    <row r="293" spans="1:5" x14ac:dyDescent="0.2">
      <c r="A293" s="72">
        <v>-25</v>
      </c>
      <c r="B293" s="16">
        <v>13.5</v>
      </c>
      <c r="C293" s="72">
        <v>500</v>
      </c>
      <c r="D293" s="15">
        <v>90.83</v>
      </c>
      <c r="E293" s="15">
        <v>148.53</v>
      </c>
    </row>
    <row r="294" spans="1:5" x14ac:dyDescent="0.2">
      <c r="A294" s="72">
        <v>-25</v>
      </c>
      <c r="B294" s="16">
        <v>13.5</v>
      </c>
      <c r="C294" s="72">
        <v>700</v>
      </c>
      <c r="D294" s="15">
        <v>83.47</v>
      </c>
      <c r="E294" s="15">
        <v>148.74</v>
      </c>
    </row>
    <row r="295" spans="1:5" x14ac:dyDescent="0.2">
      <c r="A295" s="72">
        <v>-25</v>
      </c>
      <c r="B295" s="16">
        <v>13.5</v>
      </c>
      <c r="C295" s="72">
        <v>1000</v>
      </c>
      <c r="D295" s="15">
        <v>72.42</v>
      </c>
      <c r="E295" s="15">
        <v>149.07</v>
      </c>
    </row>
    <row r="296" spans="1:5" x14ac:dyDescent="0.2">
      <c r="A296" s="72">
        <v>-25</v>
      </c>
      <c r="B296" s="16">
        <v>13.5</v>
      </c>
      <c r="C296" s="72">
        <v>1300</v>
      </c>
      <c r="D296" s="15">
        <v>61.37</v>
      </c>
      <c r="E296" s="15">
        <v>149.38999999999999</v>
      </c>
    </row>
    <row r="297" spans="1:5" x14ac:dyDescent="0.2">
      <c r="A297" s="72">
        <v>-25</v>
      </c>
      <c r="B297" s="16">
        <v>13.5</v>
      </c>
      <c r="C297" s="72">
        <v>1600</v>
      </c>
      <c r="D297" s="15">
        <v>50.33</v>
      </c>
      <c r="E297" s="15">
        <v>149.71</v>
      </c>
    </row>
    <row r="298" spans="1:5" x14ac:dyDescent="0.2">
      <c r="A298" s="72">
        <v>-25</v>
      </c>
      <c r="B298" s="16">
        <v>14</v>
      </c>
      <c r="C298" s="72">
        <v>50</v>
      </c>
      <c r="D298" s="15">
        <v>202.22</v>
      </c>
      <c r="E298" s="15">
        <v>147.66</v>
      </c>
    </row>
    <row r="299" spans="1:5" x14ac:dyDescent="0.2">
      <c r="A299" s="72">
        <v>-25</v>
      </c>
      <c r="B299" s="16">
        <v>14</v>
      </c>
      <c r="C299" s="72">
        <v>100</v>
      </c>
      <c r="D299" s="15">
        <v>181.06</v>
      </c>
      <c r="E299" s="15">
        <v>148.13</v>
      </c>
    </row>
    <row r="300" spans="1:5" x14ac:dyDescent="0.2">
      <c r="A300" s="72">
        <v>-25</v>
      </c>
      <c r="B300" s="16">
        <v>14</v>
      </c>
      <c r="C300" s="72">
        <v>300</v>
      </c>
      <c r="D300" s="15">
        <v>96.44</v>
      </c>
      <c r="E300" s="15">
        <v>150.02000000000001</v>
      </c>
    </row>
    <row r="301" spans="1:5" x14ac:dyDescent="0.2">
      <c r="A301" s="72">
        <v>-25</v>
      </c>
      <c r="B301" s="16">
        <v>14</v>
      </c>
      <c r="C301" s="72">
        <v>500</v>
      </c>
      <c r="D301" s="15">
        <v>72.459999999999994</v>
      </c>
      <c r="E301" s="15">
        <v>150.77000000000001</v>
      </c>
    </row>
    <row r="302" spans="1:5" x14ac:dyDescent="0.2">
      <c r="A302" s="72">
        <v>-25</v>
      </c>
      <c r="B302" s="16">
        <v>14</v>
      </c>
      <c r="C302" s="72">
        <v>700</v>
      </c>
      <c r="D302" s="15">
        <v>65.930000000000007</v>
      </c>
      <c r="E302" s="15">
        <v>151.05000000000001</v>
      </c>
    </row>
    <row r="303" spans="1:5" x14ac:dyDescent="0.2">
      <c r="A303" s="72">
        <v>-25</v>
      </c>
      <c r="B303" s="16">
        <v>14</v>
      </c>
      <c r="C303" s="72">
        <v>1000</v>
      </c>
      <c r="D303" s="15">
        <v>56.14</v>
      </c>
      <c r="E303" s="15">
        <v>151.47999999999999</v>
      </c>
    </row>
    <row r="304" spans="1:5" x14ac:dyDescent="0.2">
      <c r="A304" s="72">
        <v>-25</v>
      </c>
      <c r="B304" s="16">
        <v>14</v>
      </c>
      <c r="C304" s="72">
        <v>1300</v>
      </c>
      <c r="D304" s="15">
        <v>46.34</v>
      </c>
      <c r="E304" s="15">
        <v>151.91</v>
      </c>
    </row>
    <row r="305" spans="1:5" x14ac:dyDescent="0.2">
      <c r="A305" s="72">
        <v>-25</v>
      </c>
      <c r="B305" s="16">
        <v>14</v>
      </c>
      <c r="C305" s="72">
        <v>1600</v>
      </c>
      <c r="D305" s="15">
        <v>36.549999999999997</v>
      </c>
      <c r="E305" s="15">
        <v>152.33000000000001</v>
      </c>
    </row>
    <row r="306" spans="1:5" x14ac:dyDescent="0.2">
      <c r="A306" s="72">
        <v>-25</v>
      </c>
      <c r="B306" s="16">
        <v>14.5</v>
      </c>
      <c r="C306" s="72">
        <v>50</v>
      </c>
      <c r="D306" s="15">
        <v>189.59</v>
      </c>
      <c r="E306" s="15">
        <v>148.05000000000001</v>
      </c>
    </row>
    <row r="307" spans="1:5" x14ac:dyDescent="0.2">
      <c r="A307" s="72">
        <v>-25</v>
      </c>
      <c r="B307" s="16">
        <v>14.5</v>
      </c>
      <c r="C307" s="72">
        <v>100</v>
      </c>
      <c r="D307" s="15">
        <v>169.3</v>
      </c>
      <c r="E307" s="15">
        <v>148.63999999999999</v>
      </c>
    </row>
    <row r="308" spans="1:5" x14ac:dyDescent="0.2">
      <c r="A308" s="72">
        <v>-25</v>
      </c>
      <c r="B308" s="16">
        <v>14.5</v>
      </c>
      <c r="C308" s="72">
        <v>300</v>
      </c>
      <c r="D308" s="15">
        <v>88.13</v>
      </c>
      <c r="E308" s="15">
        <v>151.02000000000001</v>
      </c>
    </row>
    <row r="309" spans="1:5" x14ac:dyDescent="0.2">
      <c r="A309" s="72">
        <v>-25</v>
      </c>
      <c r="B309" s="16">
        <v>14.5</v>
      </c>
      <c r="C309" s="72">
        <v>500</v>
      </c>
      <c r="D309" s="15">
        <v>65.599999999999994</v>
      </c>
      <c r="E309" s="15">
        <v>151.91999999999999</v>
      </c>
    </row>
    <row r="310" spans="1:5" x14ac:dyDescent="0.2">
      <c r="A310" s="72">
        <v>-25</v>
      </c>
      <c r="B310" s="16">
        <v>14.5</v>
      </c>
      <c r="C310" s="72">
        <v>700</v>
      </c>
      <c r="D310" s="15">
        <v>59.55</v>
      </c>
      <c r="E310" s="15">
        <v>152.24</v>
      </c>
    </row>
    <row r="311" spans="1:5" x14ac:dyDescent="0.2">
      <c r="A311" s="72">
        <v>-25</v>
      </c>
      <c r="B311" s="16">
        <v>14.5</v>
      </c>
      <c r="C311" s="72">
        <v>1000</v>
      </c>
      <c r="D311" s="15">
        <v>50.49</v>
      </c>
      <c r="E311" s="15">
        <v>152.72999999999999</v>
      </c>
    </row>
    <row r="312" spans="1:5" x14ac:dyDescent="0.2">
      <c r="A312" s="72">
        <v>-25</v>
      </c>
      <c r="B312" s="16">
        <v>14.5</v>
      </c>
      <c r="C312" s="72">
        <v>1300</v>
      </c>
      <c r="D312" s="15">
        <v>41.42</v>
      </c>
      <c r="E312" s="15">
        <v>153.22</v>
      </c>
    </row>
    <row r="313" spans="1:5" x14ac:dyDescent="0.2">
      <c r="A313" s="72">
        <v>-25</v>
      </c>
      <c r="B313" s="16">
        <v>14.5</v>
      </c>
      <c r="C313" s="72">
        <v>1600</v>
      </c>
      <c r="D313" s="15">
        <v>32.35</v>
      </c>
      <c r="E313" s="15">
        <v>153.69999999999999</v>
      </c>
    </row>
    <row r="314" spans="1:5" x14ac:dyDescent="0.2">
      <c r="A314" s="72">
        <v>-25</v>
      </c>
      <c r="B314" s="16">
        <v>15</v>
      </c>
      <c r="C314" s="72">
        <v>50</v>
      </c>
      <c r="D314" s="15">
        <v>180.41</v>
      </c>
      <c r="E314" s="15">
        <v>148.28</v>
      </c>
    </row>
    <row r="315" spans="1:5" x14ac:dyDescent="0.2">
      <c r="A315" s="72">
        <v>-25</v>
      </c>
      <c r="B315" s="16">
        <v>15</v>
      </c>
      <c r="C315" s="72">
        <v>100</v>
      </c>
      <c r="D315" s="15">
        <v>160.97</v>
      </c>
      <c r="E315" s="15">
        <v>148.93</v>
      </c>
    </row>
    <row r="316" spans="1:5" x14ac:dyDescent="0.2">
      <c r="A316" s="72">
        <v>-25</v>
      </c>
      <c r="B316" s="16">
        <v>15</v>
      </c>
      <c r="C316" s="72">
        <v>300</v>
      </c>
      <c r="D316" s="15">
        <v>83.23</v>
      </c>
      <c r="E316" s="15">
        <v>151.53</v>
      </c>
    </row>
    <row r="317" spans="1:5" x14ac:dyDescent="0.2">
      <c r="A317" s="72">
        <v>-25</v>
      </c>
      <c r="B317" s="16">
        <v>15</v>
      </c>
      <c r="C317" s="72">
        <v>500</v>
      </c>
      <c r="D317" s="15">
        <v>61.88</v>
      </c>
      <c r="E317" s="15">
        <v>152.5</v>
      </c>
    </row>
    <row r="318" spans="1:5" x14ac:dyDescent="0.2">
      <c r="A318" s="72">
        <v>-25</v>
      </c>
      <c r="B318" s="16">
        <v>15</v>
      </c>
      <c r="C318" s="72">
        <v>700</v>
      </c>
      <c r="D318" s="15">
        <v>56.17</v>
      </c>
      <c r="E318" s="15">
        <v>152.84</v>
      </c>
    </row>
    <row r="319" spans="1:5" x14ac:dyDescent="0.2">
      <c r="A319" s="72">
        <v>-25</v>
      </c>
      <c r="B319" s="16">
        <v>15</v>
      </c>
      <c r="C319" s="72">
        <v>1000</v>
      </c>
      <c r="D319" s="15">
        <v>47.61</v>
      </c>
      <c r="E319" s="15">
        <v>153.36000000000001</v>
      </c>
    </row>
    <row r="320" spans="1:5" x14ac:dyDescent="0.2">
      <c r="A320" s="72">
        <v>-25</v>
      </c>
      <c r="B320" s="16">
        <v>15</v>
      </c>
      <c r="C320" s="72">
        <v>1300</v>
      </c>
      <c r="D320" s="15">
        <v>39.049999999999997</v>
      </c>
      <c r="E320" s="15">
        <v>153.87</v>
      </c>
    </row>
    <row r="321" spans="1:5" x14ac:dyDescent="0.2">
      <c r="A321" s="72">
        <v>-25</v>
      </c>
      <c r="B321" s="16">
        <v>15</v>
      </c>
      <c r="C321" s="72">
        <v>1600</v>
      </c>
      <c r="D321" s="15">
        <v>30.49</v>
      </c>
      <c r="E321" s="15">
        <v>154.38</v>
      </c>
    </row>
    <row r="322" spans="1:5" x14ac:dyDescent="0.2">
      <c r="A322" s="72">
        <v>-25</v>
      </c>
      <c r="B322" s="16">
        <v>15.5</v>
      </c>
      <c r="C322" s="72">
        <v>50</v>
      </c>
      <c r="D322" s="15">
        <v>174.49</v>
      </c>
      <c r="E322" s="15">
        <v>148.37</v>
      </c>
    </row>
    <row r="323" spans="1:5" x14ac:dyDescent="0.2">
      <c r="A323" s="72">
        <v>-25</v>
      </c>
      <c r="B323" s="16">
        <v>15.5</v>
      </c>
      <c r="C323" s="72">
        <v>100</v>
      </c>
      <c r="D323" s="15">
        <v>155.86000000000001</v>
      </c>
      <c r="E323" s="15">
        <v>149.01</v>
      </c>
    </row>
    <row r="324" spans="1:5" x14ac:dyDescent="0.2">
      <c r="A324" s="72">
        <v>-25</v>
      </c>
      <c r="B324" s="16">
        <v>15.5</v>
      </c>
      <c r="C324" s="72">
        <v>300</v>
      </c>
      <c r="D324" s="15">
        <v>81.33</v>
      </c>
      <c r="E324" s="15">
        <v>151.58000000000001</v>
      </c>
    </row>
    <row r="325" spans="1:5" x14ac:dyDescent="0.2">
      <c r="A325" s="72">
        <v>-25</v>
      </c>
      <c r="B325" s="16">
        <v>15.5</v>
      </c>
      <c r="C325" s="72">
        <v>500</v>
      </c>
      <c r="D325" s="15">
        <v>60.86</v>
      </c>
      <c r="E325" s="15">
        <v>152.54</v>
      </c>
    </row>
    <row r="326" spans="1:5" x14ac:dyDescent="0.2">
      <c r="A326" s="72">
        <v>-25</v>
      </c>
      <c r="B326" s="16">
        <v>15.5</v>
      </c>
      <c r="C326" s="72">
        <v>700</v>
      </c>
      <c r="D326" s="15">
        <v>55.36</v>
      </c>
      <c r="E326" s="15">
        <v>152.88999999999999</v>
      </c>
    </row>
    <row r="327" spans="1:5" x14ac:dyDescent="0.2">
      <c r="A327" s="72">
        <v>-25</v>
      </c>
      <c r="B327" s="16">
        <v>15.5</v>
      </c>
      <c r="C327" s="72">
        <v>1000</v>
      </c>
      <c r="D327" s="15">
        <v>47.12</v>
      </c>
      <c r="E327" s="15">
        <v>153.41</v>
      </c>
    </row>
    <row r="328" spans="1:5" x14ac:dyDescent="0.2">
      <c r="A328" s="72">
        <v>-25</v>
      </c>
      <c r="B328" s="16">
        <v>15.5</v>
      </c>
      <c r="C328" s="72">
        <v>1300</v>
      </c>
      <c r="D328" s="15">
        <v>38.869999999999997</v>
      </c>
      <c r="E328" s="15">
        <v>153.93</v>
      </c>
    </row>
    <row r="329" spans="1:5" x14ac:dyDescent="0.2">
      <c r="A329" s="72">
        <v>-25</v>
      </c>
      <c r="B329" s="16">
        <v>15.5</v>
      </c>
      <c r="C329" s="72">
        <v>1600</v>
      </c>
      <c r="D329" s="15">
        <v>30.62</v>
      </c>
      <c r="E329" s="15">
        <v>154.44999999999999</v>
      </c>
    </row>
    <row r="330" spans="1:5" x14ac:dyDescent="0.2">
      <c r="A330" s="72">
        <v>-25</v>
      </c>
      <c r="B330" s="16">
        <v>16</v>
      </c>
      <c r="C330" s="72">
        <v>50</v>
      </c>
      <c r="D330" s="15">
        <v>168.58</v>
      </c>
      <c r="E330" s="15">
        <v>148.44999999999999</v>
      </c>
    </row>
    <row r="331" spans="1:5" x14ac:dyDescent="0.2">
      <c r="A331" s="72">
        <v>-25</v>
      </c>
      <c r="B331" s="16">
        <v>16</v>
      </c>
      <c r="C331" s="72">
        <v>100</v>
      </c>
      <c r="D331" s="15">
        <v>150.75</v>
      </c>
      <c r="E331" s="15">
        <v>149.08000000000001</v>
      </c>
    </row>
    <row r="332" spans="1:5" x14ac:dyDescent="0.2">
      <c r="A332" s="72">
        <v>-25</v>
      </c>
      <c r="B332" s="16">
        <v>16</v>
      </c>
      <c r="C332" s="72">
        <v>300</v>
      </c>
      <c r="D332" s="15">
        <v>79.42</v>
      </c>
      <c r="E332" s="15">
        <v>151.62</v>
      </c>
    </row>
    <row r="333" spans="1:5" x14ac:dyDescent="0.2">
      <c r="A333" s="72">
        <v>-25</v>
      </c>
      <c r="B333" s="16">
        <v>16</v>
      </c>
      <c r="C333" s="72">
        <v>500</v>
      </c>
      <c r="D333" s="15">
        <v>59.83</v>
      </c>
      <c r="E333" s="15">
        <v>152.59</v>
      </c>
    </row>
    <row r="334" spans="1:5" x14ac:dyDescent="0.2">
      <c r="A334" s="72">
        <v>-25</v>
      </c>
      <c r="B334" s="16">
        <v>16</v>
      </c>
      <c r="C334" s="72">
        <v>700</v>
      </c>
      <c r="D334" s="15">
        <v>54.54</v>
      </c>
      <c r="E334" s="15">
        <v>152.94</v>
      </c>
    </row>
    <row r="335" spans="1:5" x14ac:dyDescent="0.2">
      <c r="A335" s="72">
        <v>-25</v>
      </c>
      <c r="B335" s="16">
        <v>16</v>
      </c>
      <c r="C335" s="72">
        <v>1000</v>
      </c>
      <c r="D335" s="15">
        <v>46.61</v>
      </c>
      <c r="E335" s="15">
        <v>153.47</v>
      </c>
    </row>
    <row r="336" spans="1:5" x14ac:dyDescent="0.2">
      <c r="A336" s="72">
        <v>-25</v>
      </c>
      <c r="B336" s="16">
        <v>16</v>
      </c>
      <c r="C336" s="72">
        <v>1300</v>
      </c>
      <c r="D336" s="15">
        <v>38.68</v>
      </c>
      <c r="E336" s="15">
        <v>153.99</v>
      </c>
    </row>
    <row r="337" spans="1:5" x14ac:dyDescent="0.2">
      <c r="A337" s="72">
        <v>-25</v>
      </c>
      <c r="B337" s="16">
        <v>16</v>
      </c>
      <c r="C337" s="72">
        <v>1600</v>
      </c>
      <c r="D337" s="15">
        <v>30.75</v>
      </c>
      <c r="E337" s="15">
        <v>154.52000000000001</v>
      </c>
    </row>
    <row r="338" spans="1:5" x14ac:dyDescent="0.2">
      <c r="A338" s="72">
        <v>5</v>
      </c>
      <c r="B338" s="16">
        <v>6</v>
      </c>
      <c r="C338" s="72">
        <v>50</v>
      </c>
      <c r="D338" s="15">
        <v>444.63</v>
      </c>
      <c r="E338" s="15">
        <v>162.91999999999999</v>
      </c>
    </row>
    <row r="339" spans="1:5" x14ac:dyDescent="0.2">
      <c r="A339" s="72">
        <v>5</v>
      </c>
      <c r="B339" s="16">
        <v>6</v>
      </c>
      <c r="C339" s="72">
        <v>100</v>
      </c>
      <c r="D339" s="15">
        <v>424.33</v>
      </c>
      <c r="E339" s="15">
        <v>162.96</v>
      </c>
    </row>
    <row r="340" spans="1:5" x14ac:dyDescent="0.2">
      <c r="A340" s="72">
        <v>5</v>
      </c>
      <c r="B340" s="16">
        <v>6</v>
      </c>
      <c r="C340" s="72">
        <v>300</v>
      </c>
      <c r="D340" s="15">
        <v>343.15</v>
      </c>
      <c r="E340" s="15">
        <v>163.12</v>
      </c>
    </row>
    <row r="341" spans="1:5" x14ac:dyDescent="0.2">
      <c r="A341" s="72">
        <v>5</v>
      </c>
      <c r="B341" s="16">
        <v>6</v>
      </c>
      <c r="C341" s="72">
        <v>500</v>
      </c>
      <c r="D341" s="15">
        <v>310.89999999999998</v>
      </c>
      <c r="E341" s="15">
        <v>163.22</v>
      </c>
    </row>
    <row r="342" spans="1:5" x14ac:dyDescent="0.2">
      <c r="A342" s="72">
        <v>5</v>
      </c>
      <c r="B342" s="16">
        <v>6</v>
      </c>
      <c r="C342" s="72">
        <v>700</v>
      </c>
      <c r="D342" s="15">
        <v>299.01</v>
      </c>
      <c r="E342" s="15">
        <v>163.28</v>
      </c>
    </row>
    <row r="343" spans="1:5" x14ac:dyDescent="0.2">
      <c r="A343" s="72">
        <v>5</v>
      </c>
      <c r="B343" s="16">
        <v>6</v>
      </c>
      <c r="C343" s="72">
        <v>1000</v>
      </c>
      <c r="D343" s="15">
        <v>281.17</v>
      </c>
      <c r="E343" s="15">
        <v>163.37</v>
      </c>
    </row>
    <row r="344" spans="1:5" x14ac:dyDescent="0.2">
      <c r="A344" s="72">
        <v>5</v>
      </c>
      <c r="B344" s="16">
        <v>6</v>
      </c>
      <c r="C344" s="72">
        <v>1300</v>
      </c>
      <c r="D344" s="15">
        <v>263.33</v>
      </c>
      <c r="E344" s="15">
        <v>163.44999999999999</v>
      </c>
    </row>
    <row r="345" spans="1:5" x14ac:dyDescent="0.2">
      <c r="A345" s="72">
        <v>5</v>
      </c>
      <c r="B345" s="16">
        <v>6</v>
      </c>
      <c r="C345" s="72">
        <v>1600</v>
      </c>
      <c r="D345" s="15">
        <v>245.49</v>
      </c>
      <c r="E345" s="15">
        <v>163.54</v>
      </c>
    </row>
    <row r="346" spans="1:5" x14ac:dyDescent="0.2">
      <c r="A346" s="72">
        <v>5</v>
      </c>
      <c r="B346" s="16">
        <v>6.5</v>
      </c>
      <c r="C346" s="72">
        <v>50</v>
      </c>
      <c r="D346" s="15">
        <v>420.54</v>
      </c>
      <c r="E346" s="15">
        <v>162.94</v>
      </c>
    </row>
    <row r="347" spans="1:5" x14ac:dyDescent="0.2">
      <c r="A347" s="72">
        <v>5</v>
      </c>
      <c r="B347" s="16">
        <v>6.5</v>
      </c>
      <c r="C347" s="72">
        <v>100</v>
      </c>
      <c r="D347" s="15">
        <v>400.19</v>
      </c>
      <c r="E347" s="15">
        <v>162.97999999999999</v>
      </c>
    </row>
    <row r="348" spans="1:5" x14ac:dyDescent="0.2">
      <c r="A348" s="72">
        <v>5</v>
      </c>
      <c r="B348" s="16">
        <v>6.5</v>
      </c>
      <c r="C348" s="72">
        <v>300</v>
      </c>
      <c r="D348" s="15">
        <v>318.77999999999997</v>
      </c>
      <c r="E348" s="15">
        <v>163.15</v>
      </c>
    </row>
    <row r="349" spans="1:5" x14ac:dyDescent="0.2">
      <c r="A349" s="72">
        <v>5</v>
      </c>
      <c r="B349" s="16">
        <v>6.5</v>
      </c>
      <c r="C349" s="72">
        <v>500</v>
      </c>
      <c r="D349" s="15">
        <v>286.89</v>
      </c>
      <c r="E349" s="15">
        <v>163.25</v>
      </c>
    </row>
    <row r="350" spans="1:5" x14ac:dyDescent="0.2">
      <c r="A350" s="72">
        <v>5</v>
      </c>
      <c r="B350" s="16">
        <v>6.5</v>
      </c>
      <c r="C350" s="72">
        <v>700</v>
      </c>
      <c r="D350" s="15">
        <v>275.29000000000002</v>
      </c>
      <c r="E350" s="15">
        <v>163.31</v>
      </c>
    </row>
    <row r="351" spans="1:5" x14ac:dyDescent="0.2">
      <c r="A351" s="72">
        <v>5</v>
      </c>
      <c r="B351" s="16">
        <v>6.5</v>
      </c>
      <c r="C351" s="72">
        <v>1000</v>
      </c>
      <c r="D351" s="15">
        <v>257.89</v>
      </c>
      <c r="E351" s="15">
        <v>163.4</v>
      </c>
    </row>
    <row r="352" spans="1:5" x14ac:dyDescent="0.2">
      <c r="A352" s="72">
        <v>5</v>
      </c>
      <c r="B352" s="16">
        <v>6.5</v>
      </c>
      <c r="C352" s="72">
        <v>1300</v>
      </c>
      <c r="D352" s="15">
        <v>240.48</v>
      </c>
      <c r="E352" s="15">
        <v>163.49</v>
      </c>
    </row>
    <row r="353" spans="1:5" x14ac:dyDescent="0.2">
      <c r="A353" s="72">
        <v>5</v>
      </c>
      <c r="B353" s="16">
        <v>6.5</v>
      </c>
      <c r="C353" s="72">
        <v>1600</v>
      </c>
      <c r="D353" s="15">
        <v>223.08</v>
      </c>
      <c r="E353" s="15">
        <v>163.58000000000001</v>
      </c>
    </row>
    <row r="354" spans="1:5" x14ac:dyDescent="0.2">
      <c r="A354" s="72">
        <v>5</v>
      </c>
      <c r="B354" s="16">
        <v>7</v>
      </c>
      <c r="C354" s="72">
        <v>50</v>
      </c>
      <c r="D354" s="15">
        <v>396.46</v>
      </c>
      <c r="E354" s="15">
        <v>162.97</v>
      </c>
    </row>
    <row r="355" spans="1:5" x14ac:dyDescent="0.2">
      <c r="A355" s="72">
        <v>5</v>
      </c>
      <c r="B355" s="16">
        <v>7</v>
      </c>
      <c r="C355" s="72">
        <v>100</v>
      </c>
      <c r="D355" s="15">
        <v>376.05</v>
      </c>
      <c r="E355" s="15">
        <v>163.01</v>
      </c>
    </row>
    <row r="356" spans="1:5" x14ac:dyDescent="0.2">
      <c r="A356" s="72">
        <v>5</v>
      </c>
      <c r="B356" s="16">
        <v>7</v>
      </c>
      <c r="C356" s="72">
        <v>300</v>
      </c>
      <c r="D356" s="15">
        <v>294.39999999999998</v>
      </c>
      <c r="E356" s="15">
        <v>163.16999999999999</v>
      </c>
    </row>
    <row r="357" spans="1:5" x14ac:dyDescent="0.2">
      <c r="A357" s="72">
        <v>5</v>
      </c>
      <c r="B357" s="16">
        <v>7</v>
      </c>
      <c r="C357" s="72">
        <v>500</v>
      </c>
      <c r="D357" s="15">
        <v>262.89</v>
      </c>
      <c r="E357" s="15">
        <v>163.28</v>
      </c>
    </row>
    <row r="358" spans="1:5" x14ac:dyDescent="0.2">
      <c r="A358" s="72">
        <v>5</v>
      </c>
      <c r="B358" s="16">
        <v>7</v>
      </c>
      <c r="C358" s="72">
        <v>700</v>
      </c>
      <c r="D358" s="15">
        <v>251.58</v>
      </c>
      <c r="E358" s="15">
        <v>163.34</v>
      </c>
    </row>
    <row r="359" spans="1:5" x14ac:dyDescent="0.2">
      <c r="A359" s="72">
        <v>5</v>
      </c>
      <c r="B359" s="16">
        <v>7</v>
      </c>
      <c r="C359" s="72">
        <v>1000</v>
      </c>
      <c r="D359" s="15">
        <v>234.61</v>
      </c>
      <c r="E359" s="15">
        <v>163.44</v>
      </c>
    </row>
    <row r="360" spans="1:5" x14ac:dyDescent="0.2">
      <c r="A360" s="72">
        <v>5</v>
      </c>
      <c r="B360" s="16">
        <v>7</v>
      </c>
      <c r="C360" s="72">
        <v>1300</v>
      </c>
      <c r="D360" s="15">
        <v>217.64</v>
      </c>
      <c r="E360" s="15">
        <v>163.54</v>
      </c>
    </row>
    <row r="361" spans="1:5" x14ac:dyDescent="0.2">
      <c r="A361" s="72">
        <v>5</v>
      </c>
      <c r="B361" s="16">
        <v>7</v>
      </c>
      <c r="C361" s="72">
        <v>1600</v>
      </c>
      <c r="D361" s="15">
        <v>200.67</v>
      </c>
      <c r="E361" s="15">
        <v>163.63</v>
      </c>
    </row>
    <row r="362" spans="1:5" x14ac:dyDescent="0.2">
      <c r="A362" s="72">
        <v>5</v>
      </c>
      <c r="B362" s="16">
        <v>7.5</v>
      </c>
      <c r="C362" s="72">
        <v>50</v>
      </c>
      <c r="D362" s="15">
        <v>372.37</v>
      </c>
      <c r="E362" s="15">
        <v>163</v>
      </c>
    </row>
    <row r="363" spans="1:5" x14ac:dyDescent="0.2">
      <c r="A363" s="72">
        <v>5</v>
      </c>
      <c r="B363" s="16">
        <v>7.5</v>
      </c>
      <c r="C363" s="72">
        <v>100</v>
      </c>
      <c r="D363" s="15">
        <v>351.9</v>
      </c>
      <c r="E363" s="15">
        <v>163.04</v>
      </c>
    </row>
    <row r="364" spans="1:5" x14ac:dyDescent="0.2">
      <c r="A364" s="72">
        <v>5</v>
      </c>
      <c r="B364" s="16">
        <v>7.5</v>
      </c>
      <c r="C364" s="72">
        <v>300</v>
      </c>
      <c r="D364" s="15">
        <v>270.02999999999997</v>
      </c>
      <c r="E364" s="15">
        <v>163.19999999999999</v>
      </c>
    </row>
    <row r="365" spans="1:5" x14ac:dyDescent="0.2">
      <c r="A365" s="72">
        <v>5</v>
      </c>
      <c r="B365" s="16">
        <v>7.5</v>
      </c>
      <c r="C365" s="72">
        <v>500</v>
      </c>
      <c r="D365" s="15">
        <v>238.88</v>
      </c>
      <c r="E365" s="15">
        <v>163.31</v>
      </c>
    </row>
    <row r="366" spans="1:5" x14ac:dyDescent="0.2">
      <c r="A366" s="72">
        <v>5</v>
      </c>
      <c r="B366" s="16">
        <v>7.5</v>
      </c>
      <c r="C366" s="72">
        <v>700</v>
      </c>
      <c r="D366" s="15">
        <v>227.86</v>
      </c>
      <c r="E366" s="15">
        <v>163.38</v>
      </c>
    </row>
    <row r="367" spans="1:5" x14ac:dyDescent="0.2">
      <c r="A367" s="72">
        <v>5</v>
      </c>
      <c r="B367" s="16">
        <v>7.5</v>
      </c>
      <c r="C367" s="72">
        <v>1000</v>
      </c>
      <c r="D367" s="15">
        <v>211.33</v>
      </c>
      <c r="E367" s="15">
        <v>163.47999999999999</v>
      </c>
    </row>
    <row r="368" spans="1:5" x14ac:dyDescent="0.2">
      <c r="A368" s="72">
        <v>5</v>
      </c>
      <c r="B368" s="16">
        <v>7.5</v>
      </c>
      <c r="C368" s="72">
        <v>1300</v>
      </c>
      <c r="D368" s="15">
        <v>194.79</v>
      </c>
      <c r="E368" s="15">
        <v>163.58000000000001</v>
      </c>
    </row>
    <row r="369" spans="1:5" x14ac:dyDescent="0.2">
      <c r="A369" s="72">
        <v>5</v>
      </c>
      <c r="B369" s="16">
        <v>7.5</v>
      </c>
      <c r="C369" s="72">
        <v>1600</v>
      </c>
      <c r="D369" s="15">
        <v>178.26</v>
      </c>
      <c r="E369" s="15">
        <v>163.68</v>
      </c>
    </row>
    <row r="370" spans="1:5" x14ac:dyDescent="0.2">
      <c r="A370" s="72">
        <v>5</v>
      </c>
      <c r="B370" s="16">
        <v>8</v>
      </c>
      <c r="C370" s="72">
        <v>50</v>
      </c>
      <c r="D370" s="15">
        <v>344.83</v>
      </c>
      <c r="E370" s="15">
        <v>163.13</v>
      </c>
    </row>
    <row r="371" spans="1:5" x14ac:dyDescent="0.2">
      <c r="A371" s="72">
        <v>5</v>
      </c>
      <c r="B371" s="16">
        <v>8</v>
      </c>
      <c r="C371" s="72">
        <v>100</v>
      </c>
      <c r="D371" s="15">
        <v>324.39999999999998</v>
      </c>
      <c r="E371" s="15">
        <v>163.19</v>
      </c>
    </row>
    <row r="372" spans="1:5" x14ac:dyDescent="0.2">
      <c r="A372" s="72">
        <v>5</v>
      </c>
      <c r="B372" s="16">
        <v>8</v>
      </c>
      <c r="C372" s="72">
        <v>300</v>
      </c>
      <c r="D372" s="15">
        <v>242.67</v>
      </c>
      <c r="E372" s="15">
        <v>163.44999999999999</v>
      </c>
    </row>
    <row r="373" spans="1:5" x14ac:dyDescent="0.2">
      <c r="A373" s="72">
        <v>5</v>
      </c>
      <c r="B373" s="16">
        <v>8</v>
      </c>
      <c r="C373" s="72">
        <v>500</v>
      </c>
      <c r="D373" s="15">
        <v>212.08</v>
      </c>
      <c r="E373" s="15">
        <v>163.61000000000001</v>
      </c>
    </row>
    <row r="374" spans="1:5" x14ac:dyDescent="0.2">
      <c r="A374" s="72">
        <v>5</v>
      </c>
      <c r="B374" s="16">
        <v>8</v>
      </c>
      <c r="C374" s="72">
        <v>700</v>
      </c>
      <c r="D374" s="15">
        <v>201.43</v>
      </c>
      <c r="E374" s="15">
        <v>163.69999999999999</v>
      </c>
    </row>
    <row r="375" spans="1:5" x14ac:dyDescent="0.2">
      <c r="A375" s="72">
        <v>5</v>
      </c>
      <c r="B375" s="16">
        <v>8</v>
      </c>
      <c r="C375" s="72">
        <v>1000</v>
      </c>
      <c r="D375" s="15">
        <v>185.45</v>
      </c>
      <c r="E375" s="15">
        <v>163.83000000000001</v>
      </c>
    </row>
    <row r="376" spans="1:5" x14ac:dyDescent="0.2">
      <c r="A376" s="72">
        <v>5</v>
      </c>
      <c r="B376" s="16">
        <v>8</v>
      </c>
      <c r="C376" s="72">
        <v>1300</v>
      </c>
      <c r="D376" s="15">
        <v>169.46</v>
      </c>
      <c r="E376" s="15">
        <v>163.95</v>
      </c>
    </row>
    <row r="377" spans="1:5" x14ac:dyDescent="0.2">
      <c r="A377" s="72">
        <v>5</v>
      </c>
      <c r="B377" s="16">
        <v>8</v>
      </c>
      <c r="C377" s="72">
        <v>1600</v>
      </c>
      <c r="D377" s="15">
        <v>153.47999999999999</v>
      </c>
      <c r="E377" s="15">
        <v>164.08</v>
      </c>
    </row>
    <row r="378" spans="1:5" x14ac:dyDescent="0.2">
      <c r="A378" s="72">
        <v>5</v>
      </c>
      <c r="B378" s="16">
        <v>8.5</v>
      </c>
      <c r="C378" s="72">
        <v>50</v>
      </c>
      <c r="D378" s="15">
        <v>330.18</v>
      </c>
      <c r="E378" s="15">
        <v>163.16</v>
      </c>
    </row>
    <row r="379" spans="1:5" x14ac:dyDescent="0.2">
      <c r="A379" s="72">
        <v>5</v>
      </c>
      <c r="B379" s="16">
        <v>8.5</v>
      </c>
      <c r="C379" s="72">
        <v>100</v>
      </c>
      <c r="D379" s="15">
        <v>309.68</v>
      </c>
      <c r="E379" s="15">
        <v>163.22</v>
      </c>
    </row>
    <row r="380" spans="1:5" x14ac:dyDescent="0.2">
      <c r="A380" s="72">
        <v>5</v>
      </c>
      <c r="B380" s="16">
        <v>8.5</v>
      </c>
      <c r="C380" s="72">
        <v>300</v>
      </c>
      <c r="D380" s="15">
        <v>227.69</v>
      </c>
      <c r="E380" s="15">
        <v>163.47</v>
      </c>
    </row>
    <row r="381" spans="1:5" x14ac:dyDescent="0.2">
      <c r="A381" s="72">
        <v>5</v>
      </c>
      <c r="B381" s="16">
        <v>8.5</v>
      </c>
      <c r="C381" s="72">
        <v>500</v>
      </c>
      <c r="D381" s="15">
        <v>197.5</v>
      </c>
      <c r="E381" s="15">
        <v>163.63</v>
      </c>
    </row>
    <row r="382" spans="1:5" x14ac:dyDescent="0.2">
      <c r="A382" s="72">
        <v>5</v>
      </c>
      <c r="B382" s="16">
        <v>8.5</v>
      </c>
      <c r="C382" s="72">
        <v>700</v>
      </c>
      <c r="D382" s="15">
        <v>187.14</v>
      </c>
      <c r="E382" s="15">
        <v>163.72</v>
      </c>
    </row>
    <row r="383" spans="1:5" x14ac:dyDescent="0.2">
      <c r="A383" s="72">
        <v>5</v>
      </c>
      <c r="B383" s="16">
        <v>8.5</v>
      </c>
      <c r="C383" s="72">
        <v>1000</v>
      </c>
      <c r="D383" s="15">
        <v>171.59</v>
      </c>
      <c r="E383" s="15">
        <v>163.85</v>
      </c>
    </row>
    <row r="384" spans="1:5" x14ac:dyDescent="0.2">
      <c r="A384" s="72">
        <v>5</v>
      </c>
      <c r="B384" s="16">
        <v>8.5</v>
      </c>
      <c r="C384" s="72">
        <v>1300</v>
      </c>
      <c r="D384" s="15">
        <v>156.04</v>
      </c>
      <c r="E384" s="15">
        <v>163.98</v>
      </c>
    </row>
    <row r="385" spans="1:5" x14ac:dyDescent="0.2">
      <c r="A385" s="72">
        <v>5</v>
      </c>
      <c r="B385" s="16">
        <v>8.5</v>
      </c>
      <c r="C385" s="72">
        <v>1600</v>
      </c>
      <c r="D385" s="15">
        <v>140.5</v>
      </c>
      <c r="E385" s="15">
        <v>164.11</v>
      </c>
    </row>
    <row r="386" spans="1:5" x14ac:dyDescent="0.2">
      <c r="A386" s="72">
        <v>5</v>
      </c>
      <c r="B386" s="16">
        <v>9</v>
      </c>
      <c r="C386" s="72">
        <v>50</v>
      </c>
      <c r="D386" s="15">
        <v>315.54000000000002</v>
      </c>
      <c r="E386" s="15">
        <v>163.18</v>
      </c>
    </row>
    <row r="387" spans="1:5" x14ac:dyDescent="0.2">
      <c r="A387" s="72">
        <v>5</v>
      </c>
      <c r="B387" s="16">
        <v>9</v>
      </c>
      <c r="C387" s="72">
        <v>100</v>
      </c>
      <c r="D387" s="15">
        <v>294.97000000000003</v>
      </c>
      <c r="E387" s="15">
        <v>163.24</v>
      </c>
    </row>
    <row r="388" spans="1:5" x14ac:dyDescent="0.2">
      <c r="A388" s="72">
        <v>5</v>
      </c>
      <c r="B388" s="16">
        <v>9</v>
      </c>
      <c r="C388" s="72">
        <v>300</v>
      </c>
      <c r="D388" s="15">
        <v>212.71</v>
      </c>
      <c r="E388" s="15">
        <v>163.5</v>
      </c>
    </row>
    <row r="389" spans="1:5" x14ac:dyDescent="0.2">
      <c r="A389" s="72">
        <v>5</v>
      </c>
      <c r="B389" s="16">
        <v>9</v>
      </c>
      <c r="C389" s="72">
        <v>500</v>
      </c>
      <c r="D389" s="15">
        <v>182.92</v>
      </c>
      <c r="E389" s="15">
        <v>163.66</v>
      </c>
    </row>
    <row r="390" spans="1:5" x14ac:dyDescent="0.2">
      <c r="A390" s="72">
        <v>5</v>
      </c>
      <c r="B390" s="16">
        <v>9</v>
      </c>
      <c r="C390" s="72">
        <v>700</v>
      </c>
      <c r="D390" s="15">
        <v>172.84</v>
      </c>
      <c r="E390" s="15">
        <v>163.75</v>
      </c>
    </row>
    <row r="391" spans="1:5" x14ac:dyDescent="0.2">
      <c r="A391" s="72">
        <v>5</v>
      </c>
      <c r="B391" s="16">
        <v>9</v>
      </c>
      <c r="C391" s="72">
        <v>1000</v>
      </c>
      <c r="D391" s="15">
        <v>157.72999999999999</v>
      </c>
      <c r="E391" s="15">
        <v>163.89</v>
      </c>
    </row>
    <row r="392" spans="1:5" x14ac:dyDescent="0.2">
      <c r="A392" s="72">
        <v>5</v>
      </c>
      <c r="B392" s="16">
        <v>9</v>
      </c>
      <c r="C392" s="72">
        <v>1300</v>
      </c>
      <c r="D392" s="15">
        <v>142.62</v>
      </c>
      <c r="E392" s="15">
        <v>164.02</v>
      </c>
    </row>
    <row r="393" spans="1:5" x14ac:dyDescent="0.2">
      <c r="A393" s="72">
        <v>5</v>
      </c>
      <c r="B393" s="16">
        <v>9</v>
      </c>
      <c r="C393" s="72">
        <v>1600</v>
      </c>
      <c r="D393" s="15">
        <v>127.5</v>
      </c>
      <c r="E393" s="15">
        <v>164.16</v>
      </c>
    </row>
    <row r="394" spans="1:5" x14ac:dyDescent="0.2">
      <c r="A394" s="72">
        <v>5</v>
      </c>
      <c r="B394" s="16">
        <v>9.5</v>
      </c>
      <c r="C394" s="72">
        <v>50</v>
      </c>
      <c r="D394" s="15">
        <v>297.44</v>
      </c>
      <c r="E394" s="15">
        <v>163.32</v>
      </c>
    </row>
    <row r="395" spans="1:5" x14ac:dyDescent="0.2">
      <c r="A395" s="72">
        <v>5</v>
      </c>
      <c r="B395" s="16">
        <v>9.5</v>
      </c>
      <c r="C395" s="72">
        <v>100</v>
      </c>
      <c r="D395" s="15">
        <v>276.89999999999998</v>
      </c>
      <c r="E395" s="15">
        <v>163.41</v>
      </c>
    </row>
    <row r="396" spans="1:5" x14ac:dyDescent="0.2">
      <c r="A396" s="72">
        <v>5</v>
      </c>
      <c r="B396" s="16">
        <v>9.5</v>
      </c>
      <c r="C396" s="72">
        <v>300</v>
      </c>
      <c r="D396" s="15">
        <v>194.73</v>
      </c>
      <c r="E396" s="15">
        <v>163.78</v>
      </c>
    </row>
    <row r="397" spans="1:5" x14ac:dyDescent="0.2">
      <c r="A397" s="72">
        <v>5</v>
      </c>
      <c r="B397" s="16">
        <v>9.5</v>
      </c>
      <c r="C397" s="72">
        <v>500</v>
      </c>
      <c r="D397" s="15">
        <v>165.53</v>
      </c>
      <c r="E397" s="15">
        <v>164</v>
      </c>
    </row>
    <row r="398" spans="1:5" x14ac:dyDescent="0.2">
      <c r="A398" s="72">
        <v>5</v>
      </c>
      <c r="B398" s="16">
        <v>9.5</v>
      </c>
      <c r="C398" s="72">
        <v>700</v>
      </c>
      <c r="D398" s="15">
        <v>155.83000000000001</v>
      </c>
      <c r="E398" s="15">
        <v>164.11</v>
      </c>
    </row>
    <row r="399" spans="1:5" x14ac:dyDescent="0.2">
      <c r="A399" s="72">
        <v>5</v>
      </c>
      <c r="B399" s="16">
        <v>9.5</v>
      </c>
      <c r="C399" s="72">
        <v>1000</v>
      </c>
      <c r="D399" s="15">
        <v>141.28</v>
      </c>
      <c r="E399" s="15">
        <v>164.27</v>
      </c>
    </row>
    <row r="400" spans="1:5" x14ac:dyDescent="0.2">
      <c r="A400" s="72">
        <v>5</v>
      </c>
      <c r="B400" s="16">
        <v>9.5</v>
      </c>
      <c r="C400" s="72">
        <v>1300</v>
      </c>
      <c r="D400" s="15">
        <v>126.73</v>
      </c>
      <c r="E400" s="15">
        <v>164.42</v>
      </c>
    </row>
    <row r="401" spans="1:5" x14ac:dyDescent="0.2">
      <c r="A401" s="72">
        <v>5</v>
      </c>
      <c r="B401" s="16">
        <v>9.5</v>
      </c>
      <c r="C401" s="72">
        <v>1600</v>
      </c>
      <c r="D401" s="15">
        <v>112.18</v>
      </c>
      <c r="E401" s="15">
        <v>164.58</v>
      </c>
    </row>
    <row r="402" spans="1:5" x14ac:dyDescent="0.2">
      <c r="A402" s="72">
        <v>5</v>
      </c>
      <c r="B402" s="16">
        <v>10</v>
      </c>
      <c r="C402" s="72">
        <v>50</v>
      </c>
      <c r="D402" s="15">
        <v>279.36</v>
      </c>
      <c r="E402" s="15">
        <v>163.46</v>
      </c>
    </row>
    <row r="403" spans="1:5" x14ac:dyDescent="0.2">
      <c r="A403" s="72">
        <v>5</v>
      </c>
      <c r="B403" s="16">
        <v>10</v>
      </c>
      <c r="C403" s="72">
        <v>100</v>
      </c>
      <c r="D403" s="15">
        <v>258.83</v>
      </c>
      <c r="E403" s="15">
        <v>163.59</v>
      </c>
    </row>
    <row r="404" spans="1:5" x14ac:dyDescent="0.2">
      <c r="A404" s="72">
        <v>5</v>
      </c>
      <c r="B404" s="16">
        <v>10</v>
      </c>
      <c r="C404" s="72">
        <v>300</v>
      </c>
      <c r="D404" s="15">
        <v>176.72</v>
      </c>
      <c r="E404" s="15">
        <v>164.1</v>
      </c>
    </row>
    <row r="405" spans="1:5" x14ac:dyDescent="0.2">
      <c r="A405" s="72">
        <v>5</v>
      </c>
      <c r="B405" s="16">
        <v>10</v>
      </c>
      <c r="C405" s="72">
        <v>500</v>
      </c>
      <c r="D405" s="15">
        <v>148.13</v>
      </c>
      <c r="E405" s="15">
        <v>164.36</v>
      </c>
    </row>
    <row r="406" spans="1:5" x14ac:dyDescent="0.2">
      <c r="A406" s="72">
        <v>5</v>
      </c>
      <c r="B406" s="16">
        <v>10</v>
      </c>
      <c r="C406" s="72">
        <v>700</v>
      </c>
      <c r="D406" s="15">
        <v>138.81</v>
      </c>
      <c r="E406" s="15">
        <v>164.49</v>
      </c>
    </row>
    <row r="407" spans="1:5" x14ac:dyDescent="0.2">
      <c r="A407" s="72">
        <v>5</v>
      </c>
      <c r="B407" s="16">
        <v>10</v>
      </c>
      <c r="C407" s="72">
        <v>1000</v>
      </c>
      <c r="D407" s="15">
        <v>124.84</v>
      </c>
      <c r="E407" s="15">
        <v>164.68</v>
      </c>
    </row>
    <row r="408" spans="1:5" x14ac:dyDescent="0.2">
      <c r="A408" s="72">
        <v>5</v>
      </c>
      <c r="B408" s="16">
        <v>10</v>
      </c>
      <c r="C408" s="72">
        <v>1300</v>
      </c>
      <c r="D408" s="15">
        <v>110.87</v>
      </c>
      <c r="E408" s="15">
        <v>164.86</v>
      </c>
    </row>
    <row r="409" spans="1:5" x14ac:dyDescent="0.2">
      <c r="A409" s="72">
        <v>5</v>
      </c>
      <c r="B409" s="16">
        <v>10</v>
      </c>
      <c r="C409" s="72">
        <v>1600</v>
      </c>
      <c r="D409" s="15">
        <v>96.89</v>
      </c>
      <c r="E409" s="15">
        <v>165.05</v>
      </c>
    </row>
    <row r="410" spans="1:5" x14ac:dyDescent="0.2">
      <c r="A410" s="72">
        <v>5</v>
      </c>
      <c r="B410" s="16">
        <v>10.5</v>
      </c>
      <c r="C410" s="72">
        <v>50</v>
      </c>
      <c r="D410" s="15">
        <v>272.97000000000003</v>
      </c>
      <c r="E410" s="15">
        <v>163.38</v>
      </c>
    </row>
    <row r="411" spans="1:5" x14ac:dyDescent="0.2">
      <c r="A411" s="72">
        <v>5</v>
      </c>
      <c r="B411" s="16">
        <v>10.5</v>
      </c>
      <c r="C411" s="72">
        <v>100</v>
      </c>
      <c r="D411" s="15">
        <v>252.28</v>
      </c>
      <c r="E411" s="15">
        <v>163.47</v>
      </c>
    </row>
    <row r="412" spans="1:5" x14ac:dyDescent="0.2">
      <c r="A412" s="72">
        <v>5</v>
      </c>
      <c r="B412" s="16">
        <v>10.5</v>
      </c>
      <c r="C412" s="72">
        <v>300</v>
      </c>
      <c r="D412" s="15">
        <v>169.52</v>
      </c>
      <c r="E412" s="15">
        <v>163.84</v>
      </c>
    </row>
    <row r="413" spans="1:5" x14ac:dyDescent="0.2">
      <c r="A413" s="72">
        <v>5</v>
      </c>
      <c r="B413" s="16">
        <v>10.5</v>
      </c>
      <c r="C413" s="72">
        <v>500</v>
      </c>
      <c r="D413" s="15">
        <v>141.16</v>
      </c>
      <c r="E413" s="15">
        <v>164.05</v>
      </c>
    </row>
    <row r="414" spans="1:5" x14ac:dyDescent="0.2">
      <c r="A414" s="72">
        <v>5</v>
      </c>
      <c r="B414" s="16">
        <v>10.5</v>
      </c>
      <c r="C414" s="72">
        <v>700</v>
      </c>
      <c r="D414" s="15">
        <v>132.04</v>
      </c>
      <c r="E414" s="15">
        <v>164.16</v>
      </c>
    </row>
    <row r="415" spans="1:5" x14ac:dyDescent="0.2">
      <c r="A415" s="72">
        <v>5</v>
      </c>
      <c r="B415" s="16">
        <v>10.5</v>
      </c>
      <c r="C415" s="72">
        <v>1000</v>
      </c>
      <c r="D415" s="15">
        <v>118.37</v>
      </c>
      <c r="E415" s="15">
        <v>164.33</v>
      </c>
    </row>
    <row r="416" spans="1:5" x14ac:dyDescent="0.2">
      <c r="A416" s="72">
        <v>5</v>
      </c>
      <c r="B416" s="16">
        <v>10.5</v>
      </c>
      <c r="C416" s="72">
        <v>1300</v>
      </c>
      <c r="D416" s="15">
        <v>104.7</v>
      </c>
      <c r="E416" s="15">
        <v>164.49</v>
      </c>
    </row>
    <row r="417" spans="1:5" x14ac:dyDescent="0.2">
      <c r="A417" s="72">
        <v>5</v>
      </c>
      <c r="B417" s="16">
        <v>10.5</v>
      </c>
      <c r="C417" s="72">
        <v>1600</v>
      </c>
      <c r="D417" s="15">
        <v>91.02</v>
      </c>
      <c r="E417" s="15">
        <v>164.66</v>
      </c>
    </row>
    <row r="418" spans="1:5" x14ac:dyDescent="0.2">
      <c r="A418" s="72">
        <v>5</v>
      </c>
      <c r="B418" s="16">
        <v>11</v>
      </c>
      <c r="C418" s="72">
        <v>50</v>
      </c>
      <c r="D418" s="15">
        <v>263.14999999999998</v>
      </c>
      <c r="E418" s="15">
        <v>163.41</v>
      </c>
    </row>
    <row r="419" spans="1:5" x14ac:dyDescent="0.2">
      <c r="A419" s="72">
        <v>5</v>
      </c>
      <c r="B419" s="16">
        <v>11</v>
      </c>
      <c r="C419" s="72">
        <v>100</v>
      </c>
      <c r="D419" s="15">
        <v>242.38</v>
      </c>
      <c r="E419" s="15">
        <v>163.5</v>
      </c>
    </row>
    <row r="420" spans="1:5" x14ac:dyDescent="0.2">
      <c r="A420" s="72">
        <v>5</v>
      </c>
      <c r="B420" s="16">
        <v>11</v>
      </c>
      <c r="C420" s="72">
        <v>300</v>
      </c>
      <c r="D420" s="15">
        <v>159.30000000000001</v>
      </c>
      <c r="E420" s="15">
        <v>163.86</v>
      </c>
    </row>
    <row r="421" spans="1:5" x14ac:dyDescent="0.2">
      <c r="A421" s="72">
        <v>5</v>
      </c>
      <c r="B421" s="16">
        <v>11</v>
      </c>
      <c r="C421" s="72">
        <v>500</v>
      </c>
      <c r="D421" s="15">
        <v>131.37</v>
      </c>
      <c r="E421" s="15">
        <v>164.07</v>
      </c>
    </row>
    <row r="422" spans="1:5" x14ac:dyDescent="0.2">
      <c r="A422" s="72">
        <v>5</v>
      </c>
      <c r="B422" s="16">
        <v>11</v>
      </c>
      <c r="C422" s="72">
        <v>700</v>
      </c>
      <c r="D422" s="15">
        <v>122.55</v>
      </c>
      <c r="E422" s="15">
        <v>164.18</v>
      </c>
    </row>
    <row r="423" spans="1:5" x14ac:dyDescent="0.2">
      <c r="A423" s="72">
        <v>5</v>
      </c>
      <c r="B423" s="16">
        <v>11</v>
      </c>
      <c r="C423" s="72">
        <v>1000</v>
      </c>
      <c r="D423" s="15">
        <v>109.31</v>
      </c>
      <c r="E423" s="15">
        <v>164.35</v>
      </c>
    </row>
    <row r="424" spans="1:5" x14ac:dyDescent="0.2">
      <c r="A424" s="72">
        <v>5</v>
      </c>
      <c r="B424" s="16">
        <v>11</v>
      </c>
      <c r="C424" s="72">
        <v>1300</v>
      </c>
      <c r="D424" s="15">
        <v>96.07</v>
      </c>
      <c r="E424" s="15">
        <v>164.51</v>
      </c>
    </row>
    <row r="425" spans="1:5" x14ac:dyDescent="0.2">
      <c r="A425" s="72">
        <v>5</v>
      </c>
      <c r="B425" s="16">
        <v>11</v>
      </c>
      <c r="C425" s="72">
        <v>1600</v>
      </c>
      <c r="D425" s="15">
        <v>82.84</v>
      </c>
      <c r="E425" s="15">
        <v>164.68</v>
      </c>
    </row>
    <row r="426" spans="1:5" x14ac:dyDescent="0.2">
      <c r="A426" s="72">
        <v>5</v>
      </c>
      <c r="B426" s="16">
        <v>11.5</v>
      </c>
      <c r="C426" s="72">
        <v>50</v>
      </c>
      <c r="D426" s="15">
        <v>256.74</v>
      </c>
      <c r="E426" s="15">
        <v>163.33000000000001</v>
      </c>
    </row>
    <row r="427" spans="1:5" x14ac:dyDescent="0.2">
      <c r="A427" s="72">
        <v>5</v>
      </c>
      <c r="B427" s="16">
        <v>11.5</v>
      </c>
      <c r="C427" s="72">
        <v>100</v>
      </c>
      <c r="D427" s="15">
        <v>235.82</v>
      </c>
      <c r="E427" s="15">
        <v>163.38</v>
      </c>
    </row>
    <row r="428" spans="1:5" x14ac:dyDescent="0.2">
      <c r="A428" s="72">
        <v>5</v>
      </c>
      <c r="B428" s="16">
        <v>11.5</v>
      </c>
      <c r="C428" s="72">
        <v>300</v>
      </c>
      <c r="D428" s="15">
        <v>152.13</v>
      </c>
      <c r="E428" s="15">
        <v>163.57</v>
      </c>
    </row>
    <row r="429" spans="1:5" x14ac:dyDescent="0.2">
      <c r="A429" s="72">
        <v>5</v>
      </c>
      <c r="B429" s="16">
        <v>11.5</v>
      </c>
      <c r="C429" s="72">
        <v>500</v>
      </c>
      <c r="D429" s="15">
        <v>124.42</v>
      </c>
      <c r="E429" s="15">
        <v>163.71</v>
      </c>
    </row>
    <row r="430" spans="1:5" x14ac:dyDescent="0.2">
      <c r="A430" s="72">
        <v>5</v>
      </c>
      <c r="B430" s="16">
        <v>11.5</v>
      </c>
      <c r="C430" s="72">
        <v>700</v>
      </c>
      <c r="D430" s="15">
        <v>115.78</v>
      </c>
      <c r="E430" s="15">
        <v>163.81</v>
      </c>
    </row>
    <row r="431" spans="1:5" x14ac:dyDescent="0.2">
      <c r="A431" s="72">
        <v>5</v>
      </c>
      <c r="B431" s="16">
        <v>11.5</v>
      </c>
      <c r="C431" s="72">
        <v>1000</v>
      </c>
      <c r="D431" s="15">
        <v>102.82</v>
      </c>
      <c r="E431" s="15">
        <v>163.95</v>
      </c>
    </row>
    <row r="432" spans="1:5" x14ac:dyDescent="0.2">
      <c r="A432" s="72">
        <v>5</v>
      </c>
      <c r="B432" s="16">
        <v>11.5</v>
      </c>
      <c r="C432" s="72">
        <v>1300</v>
      </c>
      <c r="D432" s="15">
        <v>89.86</v>
      </c>
      <c r="E432" s="15">
        <v>164.09</v>
      </c>
    </row>
    <row r="433" spans="1:5" x14ac:dyDescent="0.2">
      <c r="A433" s="72">
        <v>5</v>
      </c>
      <c r="B433" s="16">
        <v>11.5</v>
      </c>
      <c r="C433" s="72">
        <v>1600</v>
      </c>
      <c r="D433" s="15">
        <v>76.900000000000006</v>
      </c>
      <c r="E433" s="15">
        <v>164.24</v>
      </c>
    </row>
    <row r="434" spans="1:5" x14ac:dyDescent="0.2">
      <c r="A434" s="72">
        <v>5</v>
      </c>
      <c r="B434" s="16">
        <v>12</v>
      </c>
      <c r="C434" s="72">
        <v>50</v>
      </c>
      <c r="D434" s="15">
        <v>246.91</v>
      </c>
      <c r="E434" s="15">
        <v>163.36000000000001</v>
      </c>
    </row>
    <row r="435" spans="1:5" x14ac:dyDescent="0.2">
      <c r="A435" s="72">
        <v>5</v>
      </c>
      <c r="B435" s="16">
        <v>12</v>
      </c>
      <c r="C435" s="72">
        <v>100</v>
      </c>
      <c r="D435" s="15">
        <v>225.91</v>
      </c>
      <c r="E435" s="15">
        <v>163.4</v>
      </c>
    </row>
    <row r="436" spans="1:5" x14ac:dyDescent="0.2">
      <c r="A436" s="72">
        <v>5</v>
      </c>
      <c r="B436" s="16">
        <v>12</v>
      </c>
      <c r="C436" s="72">
        <v>300</v>
      </c>
      <c r="D436" s="15">
        <v>141.93</v>
      </c>
      <c r="E436" s="15">
        <v>163.57</v>
      </c>
    </row>
    <row r="437" spans="1:5" x14ac:dyDescent="0.2">
      <c r="A437" s="72">
        <v>5</v>
      </c>
      <c r="B437" s="16">
        <v>12</v>
      </c>
      <c r="C437" s="72">
        <v>500</v>
      </c>
      <c r="D437" s="15">
        <v>114.64</v>
      </c>
      <c r="E437" s="15">
        <v>163.72</v>
      </c>
    </row>
    <row r="438" spans="1:5" x14ac:dyDescent="0.2">
      <c r="A438" s="72">
        <v>5</v>
      </c>
      <c r="B438" s="16">
        <v>12</v>
      </c>
      <c r="C438" s="72">
        <v>700</v>
      </c>
      <c r="D438" s="15">
        <v>106.29</v>
      </c>
      <c r="E438" s="15">
        <v>163.81</v>
      </c>
    </row>
    <row r="439" spans="1:5" x14ac:dyDescent="0.2">
      <c r="A439" s="72">
        <v>5</v>
      </c>
      <c r="B439" s="16">
        <v>12</v>
      </c>
      <c r="C439" s="72">
        <v>1000</v>
      </c>
      <c r="D439" s="15">
        <v>93.76</v>
      </c>
      <c r="E439" s="15">
        <v>163.96</v>
      </c>
    </row>
    <row r="440" spans="1:5" x14ac:dyDescent="0.2">
      <c r="A440" s="72">
        <v>5</v>
      </c>
      <c r="B440" s="16">
        <v>12</v>
      </c>
      <c r="C440" s="72">
        <v>1300</v>
      </c>
      <c r="D440" s="15">
        <v>81.23</v>
      </c>
      <c r="E440" s="15">
        <v>164.1</v>
      </c>
    </row>
    <row r="441" spans="1:5" x14ac:dyDescent="0.2">
      <c r="A441" s="72">
        <v>5</v>
      </c>
      <c r="B441" s="16">
        <v>12</v>
      </c>
      <c r="C441" s="72">
        <v>1600</v>
      </c>
      <c r="D441" s="15">
        <v>68.7</v>
      </c>
      <c r="E441" s="15">
        <v>164.24</v>
      </c>
    </row>
    <row r="442" spans="1:5" x14ac:dyDescent="0.2">
      <c r="A442" s="72">
        <v>5</v>
      </c>
      <c r="B442" s="16">
        <v>12.5</v>
      </c>
      <c r="C442" s="72">
        <v>50</v>
      </c>
      <c r="D442" s="15">
        <v>239.9</v>
      </c>
      <c r="E442" s="15">
        <v>163.4</v>
      </c>
    </row>
    <row r="443" spans="1:5" x14ac:dyDescent="0.2">
      <c r="A443" s="72">
        <v>5</v>
      </c>
      <c r="B443" s="16">
        <v>12.5</v>
      </c>
      <c r="C443" s="72">
        <v>100</v>
      </c>
      <c r="D443" s="15">
        <v>218.81</v>
      </c>
      <c r="E443" s="15">
        <v>163.43</v>
      </c>
    </row>
    <row r="444" spans="1:5" x14ac:dyDescent="0.2">
      <c r="A444" s="72">
        <v>5</v>
      </c>
      <c r="B444" s="16">
        <v>12.5</v>
      </c>
      <c r="C444" s="72">
        <v>300</v>
      </c>
      <c r="D444" s="15">
        <v>134.47</v>
      </c>
      <c r="E444" s="15">
        <v>163.56</v>
      </c>
    </row>
    <row r="445" spans="1:5" x14ac:dyDescent="0.2">
      <c r="A445" s="72">
        <v>5</v>
      </c>
      <c r="B445" s="16">
        <v>12.5</v>
      </c>
      <c r="C445" s="72">
        <v>500</v>
      </c>
      <c r="D445" s="15">
        <v>107.65</v>
      </c>
      <c r="E445" s="15">
        <v>163.69</v>
      </c>
    </row>
    <row r="446" spans="1:5" x14ac:dyDescent="0.2">
      <c r="A446" s="72">
        <v>5</v>
      </c>
      <c r="B446" s="16">
        <v>12.5</v>
      </c>
      <c r="C446" s="72">
        <v>700</v>
      </c>
      <c r="D446" s="15">
        <v>99.58</v>
      </c>
      <c r="E446" s="15">
        <v>163.78</v>
      </c>
    </row>
    <row r="447" spans="1:5" x14ac:dyDescent="0.2">
      <c r="A447" s="72">
        <v>5</v>
      </c>
      <c r="B447" s="16">
        <v>12.5</v>
      </c>
      <c r="C447" s="72">
        <v>1000</v>
      </c>
      <c r="D447" s="15">
        <v>87.49</v>
      </c>
      <c r="E447" s="15">
        <v>163.92</v>
      </c>
    </row>
    <row r="448" spans="1:5" x14ac:dyDescent="0.2">
      <c r="A448" s="72">
        <v>5</v>
      </c>
      <c r="B448" s="16">
        <v>12.5</v>
      </c>
      <c r="C448" s="72">
        <v>1300</v>
      </c>
      <c r="D448" s="15">
        <v>75.39</v>
      </c>
      <c r="E448" s="15">
        <v>164.05</v>
      </c>
    </row>
    <row r="449" spans="1:5" x14ac:dyDescent="0.2">
      <c r="A449" s="72">
        <v>5</v>
      </c>
      <c r="B449" s="16">
        <v>12.5</v>
      </c>
      <c r="C449" s="72">
        <v>1600</v>
      </c>
      <c r="D449" s="15">
        <v>63.29</v>
      </c>
      <c r="E449" s="15">
        <v>164.19</v>
      </c>
    </row>
    <row r="450" spans="1:5" x14ac:dyDescent="0.2">
      <c r="A450" s="72">
        <v>5</v>
      </c>
      <c r="B450" s="16">
        <v>13</v>
      </c>
      <c r="C450" s="72">
        <v>50</v>
      </c>
      <c r="D450" s="15">
        <v>229.52</v>
      </c>
      <c r="E450" s="15">
        <v>163.54</v>
      </c>
    </row>
    <row r="451" spans="1:5" x14ac:dyDescent="0.2">
      <c r="A451" s="72">
        <v>5</v>
      </c>
      <c r="B451" s="16">
        <v>13</v>
      </c>
      <c r="C451" s="72">
        <v>100</v>
      </c>
      <c r="D451" s="15">
        <v>208.4</v>
      </c>
      <c r="E451" s="15">
        <v>163.61000000000001</v>
      </c>
    </row>
    <row r="452" spans="1:5" x14ac:dyDescent="0.2">
      <c r="A452" s="72">
        <v>5</v>
      </c>
      <c r="B452" s="16">
        <v>13</v>
      </c>
      <c r="C452" s="72">
        <v>300</v>
      </c>
      <c r="D452" s="15">
        <v>123.91</v>
      </c>
      <c r="E452" s="15">
        <v>163.9</v>
      </c>
    </row>
    <row r="453" spans="1:5" x14ac:dyDescent="0.2">
      <c r="A453" s="72">
        <v>5</v>
      </c>
      <c r="B453" s="16">
        <v>13</v>
      </c>
      <c r="C453" s="72">
        <v>500</v>
      </c>
      <c r="D453" s="15">
        <v>97.82</v>
      </c>
      <c r="E453" s="15">
        <v>164.08</v>
      </c>
    </row>
    <row r="454" spans="1:5" x14ac:dyDescent="0.2">
      <c r="A454" s="72">
        <v>5</v>
      </c>
      <c r="B454" s="16">
        <v>13</v>
      </c>
      <c r="C454" s="72">
        <v>700</v>
      </c>
      <c r="D454" s="15">
        <v>90.16</v>
      </c>
      <c r="E454" s="15">
        <v>164.18</v>
      </c>
    </row>
    <row r="455" spans="1:5" x14ac:dyDescent="0.2">
      <c r="A455" s="72">
        <v>5</v>
      </c>
      <c r="B455" s="16">
        <v>13</v>
      </c>
      <c r="C455" s="72">
        <v>1000</v>
      </c>
      <c r="D455" s="15">
        <v>78.680000000000007</v>
      </c>
      <c r="E455" s="15">
        <v>164.34</v>
      </c>
    </row>
    <row r="456" spans="1:5" x14ac:dyDescent="0.2">
      <c r="A456" s="72">
        <v>5</v>
      </c>
      <c r="B456" s="16">
        <v>13</v>
      </c>
      <c r="C456" s="72">
        <v>1300</v>
      </c>
      <c r="D456" s="15">
        <v>67.2</v>
      </c>
      <c r="E456" s="15">
        <v>164.5</v>
      </c>
    </row>
    <row r="457" spans="1:5" x14ac:dyDescent="0.2">
      <c r="A457" s="72">
        <v>5</v>
      </c>
      <c r="B457" s="16">
        <v>13</v>
      </c>
      <c r="C457" s="72">
        <v>1600</v>
      </c>
      <c r="D457" s="15">
        <v>55.71</v>
      </c>
      <c r="E457" s="15">
        <v>164.65</v>
      </c>
    </row>
    <row r="458" spans="1:5" x14ac:dyDescent="0.2">
      <c r="A458" s="72">
        <v>5</v>
      </c>
      <c r="B458" s="16">
        <v>13.5</v>
      </c>
      <c r="C458" s="72">
        <v>50</v>
      </c>
      <c r="D458" s="15">
        <v>222.53</v>
      </c>
      <c r="E458" s="15">
        <v>163.58000000000001</v>
      </c>
    </row>
    <row r="459" spans="1:5" x14ac:dyDescent="0.2">
      <c r="A459" s="72">
        <v>5</v>
      </c>
      <c r="B459" s="16">
        <v>13.5</v>
      </c>
      <c r="C459" s="72">
        <v>100</v>
      </c>
      <c r="D459" s="15">
        <v>201.31</v>
      </c>
      <c r="E459" s="15">
        <v>163.63999999999999</v>
      </c>
    </row>
    <row r="460" spans="1:5" x14ac:dyDescent="0.2">
      <c r="A460" s="72">
        <v>5</v>
      </c>
      <c r="B460" s="16">
        <v>13.5</v>
      </c>
      <c r="C460" s="72">
        <v>300</v>
      </c>
      <c r="D460" s="15">
        <v>116.44</v>
      </c>
      <c r="E460" s="15">
        <v>163.9</v>
      </c>
    </row>
    <row r="461" spans="1:5" x14ac:dyDescent="0.2">
      <c r="A461" s="72">
        <v>5</v>
      </c>
      <c r="B461" s="16">
        <v>13.5</v>
      </c>
      <c r="C461" s="72">
        <v>500</v>
      </c>
      <c r="D461" s="15">
        <v>90.83</v>
      </c>
      <c r="E461" s="15">
        <v>164.07</v>
      </c>
    </row>
    <row r="462" spans="1:5" x14ac:dyDescent="0.2">
      <c r="A462" s="72">
        <v>5</v>
      </c>
      <c r="B462" s="16">
        <v>13.5</v>
      </c>
      <c r="C462" s="72">
        <v>700</v>
      </c>
      <c r="D462" s="15">
        <v>83.47</v>
      </c>
      <c r="E462" s="15">
        <v>164.17</v>
      </c>
    </row>
    <row r="463" spans="1:5" x14ac:dyDescent="0.2">
      <c r="A463" s="72">
        <v>5</v>
      </c>
      <c r="B463" s="16">
        <v>13.5</v>
      </c>
      <c r="C463" s="72">
        <v>1000</v>
      </c>
      <c r="D463" s="15">
        <v>72.42</v>
      </c>
      <c r="E463" s="15">
        <v>164.32</v>
      </c>
    </row>
    <row r="464" spans="1:5" x14ac:dyDescent="0.2">
      <c r="A464" s="72">
        <v>5</v>
      </c>
      <c r="B464" s="16">
        <v>13.5</v>
      </c>
      <c r="C464" s="72">
        <v>1300</v>
      </c>
      <c r="D464" s="15">
        <v>61.37</v>
      </c>
      <c r="E464" s="15">
        <v>164.47</v>
      </c>
    </row>
    <row r="465" spans="1:5" x14ac:dyDescent="0.2">
      <c r="A465" s="72">
        <v>5</v>
      </c>
      <c r="B465" s="16">
        <v>13.5</v>
      </c>
      <c r="C465" s="72">
        <v>1600</v>
      </c>
      <c r="D465" s="15">
        <v>50.33</v>
      </c>
      <c r="E465" s="15">
        <v>164.62</v>
      </c>
    </row>
    <row r="466" spans="1:5" x14ac:dyDescent="0.2">
      <c r="A466" s="72">
        <v>5</v>
      </c>
      <c r="B466" s="16">
        <v>14</v>
      </c>
      <c r="C466" s="72">
        <v>50</v>
      </c>
      <c r="D466" s="15">
        <v>202.22</v>
      </c>
      <c r="E466" s="15">
        <v>164.06</v>
      </c>
    </row>
    <row r="467" spans="1:5" x14ac:dyDescent="0.2">
      <c r="A467" s="72">
        <v>5</v>
      </c>
      <c r="B467" s="16">
        <v>14</v>
      </c>
      <c r="C467" s="72">
        <v>100</v>
      </c>
      <c r="D467" s="15">
        <v>181.06</v>
      </c>
      <c r="E467" s="15">
        <v>164.33</v>
      </c>
    </row>
    <row r="468" spans="1:5" x14ac:dyDescent="0.2">
      <c r="A468" s="72">
        <v>5</v>
      </c>
      <c r="B468" s="16">
        <v>14</v>
      </c>
      <c r="C468" s="72">
        <v>300</v>
      </c>
      <c r="D468" s="15">
        <v>96.44</v>
      </c>
      <c r="E468" s="15">
        <v>165.42</v>
      </c>
    </row>
    <row r="469" spans="1:5" x14ac:dyDescent="0.2">
      <c r="A469" s="72">
        <v>5</v>
      </c>
      <c r="B469" s="16">
        <v>14</v>
      </c>
      <c r="C469" s="72">
        <v>500</v>
      </c>
      <c r="D469" s="15">
        <v>72.459999999999994</v>
      </c>
      <c r="E469" s="15">
        <v>165.83</v>
      </c>
    </row>
    <row r="470" spans="1:5" x14ac:dyDescent="0.2">
      <c r="A470" s="72">
        <v>5</v>
      </c>
      <c r="B470" s="16">
        <v>14</v>
      </c>
      <c r="C470" s="72">
        <v>700</v>
      </c>
      <c r="D470" s="15">
        <v>65.930000000000007</v>
      </c>
      <c r="E470" s="15">
        <v>165.99</v>
      </c>
    </row>
    <row r="471" spans="1:5" x14ac:dyDescent="0.2">
      <c r="A471" s="72">
        <v>5</v>
      </c>
      <c r="B471" s="16">
        <v>14</v>
      </c>
      <c r="C471" s="72">
        <v>1000</v>
      </c>
      <c r="D471" s="15">
        <v>56.14</v>
      </c>
      <c r="E471" s="15">
        <v>166.23</v>
      </c>
    </row>
    <row r="472" spans="1:5" x14ac:dyDescent="0.2">
      <c r="A472" s="72">
        <v>5</v>
      </c>
      <c r="B472" s="16">
        <v>14</v>
      </c>
      <c r="C472" s="72">
        <v>1300</v>
      </c>
      <c r="D472" s="15">
        <v>46.34</v>
      </c>
      <c r="E472" s="15">
        <v>166.47</v>
      </c>
    </row>
    <row r="473" spans="1:5" x14ac:dyDescent="0.2">
      <c r="A473" s="72">
        <v>5</v>
      </c>
      <c r="B473" s="16">
        <v>14</v>
      </c>
      <c r="C473" s="72">
        <v>1600</v>
      </c>
      <c r="D473" s="15">
        <v>36.549999999999997</v>
      </c>
      <c r="E473" s="15">
        <v>166.71</v>
      </c>
    </row>
    <row r="474" spans="1:5" x14ac:dyDescent="0.2">
      <c r="A474" s="72">
        <v>5</v>
      </c>
      <c r="B474" s="16">
        <v>14.5</v>
      </c>
      <c r="C474" s="72">
        <v>50</v>
      </c>
      <c r="D474" s="15">
        <v>189.59</v>
      </c>
      <c r="E474" s="15">
        <v>164.33</v>
      </c>
    </row>
    <row r="475" spans="1:5" x14ac:dyDescent="0.2">
      <c r="A475" s="72">
        <v>5</v>
      </c>
      <c r="B475" s="16">
        <v>14.5</v>
      </c>
      <c r="C475" s="72">
        <v>100</v>
      </c>
      <c r="D475" s="15">
        <v>169.3</v>
      </c>
      <c r="E475" s="15">
        <v>164.71</v>
      </c>
    </row>
    <row r="476" spans="1:5" x14ac:dyDescent="0.2">
      <c r="A476" s="72">
        <v>5</v>
      </c>
      <c r="B476" s="16">
        <v>14.5</v>
      </c>
      <c r="C476" s="72">
        <v>300</v>
      </c>
      <c r="D476" s="15">
        <v>88.13</v>
      </c>
      <c r="E476" s="15">
        <v>166.22</v>
      </c>
    </row>
    <row r="477" spans="1:5" x14ac:dyDescent="0.2">
      <c r="A477" s="72">
        <v>5</v>
      </c>
      <c r="B477" s="16">
        <v>14.5</v>
      </c>
      <c r="C477" s="72">
        <v>500</v>
      </c>
      <c r="D477" s="15">
        <v>65.599999999999994</v>
      </c>
      <c r="E477" s="15">
        <v>166.77</v>
      </c>
    </row>
    <row r="478" spans="1:5" x14ac:dyDescent="0.2">
      <c r="A478" s="72">
        <v>5</v>
      </c>
      <c r="B478" s="16">
        <v>14.5</v>
      </c>
      <c r="C478" s="72">
        <v>700</v>
      </c>
      <c r="D478" s="15">
        <v>59.55</v>
      </c>
      <c r="E478" s="15">
        <v>166.97</v>
      </c>
    </row>
    <row r="479" spans="1:5" x14ac:dyDescent="0.2">
      <c r="A479" s="72">
        <v>5</v>
      </c>
      <c r="B479" s="16">
        <v>14.5</v>
      </c>
      <c r="C479" s="72">
        <v>1000</v>
      </c>
      <c r="D479" s="15">
        <v>50.49</v>
      </c>
      <c r="E479" s="15">
        <v>167.27</v>
      </c>
    </row>
    <row r="480" spans="1:5" x14ac:dyDescent="0.2">
      <c r="A480" s="72">
        <v>5</v>
      </c>
      <c r="B480" s="16">
        <v>14.5</v>
      </c>
      <c r="C480" s="72">
        <v>1300</v>
      </c>
      <c r="D480" s="15">
        <v>41.42</v>
      </c>
      <c r="E480" s="15">
        <v>167.56</v>
      </c>
    </row>
    <row r="481" spans="1:5" x14ac:dyDescent="0.2">
      <c r="A481" s="72">
        <v>5</v>
      </c>
      <c r="B481" s="16">
        <v>14.5</v>
      </c>
      <c r="C481" s="72">
        <v>1600</v>
      </c>
      <c r="D481" s="15">
        <v>32.35</v>
      </c>
      <c r="E481" s="15">
        <v>167.86</v>
      </c>
    </row>
    <row r="482" spans="1:5" x14ac:dyDescent="0.2">
      <c r="A482" s="72">
        <v>5</v>
      </c>
      <c r="B482" s="16">
        <v>15</v>
      </c>
      <c r="C482" s="72">
        <v>50</v>
      </c>
      <c r="D482" s="15">
        <v>180.41</v>
      </c>
      <c r="E482" s="15">
        <v>164.5</v>
      </c>
    </row>
    <row r="483" spans="1:5" x14ac:dyDescent="0.2">
      <c r="A483" s="72">
        <v>5</v>
      </c>
      <c r="B483" s="16">
        <v>15</v>
      </c>
      <c r="C483" s="72">
        <v>100</v>
      </c>
      <c r="D483" s="15">
        <v>160.97</v>
      </c>
      <c r="E483" s="15">
        <v>164.92</v>
      </c>
    </row>
    <row r="484" spans="1:5" x14ac:dyDescent="0.2">
      <c r="A484" s="72">
        <v>5</v>
      </c>
      <c r="B484" s="16">
        <v>15</v>
      </c>
      <c r="C484" s="72">
        <v>300</v>
      </c>
      <c r="D484" s="15">
        <v>83.23</v>
      </c>
      <c r="E484" s="15">
        <v>166.62</v>
      </c>
    </row>
    <row r="485" spans="1:5" x14ac:dyDescent="0.2">
      <c r="A485" s="72">
        <v>5</v>
      </c>
      <c r="B485" s="16">
        <v>15</v>
      </c>
      <c r="C485" s="72">
        <v>500</v>
      </c>
      <c r="D485" s="15">
        <v>61.88</v>
      </c>
      <c r="E485" s="15">
        <v>167.25</v>
      </c>
    </row>
    <row r="486" spans="1:5" x14ac:dyDescent="0.2">
      <c r="A486" s="72">
        <v>5</v>
      </c>
      <c r="B486" s="16">
        <v>15</v>
      </c>
      <c r="C486" s="72">
        <v>700</v>
      </c>
      <c r="D486" s="15">
        <v>56.17</v>
      </c>
      <c r="E486" s="15">
        <v>167.46</v>
      </c>
    </row>
    <row r="487" spans="1:5" x14ac:dyDescent="0.2">
      <c r="A487" s="72">
        <v>5</v>
      </c>
      <c r="B487" s="16">
        <v>15</v>
      </c>
      <c r="C487" s="72">
        <v>1000</v>
      </c>
      <c r="D487" s="15">
        <v>47.61</v>
      </c>
      <c r="E487" s="15">
        <v>167.79</v>
      </c>
    </row>
    <row r="488" spans="1:5" x14ac:dyDescent="0.2">
      <c r="A488" s="72">
        <v>5</v>
      </c>
      <c r="B488" s="16">
        <v>15</v>
      </c>
      <c r="C488" s="72">
        <v>1300</v>
      </c>
      <c r="D488" s="15">
        <v>39.049999999999997</v>
      </c>
      <c r="E488" s="15">
        <v>168.11</v>
      </c>
    </row>
    <row r="489" spans="1:5" x14ac:dyDescent="0.2">
      <c r="A489" s="72">
        <v>5</v>
      </c>
      <c r="B489" s="16">
        <v>15</v>
      </c>
      <c r="C489" s="72">
        <v>1600</v>
      </c>
      <c r="D489" s="15">
        <v>30.49</v>
      </c>
      <c r="E489" s="15">
        <v>168.43</v>
      </c>
    </row>
    <row r="490" spans="1:5" x14ac:dyDescent="0.2">
      <c r="A490" s="72">
        <v>5</v>
      </c>
      <c r="B490" s="16">
        <v>15.5</v>
      </c>
      <c r="C490" s="72">
        <v>50</v>
      </c>
      <c r="D490" s="15">
        <v>174.49</v>
      </c>
      <c r="E490" s="15">
        <v>164.54</v>
      </c>
    </row>
    <row r="491" spans="1:5" x14ac:dyDescent="0.2">
      <c r="A491" s="72">
        <v>5</v>
      </c>
      <c r="B491" s="16">
        <v>15.5</v>
      </c>
      <c r="C491" s="72">
        <v>100</v>
      </c>
      <c r="D491" s="15">
        <v>155.86000000000001</v>
      </c>
      <c r="E491" s="15">
        <v>164.96</v>
      </c>
    </row>
    <row r="492" spans="1:5" x14ac:dyDescent="0.2">
      <c r="A492" s="72">
        <v>5</v>
      </c>
      <c r="B492" s="16">
        <v>15.5</v>
      </c>
      <c r="C492" s="72">
        <v>300</v>
      </c>
      <c r="D492" s="15">
        <v>81.33</v>
      </c>
      <c r="E492" s="15">
        <v>166.66</v>
      </c>
    </row>
    <row r="493" spans="1:5" x14ac:dyDescent="0.2">
      <c r="A493" s="72">
        <v>5</v>
      </c>
      <c r="B493" s="16">
        <v>15.5</v>
      </c>
      <c r="C493" s="72">
        <v>500</v>
      </c>
      <c r="D493" s="15">
        <v>60.86</v>
      </c>
      <c r="E493" s="15">
        <v>167.29</v>
      </c>
    </row>
    <row r="494" spans="1:5" x14ac:dyDescent="0.2">
      <c r="A494" s="72">
        <v>5</v>
      </c>
      <c r="B494" s="16">
        <v>15.5</v>
      </c>
      <c r="C494" s="72">
        <v>700</v>
      </c>
      <c r="D494" s="15">
        <v>55.36</v>
      </c>
      <c r="E494" s="15">
        <v>167.51</v>
      </c>
    </row>
    <row r="495" spans="1:5" x14ac:dyDescent="0.2">
      <c r="A495" s="72">
        <v>5</v>
      </c>
      <c r="B495" s="16">
        <v>15.5</v>
      </c>
      <c r="C495" s="72">
        <v>1000</v>
      </c>
      <c r="D495" s="15">
        <v>47.12</v>
      </c>
      <c r="E495" s="15">
        <v>167.84</v>
      </c>
    </row>
    <row r="496" spans="1:5" x14ac:dyDescent="0.2">
      <c r="A496" s="72">
        <v>5</v>
      </c>
      <c r="B496" s="16">
        <v>15.5</v>
      </c>
      <c r="C496" s="72">
        <v>1300</v>
      </c>
      <c r="D496" s="15">
        <v>38.869999999999997</v>
      </c>
      <c r="E496" s="15">
        <v>168.17</v>
      </c>
    </row>
    <row r="497" spans="1:5" x14ac:dyDescent="0.2">
      <c r="A497" s="72">
        <v>5</v>
      </c>
      <c r="B497" s="16">
        <v>15.5</v>
      </c>
      <c r="C497" s="72">
        <v>1600</v>
      </c>
      <c r="D497" s="15">
        <v>30.62</v>
      </c>
      <c r="E497" s="15">
        <v>168.5</v>
      </c>
    </row>
    <row r="498" spans="1:5" x14ac:dyDescent="0.2">
      <c r="A498" s="72">
        <v>5</v>
      </c>
      <c r="B498" s="16">
        <v>16</v>
      </c>
      <c r="C498" s="72">
        <v>50</v>
      </c>
      <c r="D498" s="15">
        <v>168.58</v>
      </c>
      <c r="E498" s="15">
        <v>164.58</v>
      </c>
    </row>
    <row r="499" spans="1:5" x14ac:dyDescent="0.2">
      <c r="A499" s="72">
        <v>5</v>
      </c>
      <c r="B499" s="16">
        <v>16</v>
      </c>
      <c r="C499" s="72">
        <v>100</v>
      </c>
      <c r="D499" s="15">
        <v>150.75</v>
      </c>
      <c r="E499" s="15">
        <v>165</v>
      </c>
    </row>
    <row r="500" spans="1:5" x14ac:dyDescent="0.2">
      <c r="A500" s="72">
        <v>5</v>
      </c>
      <c r="B500" s="16">
        <v>16</v>
      </c>
      <c r="C500" s="72">
        <v>300</v>
      </c>
      <c r="D500" s="15">
        <v>79.42</v>
      </c>
      <c r="E500" s="15">
        <v>166.69</v>
      </c>
    </row>
    <row r="501" spans="1:5" x14ac:dyDescent="0.2">
      <c r="A501" s="72">
        <v>5</v>
      </c>
      <c r="B501" s="16">
        <v>16</v>
      </c>
      <c r="C501" s="72">
        <v>500</v>
      </c>
      <c r="D501" s="15">
        <v>59.83</v>
      </c>
      <c r="E501" s="15">
        <v>167.32</v>
      </c>
    </row>
    <row r="502" spans="1:5" x14ac:dyDescent="0.2">
      <c r="A502" s="72">
        <v>5</v>
      </c>
      <c r="B502" s="16">
        <v>16</v>
      </c>
      <c r="C502" s="72">
        <v>700</v>
      </c>
      <c r="D502" s="15">
        <v>54.54</v>
      </c>
      <c r="E502" s="15">
        <v>167.55</v>
      </c>
    </row>
    <row r="503" spans="1:5" x14ac:dyDescent="0.2">
      <c r="A503" s="72">
        <v>5</v>
      </c>
      <c r="B503" s="16">
        <v>16</v>
      </c>
      <c r="C503" s="72">
        <v>1000</v>
      </c>
      <c r="D503" s="15">
        <v>46.61</v>
      </c>
      <c r="E503" s="15">
        <v>167.89</v>
      </c>
    </row>
    <row r="504" spans="1:5" x14ac:dyDescent="0.2">
      <c r="A504" s="72">
        <v>5</v>
      </c>
      <c r="B504" s="16">
        <v>16</v>
      </c>
      <c r="C504" s="72">
        <v>1300</v>
      </c>
      <c r="D504" s="15">
        <v>38.68</v>
      </c>
      <c r="E504" s="15">
        <v>168.22</v>
      </c>
    </row>
    <row r="505" spans="1:5" x14ac:dyDescent="0.2">
      <c r="A505" s="72">
        <v>5</v>
      </c>
      <c r="B505" s="16">
        <v>16</v>
      </c>
      <c r="C505" s="72">
        <v>1600</v>
      </c>
      <c r="D505" s="15">
        <v>30.75</v>
      </c>
      <c r="E505" s="15">
        <v>168.56</v>
      </c>
    </row>
    <row r="506" spans="1:5" x14ac:dyDescent="0.2">
      <c r="A506" s="72">
        <v>35</v>
      </c>
      <c r="B506" s="16">
        <v>6</v>
      </c>
      <c r="C506" s="72">
        <v>50</v>
      </c>
      <c r="D506" s="15">
        <v>444.63</v>
      </c>
      <c r="E506" s="15">
        <v>180.38</v>
      </c>
    </row>
    <row r="507" spans="1:5" x14ac:dyDescent="0.2">
      <c r="A507" s="72">
        <v>35</v>
      </c>
      <c r="B507" s="16">
        <v>6</v>
      </c>
      <c r="C507" s="72">
        <v>100</v>
      </c>
      <c r="D507" s="15">
        <v>424.33</v>
      </c>
      <c r="E507" s="15">
        <v>180.39</v>
      </c>
    </row>
    <row r="508" spans="1:5" x14ac:dyDescent="0.2">
      <c r="A508" s="72">
        <v>35</v>
      </c>
      <c r="B508" s="16">
        <v>6</v>
      </c>
      <c r="C508" s="72">
        <v>300</v>
      </c>
      <c r="D508" s="15">
        <v>343.15</v>
      </c>
      <c r="E508" s="15">
        <v>180.43</v>
      </c>
    </row>
    <row r="509" spans="1:5" x14ac:dyDescent="0.2">
      <c r="A509" s="72">
        <v>35</v>
      </c>
      <c r="B509" s="16">
        <v>6</v>
      </c>
      <c r="C509" s="72">
        <v>500</v>
      </c>
      <c r="D509" s="15">
        <v>310.89999999999998</v>
      </c>
      <c r="E509" s="15">
        <v>180.47</v>
      </c>
    </row>
    <row r="510" spans="1:5" x14ac:dyDescent="0.2">
      <c r="A510" s="72">
        <v>35</v>
      </c>
      <c r="B510" s="16">
        <v>6</v>
      </c>
      <c r="C510" s="72">
        <v>700</v>
      </c>
      <c r="D510" s="15">
        <v>299.01</v>
      </c>
      <c r="E510" s="15">
        <v>180.49</v>
      </c>
    </row>
    <row r="511" spans="1:5" x14ac:dyDescent="0.2">
      <c r="A511" s="72">
        <v>35</v>
      </c>
      <c r="B511" s="16">
        <v>6</v>
      </c>
      <c r="C511" s="72">
        <v>1000</v>
      </c>
      <c r="D511" s="15">
        <v>281.17</v>
      </c>
      <c r="E511" s="15">
        <v>180.53</v>
      </c>
    </row>
    <row r="512" spans="1:5" x14ac:dyDescent="0.2">
      <c r="A512" s="72">
        <v>35</v>
      </c>
      <c r="B512" s="16">
        <v>6</v>
      </c>
      <c r="C512" s="72">
        <v>1300</v>
      </c>
      <c r="D512" s="15">
        <v>263.33</v>
      </c>
      <c r="E512" s="15">
        <v>180.57</v>
      </c>
    </row>
    <row r="513" spans="1:5" x14ac:dyDescent="0.2">
      <c r="A513" s="72">
        <v>35</v>
      </c>
      <c r="B513" s="16">
        <v>6</v>
      </c>
      <c r="C513" s="72">
        <v>1600</v>
      </c>
      <c r="D513" s="15">
        <v>245.49</v>
      </c>
      <c r="E513" s="15">
        <v>180.6</v>
      </c>
    </row>
    <row r="514" spans="1:5" x14ac:dyDescent="0.2">
      <c r="A514" s="72">
        <v>35</v>
      </c>
      <c r="B514" s="16">
        <v>6.5</v>
      </c>
      <c r="C514" s="72">
        <v>50</v>
      </c>
      <c r="D514" s="15">
        <v>420.54</v>
      </c>
      <c r="E514" s="15">
        <v>180.36</v>
      </c>
    </row>
    <row r="515" spans="1:5" x14ac:dyDescent="0.2">
      <c r="A515" s="72">
        <v>35</v>
      </c>
      <c r="B515" s="16">
        <v>6.5</v>
      </c>
      <c r="C515" s="72">
        <v>100</v>
      </c>
      <c r="D515" s="15">
        <v>400.19</v>
      </c>
      <c r="E515" s="15">
        <v>180.37</v>
      </c>
    </row>
    <row r="516" spans="1:5" x14ac:dyDescent="0.2">
      <c r="A516" s="72">
        <v>35</v>
      </c>
      <c r="B516" s="16">
        <v>6.5</v>
      </c>
      <c r="C516" s="72">
        <v>300</v>
      </c>
      <c r="D516" s="15">
        <v>318.77999999999997</v>
      </c>
      <c r="E516" s="15">
        <v>180.4</v>
      </c>
    </row>
    <row r="517" spans="1:5" x14ac:dyDescent="0.2">
      <c r="A517" s="72">
        <v>35</v>
      </c>
      <c r="B517" s="16">
        <v>6.5</v>
      </c>
      <c r="C517" s="72">
        <v>500</v>
      </c>
      <c r="D517" s="15">
        <v>286.89</v>
      </c>
      <c r="E517" s="15">
        <v>180.44</v>
      </c>
    </row>
    <row r="518" spans="1:5" x14ac:dyDescent="0.2">
      <c r="A518" s="72">
        <v>35</v>
      </c>
      <c r="B518" s="16">
        <v>6.5</v>
      </c>
      <c r="C518" s="72">
        <v>700</v>
      </c>
      <c r="D518" s="15">
        <v>275.29000000000002</v>
      </c>
      <c r="E518" s="15">
        <v>180.46</v>
      </c>
    </row>
    <row r="519" spans="1:5" x14ac:dyDescent="0.2">
      <c r="A519" s="72">
        <v>35</v>
      </c>
      <c r="B519" s="16">
        <v>6.5</v>
      </c>
      <c r="C519" s="72">
        <v>1000</v>
      </c>
      <c r="D519" s="15">
        <v>257.89</v>
      </c>
      <c r="E519" s="15">
        <v>180.5</v>
      </c>
    </row>
    <row r="520" spans="1:5" x14ac:dyDescent="0.2">
      <c r="A520" s="72">
        <v>35</v>
      </c>
      <c r="B520" s="16">
        <v>6.5</v>
      </c>
      <c r="C520" s="72">
        <v>1300</v>
      </c>
      <c r="D520" s="15">
        <v>240.48</v>
      </c>
      <c r="E520" s="15">
        <v>180.54</v>
      </c>
    </row>
    <row r="521" spans="1:5" x14ac:dyDescent="0.2">
      <c r="A521" s="72">
        <v>35</v>
      </c>
      <c r="B521" s="16">
        <v>6.5</v>
      </c>
      <c r="C521" s="72">
        <v>1600</v>
      </c>
      <c r="D521" s="15">
        <v>223.08</v>
      </c>
      <c r="E521" s="15">
        <v>180.57</v>
      </c>
    </row>
    <row r="522" spans="1:5" x14ac:dyDescent="0.2">
      <c r="A522" s="72">
        <v>35</v>
      </c>
      <c r="B522" s="16">
        <v>7</v>
      </c>
      <c r="C522" s="72">
        <v>50</v>
      </c>
      <c r="D522" s="15">
        <v>396.46</v>
      </c>
      <c r="E522" s="15">
        <v>180.36</v>
      </c>
    </row>
    <row r="523" spans="1:5" x14ac:dyDescent="0.2">
      <c r="A523" s="72">
        <v>35</v>
      </c>
      <c r="B523" s="16">
        <v>7</v>
      </c>
      <c r="C523" s="72">
        <v>100</v>
      </c>
      <c r="D523" s="15">
        <v>376.05</v>
      </c>
      <c r="E523" s="15">
        <v>180.36</v>
      </c>
    </row>
    <row r="524" spans="1:5" x14ac:dyDescent="0.2">
      <c r="A524" s="72">
        <v>35</v>
      </c>
      <c r="B524" s="16">
        <v>7</v>
      </c>
      <c r="C524" s="72">
        <v>300</v>
      </c>
      <c r="D524" s="15">
        <v>294.39999999999998</v>
      </c>
      <c r="E524" s="15">
        <v>180.37</v>
      </c>
    </row>
    <row r="525" spans="1:5" x14ac:dyDescent="0.2">
      <c r="A525" s="72">
        <v>35</v>
      </c>
      <c r="B525" s="16">
        <v>7</v>
      </c>
      <c r="C525" s="72">
        <v>500</v>
      </c>
      <c r="D525" s="15">
        <v>262.89</v>
      </c>
      <c r="E525" s="15">
        <v>180.4</v>
      </c>
    </row>
    <row r="526" spans="1:5" x14ac:dyDescent="0.2">
      <c r="A526" s="72">
        <v>35</v>
      </c>
      <c r="B526" s="16">
        <v>7</v>
      </c>
      <c r="C526" s="72">
        <v>700</v>
      </c>
      <c r="D526" s="15">
        <v>251.58</v>
      </c>
      <c r="E526" s="15">
        <v>180.43</v>
      </c>
    </row>
    <row r="527" spans="1:5" x14ac:dyDescent="0.2">
      <c r="A527" s="72">
        <v>35</v>
      </c>
      <c r="B527" s="16">
        <v>7</v>
      </c>
      <c r="C527" s="72">
        <v>1000</v>
      </c>
      <c r="D527" s="15">
        <v>234.61</v>
      </c>
      <c r="E527" s="15">
        <v>180.47</v>
      </c>
    </row>
    <row r="528" spans="1:5" x14ac:dyDescent="0.2">
      <c r="A528" s="72">
        <v>35</v>
      </c>
      <c r="B528" s="16">
        <v>7</v>
      </c>
      <c r="C528" s="72">
        <v>1300</v>
      </c>
      <c r="D528" s="15">
        <v>217.64</v>
      </c>
      <c r="E528" s="15">
        <v>180.5</v>
      </c>
    </row>
    <row r="529" spans="1:5" x14ac:dyDescent="0.2">
      <c r="A529" s="72">
        <v>35</v>
      </c>
      <c r="B529" s="16">
        <v>7</v>
      </c>
      <c r="C529" s="72">
        <v>1600</v>
      </c>
      <c r="D529" s="15">
        <v>200.67</v>
      </c>
      <c r="E529" s="15">
        <v>180.54</v>
      </c>
    </row>
    <row r="530" spans="1:5" x14ac:dyDescent="0.2">
      <c r="A530" s="72">
        <v>35</v>
      </c>
      <c r="B530" s="16">
        <v>7.5</v>
      </c>
      <c r="C530" s="72">
        <v>50</v>
      </c>
      <c r="D530" s="15">
        <v>372.37</v>
      </c>
      <c r="E530" s="15">
        <v>180.35</v>
      </c>
    </row>
    <row r="531" spans="1:5" x14ac:dyDescent="0.2">
      <c r="A531" s="72">
        <v>35</v>
      </c>
      <c r="B531" s="16">
        <v>7.5</v>
      </c>
      <c r="C531" s="72">
        <v>100</v>
      </c>
      <c r="D531" s="15">
        <v>351.9</v>
      </c>
      <c r="E531" s="15">
        <v>180.35</v>
      </c>
    </row>
    <row r="532" spans="1:5" x14ac:dyDescent="0.2">
      <c r="A532" s="72">
        <v>35</v>
      </c>
      <c r="B532" s="16">
        <v>7.5</v>
      </c>
      <c r="C532" s="72">
        <v>300</v>
      </c>
      <c r="D532" s="15">
        <v>270.02999999999997</v>
      </c>
      <c r="E532" s="15">
        <v>180.34</v>
      </c>
    </row>
    <row r="533" spans="1:5" x14ac:dyDescent="0.2">
      <c r="A533" s="72">
        <v>35</v>
      </c>
      <c r="B533" s="16">
        <v>7.5</v>
      </c>
      <c r="C533" s="72">
        <v>500</v>
      </c>
      <c r="D533" s="15">
        <v>238.88</v>
      </c>
      <c r="E533" s="15">
        <v>180.37</v>
      </c>
    </row>
    <row r="534" spans="1:5" x14ac:dyDescent="0.2">
      <c r="A534" s="72">
        <v>35</v>
      </c>
      <c r="B534" s="16">
        <v>7.5</v>
      </c>
      <c r="C534" s="72">
        <v>700</v>
      </c>
      <c r="D534" s="15">
        <v>227.86</v>
      </c>
      <c r="E534" s="15">
        <v>180.39</v>
      </c>
    </row>
    <row r="535" spans="1:5" x14ac:dyDescent="0.2">
      <c r="A535" s="72">
        <v>35</v>
      </c>
      <c r="B535" s="16">
        <v>7.5</v>
      </c>
      <c r="C535" s="72">
        <v>1000</v>
      </c>
      <c r="D535" s="15">
        <v>211.33</v>
      </c>
      <c r="E535" s="15">
        <v>180.43</v>
      </c>
    </row>
    <row r="536" spans="1:5" x14ac:dyDescent="0.2">
      <c r="A536" s="72">
        <v>35</v>
      </c>
      <c r="B536" s="16">
        <v>7.5</v>
      </c>
      <c r="C536" s="72">
        <v>1300</v>
      </c>
      <c r="D536" s="15">
        <v>194.79</v>
      </c>
      <c r="E536" s="15">
        <v>180.47</v>
      </c>
    </row>
    <row r="537" spans="1:5" x14ac:dyDescent="0.2">
      <c r="A537" s="72">
        <v>35</v>
      </c>
      <c r="B537" s="16">
        <v>7.5</v>
      </c>
      <c r="C537" s="72">
        <v>1600</v>
      </c>
      <c r="D537" s="15">
        <v>178.26</v>
      </c>
      <c r="E537" s="15">
        <v>180.5</v>
      </c>
    </row>
    <row r="538" spans="1:5" x14ac:dyDescent="0.2">
      <c r="A538" s="72">
        <v>35</v>
      </c>
      <c r="B538" s="16">
        <v>8</v>
      </c>
      <c r="C538" s="72">
        <v>50</v>
      </c>
      <c r="D538" s="15">
        <v>344.83</v>
      </c>
      <c r="E538" s="15">
        <v>180.42</v>
      </c>
    </row>
    <row r="539" spans="1:5" x14ac:dyDescent="0.2">
      <c r="A539" s="72">
        <v>35</v>
      </c>
      <c r="B539" s="16">
        <v>8</v>
      </c>
      <c r="C539" s="72">
        <v>100</v>
      </c>
      <c r="D539" s="15">
        <v>324.39999999999998</v>
      </c>
      <c r="E539" s="15">
        <v>180.43</v>
      </c>
    </row>
    <row r="540" spans="1:5" x14ac:dyDescent="0.2">
      <c r="A540" s="72">
        <v>35</v>
      </c>
      <c r="B540" s="16">
        <v>8</v>
      </c>
      <c r="C540" s="72">
        <v>300</v>
      </c>
      <c r="D540" s="15">
        <v>242.67</v>
      </c>
      <c r="E540" s="15">
        <v>180.49</v>
      </c>
    </row>
    <row r="541" spans="1:5" x14ac:dyDescent="0.2">
      <c r="A541" s="72">
        <v>35</v>
      </c>
      <c r="B541" s="16">
        <v>8</v>
      </c>
      <c r="C541" s="72">
        <v>500</v>
      </c>
      <c r="D541" s="15">
        <v>212.08</v>
      </c>
      <c r="E541" s="15">
        <v>180.55</v>
      </c>
    </row>
    <row r="542" spans="1:5" x14ac:dyDescent="0.2">
      <c r="A542" s="72">
        <v>35</v>
      </c>
      <c r="B542" s="16">
        <v>8</v>
      </c>
      <c r="C542" s="72">
        <v>700</v>
      </c>
      <c r="D542" s="15">
        <v>201.43</v>
      </c>
      <c r="E542" s="15">
        <v>180.59</v>
      </c>
    </row>
    <row r="543" spans="1:5" x14ac:dyDescent="0.2">
      <c r="A543" s="72">
        <v>35</v>
      </c>
      <c r="B543" s="16">
        <v>8</v>
      </c>
      <c r="C543" s="72">
        <v>1000</v>
      </c>
      <c r="D543" s="15">
        <v>185.45</v>
      </c>
      <c r="E543" s="15">
        <v>180.64</v>
      </c>
    </row>
    <row r="544" spans="1:5" x14ac:dyDescent="0.2">
      <c r="A544" s="72">
        <v>35</v>
      </c>
      <c r="B544" s="16">
        <v>8</v>
      </c>
      <c r="C544" s="72">
        <v>1300</v>
      </c>
      <c r="D544" s="15">
        <v>169.46</v>
      </c>
      <c r="E544" s="15">
        <v>180.69</v>
      </c>
    </row>
    <row r="545" spans="1:5" x14ac:dyDescent="0.2">
      <c r="A545" s="72">
        <v>35</v>
      </c>
      <c r="B545" s="16">
        <v>8</v>
      </c>
      <c r="C545" s="72">
        <v>1600</v>
      </c>
      <c r="D545" s="15">
        <v>153.47999999999999</v>
      </c>
      <c r="E545" s="15">
        <v>180.75</v>
      </c>
    </row>
    <row r="546" spans="1:5" x14ac:dyDescent="0.2">
      <c r="A546" s="72">
        <v>35</v>
      </c>
      <c r="B546" s="16">
        <v>8.5</v>
      </c>
      <c r="C546" s="72">
        <v>50</v>
      </c>
      <c r="D546" s="15">
        <v>330.18</v>
      </c>
      <c r="E546" s="15">
        <v>180.42</v>
      </c>
    </row>
    <row r="547" spans="1:5" x14ac:dyDescent="0.2">
      <c r="A547" s="72">
        <v>35</v>
      </c>
      <c r="B547" s="16">
        <v>8.5</v>
      </c>
      <c r="C547" s="72">
        <v>100</v>
      </c>
      <c r="D547" s="15">
        <v>309.68</v>
      </c>
      <c r="E547" s="15">
        <v>180.43</v>
      </c>
    </row>
    <row r="548" spans="1:5" x14ac:dyDescent="0.2">
      <c r="A548" s="72">
        <v>35</v>
      </c>
      <c r="B548" s="16">
        <v>8.5</v>
      </c>
      <c r="C548" s="72">
        <v>300</v>
      </c>
      <c r="D548" s="15">
        <v>227.69</v>
      </c>
      <c r="E548" s="15">
        <v>180.46</v>
      </c>
    </row>
    <row r="549" spans="1:5" x14ac:dyDescent="0.2">
      <c r="A549" s="72">
        <v>35</v>
      </c>
      <c r="B549" s="16">
        <v>8.5</v>
      </c>
      <c r="C549" s="72">
        <v>500</v>
      </c>
      <c r="D549" s="15">
        <v>197.5</v>
      </c>
      <c r="E549" s="15">
        <v>180.51</v>
      </c>
    </row>
    <row r="550" spans="1:5" x14ac:dyDescent="0.2">
      <c r="A550" s="72">
        <v>35</v>
      </c>
      <c r="B550" s="16">
        <v>8.5</v>
      </c>
      <c r="C550" s="72">
        <v>700</v>
      </c>
      <c r="D550" s="15">
        <v>187.14</v>
      </c>
      <c r="E550" s="15">
        <v>180.55</v>
      </c>
    </row>
    <row r="551" spans="1:5" x14ac:dyDescent="0.2">
      <c r="A551" s="72">
        <v>35</v>
      </c>
      <c r="B551" s="16">
        <v>8.5</v>
      </c>
      <c r="C551" s="72">
        <v>1000</v>
      </c>
      <c r="D551" s="15">
        <v>171.59</v>
      </c>
      <c r="E551" s="15">
        <v>180.6</v>
      </c>
    </row>
    <row r="552" spans="1:5" x14ac:dyDescent="0.2">
      <c r="A552" s="72">
        <v>35</v>
      </c>
      <c r="B552" s="16">
        <v>8.5</v>
      </c>
      <c r="C552" s="72">
        <v>1300</v>
      </c>
      <c r="D552" s="15">
        <v>156.04</v>
      </c>
      <c r="E552" s="15">
        <v>180.65</v>
      </c>
    </row>
    <row r="553" spans="1:5" x14ac:dyDescent="0.2">
      <c r="A553" s="72">
        <v>35</v>
      </c>
      <c r="B553" s="16">
        <v>8.5</v>
      </c>
      <c r="C553" s="72">
        <v>1600</v>
      </c>
      <c r="D553" s="15">
        <v>140.5</v>
      </c>
      <c r="E553" s="15">
        <v>180.71</v>
      </c>
    </row>
    <row r="554" spans="1:5" x14ac:dyDescent="0.2">
      <c r="A554" s="72">
        <v>35</v>
      </c>
      <c r="B554" s="16">
        <v>9</v>
      </c>
      <c r="C554" s="72">
        <v>50</v>
      </c>
      <c r="D554" s="15">
        <v>315.54000000000002</v>
      </c>
      <c r="E554" s="15">
        <v>180.42</v>
      </c>
    </row>
    <row r="555" spans="1:5" x14ac:dyDescent="0.2">
      <c r="A555" s="72">
        <v>35</v>
      </c>
      <c r="B555" s="16">
        <v>9</v>
      </c>
      <c r="C555" s="72">
        <v>100</v>
      </c>
      <c r="D555" s="15">
        <v>294.97000000000003</v>
      </c>
      <c r="E555" s="15">
        <v>180.42</v>
      </c>
    </row>
    <row r="556" spans="1:5" x14ac:dyDescent="0.2">
      <c r="A556" s="72">
        <v>35</v>
      </c>
      <c r="B556" s="16">
        <v>9</v>
      </c>
      <c r="C556" s="72">
        <v>300</v>
      </c>
      <c r="D556" s="15">
        <v>212.71</v>
      </c>
      <c r="E556" s="15">
        <v>180.44</v>
      </c>
    </row>
    <row r="557" spans="1:5" x14ac:dyDescent="0.2">
      <c r="A557" s="72">
        <v>35</v>
      </c>
      <c r="B557" s="16">
        <v>9</v>
      </c>
      <c r="C557" s="72">
        <v>500</v>
      </c>
      <c r="D557" s="15">
        <v>182.92</v>
      </c>
      <c r="E557" s="15">
        <v>180.48</v>
      </c>
    </row>
    <row r="558" spans="1:5" x14ac:dyDescent="0.2">
      <c r="A558" s="72">
        <v>35</v>
      </c>
      <c r="B558" s="16">
        <v>9</v>
      </c>
      <c r="C558" s="72">
        <v>700</v>
      </c>
      <c r="D558" s="15">
        <v>172.84</v>
      </c>
      <c r="E558" s="15">
        <v>180.51</v>
      </c>
    </row>
    <row r="559" spans="1:5" x14ac:dyDescent="0.2">
      <c r="A559" s="72">
        <v>35</v>
      </c>
      <c r="B559" s="16">
        <v>9</v>
      </c>
      <c r="C559" s="72">
        <v>1000</v>
      </c>
      <c r="D559" s="15">
        <v>157.72999999999999</v>
      </c>
      <c r="E559" s="15">
        <v>180.56</v>
      </c>
    </row>
    <row r="560" spans="1:5" x14ac:dyDescent="0.2">
      <c r="A560" s="72">
        <v>35</v>
      </c>
      <c r="B560" s="16">
        <v>9</v>
      </c>
      <c r="C560" s="72">
        <v>1300</v>
      </c>
      <c r="D560" s="15">
        <v>142.62</v>
      </c>
      <c r="E560" s="15">
        <v>180.61</v>
      </c>
    </row>
    <row r="561" spans="1:5" x14ac:dyDescent="0.2">
      <c r="A561" s="72">
        <v>35</v>
      </c>
      <c r="B561" s="16">
        <v>9</v>
      </c>
      <c r="C561" s="72">
        <v>1600</v>
      </c>
      <c r="D561" s="15">
        <v>127.5</v>
      </c>
      <c r="E561" s="15">
        <v>180.66</v>
      </c>
    </row>
    <row r="562" spans="1:5" x14ac:dyDescent="0.2">
      <c r="A562" s="72">
        <v>35</v>
      </c>
      <c r="B562" s="16">
        <v>9.5</v>
      </c>
      <c r="C562" s="72">
        <v>50</v>
      </c>
      <c r="D562" s="15">
        <v>297.44</v>
      </c>
      <c r="E562" s="15">
        <v>180.5</v>
      </c>
    </row>
    <row r="563" spans="1:5" x14ac:dyDescent="0.2">
      <c r="A563" s="72">
        <v>35</v>
      </c>
      <c r="B563" s="16">
        <v>9.5</v>
      </c>
      <c r="C563" s="72">
        <v>100</v>
      </c>
      <c r="D563" s="15">
        <v>276.89999999999998</v>
      </c>
      <c r="E563" s="15">
        <v>180.52</v>
      </c>
    </row>
    <row r="564" spans="1:5" x14ac:dyDescent="0.2">
      <c r="A564" s="72">
        <v>35</v>
      </c>
      <c r="B564" s="16">
        <v>9.5</v>
      </c>
      <c r="C564" s="72">
        <v>300</v>
      </c>
      <c r="D564" s="15">
        <v>194.73</v>
      </c>
      <c r="E564" s="15">
        <v>180.62</v>
      </c>
    </row>
    <row r="565" spans="1:5" x14ac:dyDescent="0.2">
      <c r="A565" s="72">
        <v>35</v>
      </c>
      <c r="B565" s="16">
        <v>9.5</v>
      </c>
      <c r="C565" s="72">
        <v>500</v>
      </c>
      <c r="D565" s="15">
        <v>165.53</v>
      </c>
      <c r="E565" s="15">
        <v>180.69</v>
      </c>
    </row>
    <row r="566" spans="1:5" x14ac:dyDescent="0.2">
      <c r="A566" s="72">
        <v>35</v>
      </c>
      <c r="B566" s="16">
        <v>9.5</v>
      </c>
      <c r="C566" s="72">
        <v>700</v>
      </c>
      <c r="D566" s="15">
        <v>155.83000000000001</v>
      </c>
      <c r="E566" s="15">
        <v>180.73</v>
      </c>
    </row>
    <row r="567" spans="1:5" x14ac:dyDescent="0.2">
      <c r="A567" s="72">
        <v>35</v>
      </c>
      <c r="B567" s="16">
        <v>9.5</v>
      </c>
      <c r="C567" s="72">
        <v>1000</v>
      </c>
      <c r="D567" s="15">
        <v>141.28</v>
      </c>
      <c r="E567" s="15">
        <v>180.8</v>
      </c>
    </row>
    <row r="568" spans="1:5" x14ac:dyDescent="0.2">
      <c r="A568" s="72">
        <v>35</v>
      </c>
      <c r="B568" s="16">
        <v>9.5</v>
      </c>
      <c r="C568" s="72">
        <v>1300</v>
      </c>
      <c r="D568" s="15">
        <v>126.73</v>
      </c>
      <c r="E568" s="15">
        <v>180.87</v>
      </c>
    </row>
    <row r="569" spans="1:5" x14ac:dyDescent="0.2">
      <c r="A569" s="72">
        <v>35</v>
      </c>
      <c r="B569" s="16">
        <v>9.5</v>
      </c>
      <c r="C569" s="72">
        <v>1600</v>
      </c>
      <c r="D569" s="15">
        <v>112.18</v>
      </c>
      <c r="E569" s="15">
        <v>180.93</v>
      </c>
    </row>
    <row r="570" spans="1:5" x14ac:dyDescent="0.2">
      <c r="A570" s="72">
        <v>35</v>
      </c>
      <c r="B570" s="16">
        <v>10</v>
      </c>
      <c r="C570" s="72">
        <v>50</v>
      </c>
      <c r="D570" s="15">
        <v>279.36</v>
      </c>
      <c r="E570" s="15">
        <v>180.57</v>
      </c>
    </row>
    <row r="571" spans="1:5" x14ac:dyDescent="0.2">
      <c r="A571" s="72">
        <v>35</v>
      </c>
      <c r="B571" s="16">
        <v>10</v>
      </c>
      <c r="C571" s="72">
        <v>100</v>
      </c>
      <c r="D571" s="15">
        <v>258.83</v>
      </c>
      <c r="E571" s="15">
        <v>180.62</v>
      </c>
    </row>
    <row r="572" spans="1:5" x14ac:dyDescent="0.2">
      <c r="A572" s="72">
        <v>35</v>
      </c>
      <c r="B572" s="16">
        <v>10</v>
      </c>
      <c r="C572" s="72">
        <v>300</v>
      </c>
      <c r="D572" s="15">
        <v>176.72</v>
      </c>
      <c r="E572" s="15">
        <v>180.82</v>
      </c>
    </row>
    <row r="573" spans="1:5" x14ac:dyDescent="0.2">
      <c r="A573" s="72">
        <v>35</v>
      </c>
      <c r="B573" s="16">
        <v>10</v>
      </c>
      <c r="C573" s="72">
        <v>500</v>
      </c>
      <c r="D573" s="15">
        <v>148.13</v>
      </c>
      <c r="E573" s="15">
        <v>180.93</v>
      </c>
    </row>
    <row r="574" spans="1:5" x14ac:dyDescent="0.2">
      <c r="A574" s="72">
        <v>35</v>
      </c>
      <c r="B574" s="16">
        <v>10</v>
      </c>
      <c r="C574" s="72">
        <v>700</v>
      </c>
      <c r="D574" s="15">
        <v>138.81</v>
      </c>
      <c r="E574" s="15">
        <v>180.99</v>
      </c>
    </row>
    <row r="575" spans="1:5" x14ac:dyDescent="0.2">
      <c r="A575" s="72">
        <v>35</v>
      </c>
      <c r="B575" s="16">
        <v>10</v>
      </c>
      <c r="C575" s="72">
        <v>1000</v>
      </c>
      <c r="D575" s="15">
        <v>124.84</v>
      </c>
      <c r="E575" s="15">
        <v>181.07</v>
      </c>
    </row>
    <row r="576" spans="1:5" x14ac:dyDescent="0.2">
      <c r="A576" s="72">
        <v>35</v>
      </c>
      <c r="B576" s="16">
        <v>10</v>
      </c>
      <c r="C576" s="72">
        <v>1300</v>
      </c>
      <c r="D576" s="15">
        <v>110.87</v>
      </c>
      <c r="E576" s="15">
        <v>181.15</v>
      </c>
    </row>
    <row r="577" spans="1:5" x14ac:dyDescent="0.2">
      <c r="A577" s="72">
        <v>35</v>
      </c>
      <c r="B577" s="16">
        <v>10</v>
      </c>
      <c r="C577" s="72">
        <v>1600</v>
      </c>
      <c r="D577" s="15">
        <v>96.89</v>
      </c>
      <c r="E577" s="15">
        <v>181.24</v>
      </c>
    </row>
    <row r="578" spans="1:5" x14ac:dyDescent="0.2">
      <c r="A578" s="72">
        <v>35</v>
      </c>
      <c r="B578" s="16">
        <v>10.5</v>
      </c>
      <c r="C578" s="72">
        <v>50</v>
      </c>
      <c r="D578" s="15">
        <v>272.97000000000003</v>
      </c>
      <c r="E578" s="15">
        <v>180.5</v>
      </c>
    </row>
    <row r="579" spans="1:5" x14ac:dyDescent="0.2">
      <c r="A579" s="72">
        <v>35</v>
      </c>
      <c r="B579" s="16">
        <v>10.5</v>
      </c>
      <c r="C579" s="72">
        <v>100</v>
      </c>
      <c r="D579" s="15">
        <v>252.28</v>
      </c>
      <c r="E579" s="15">
        <v>180.51</v>
      </c>
    </row>
    <row r="580" spans="1:5" x14ac:dyDescent="0.2">
      <c r="A580" s="72">
        <v>35</v>
      </c>
      <c r="B580" s="16">
        <v>10.5</v>
      </c>
      <c r="C580" s="72">
        <v>300</v>
      </c>
      <c r="D580" s="15">
        <v>169.52</v>
      </c>
      <c r="E580" s="15">
        <v>180.56</v>
      </c>
    </row>
    <row r="581" spans="1:5" x14ac:dyDescent="0.2">
      <c r="A581" s="72">
        <v>35</v>
      </c>
      <c r="B581" s="16">
        <v>10.5</v>
      </c>
      <c r="C581" s="72">
        <v>500</v>
      </c>
      <c r="D581" s="15">
        <v>141.16</v>
      </c>
      <c r="E581" s="15">
        <v>180.62</v>
      </c>
    </row>
    <row r="582" spans="1:5" x14ac:dyDescent="0.2">
      <c r="A582" s="72">
        <v>35</v>
      </c>
      <c r="B582" s="16">
        <v>10.5</v>
      </c>
      <c r="C582" s="72">
        <v>700</v>
      </c>
      <c r="D582" s="15">
        <v>132.04</v>
      </c>
      <c r="E582" s="15">
        <v>180.66</v>
      </c>
    </row>
    <row r="583" spans="1:5" x14ac:dyDescent="0.2">
      <c r="A583" s="72">
        <v>35</v>
      </c>
      <c r="B583" s="16">
        <v>10.5</v>
      </c>
      <c r="C583" s="72">
        <v>1000</v>
      </c>
      <c r="D583" s="15">
        <v>118.37</v>
      </c>
      <c r="E583" s="15">
        <v>180.73</v>
      </c>
    </row>
    <row r="584" spans="1:5" x14ac:dyDescent="0.2">
      <c r="A584" s="72">
        <v>35</v>
      </c>
      <c r="B584" s="16">
        <v>10.5</v>
      </c>
      <c r="C584" s="72">
        <v>1300</v>
      </c>
      <c r="D584" s="15">
        <v>104.7</v>
      </c>
      <c r="E584" s="15">
        <v>180.79</v>
      </c>
    </row>
    <row r="585" spans="1:5" x14ac:dyDescent="0.2">
      <c r="A585" s="72">
        <v>35</v>
      </c>
      <c r="B585" s="16">
        <v>10.5</v>
      </c>
      <c r="C585" s="72">
        <v>1600</v>
      </c>
      <c r="D585" s="15">
        <v>91.02</v>
      </c>
      <c r="E585" s="15">
        <v>180.85</v>
      </c>
    </row>
    <row r="586" spans="1:5" x14ac:dyDescent="0.2">
      <c r="A586" s="72">
        <v>35</v>
      </c>
      <c r="B586" s="16">
        <v>11</v>
      </c>
      <c r="C586" s="72">
        <v>50</v>
      </c>
      <c r="D586" s="15">
        <v>263.14999999999998</v>
      </c>
      <c r="E586" s="15">
        <v>180.51</v>
      </c>
    </row>
    <row r="587" spans="1:5" x14ac:dyDescent="0.2">
      <c r="A587" s="72">
        <v>35</v>
      </c>
      <c r="B587" s="16">
        <v>11</v>
      </c>
      <c r="C587" s="72">
        <v>100</v>
      </c>
      <c r="D587" s="15">
        <v>242.38</v>
      </c>
      <c r="E587" s="15">
        <v>180.51</v>
      </c>
    </row>
    <row r="588" spans="1:5" x14ac:dyDescent="0.2">
      <c r="A588" s="72">
        <v>35</v>
      </c>
      <c r="B588" s="16">
        <v>11</v>
      </c>
      <c r="C588" s="72">
        <v>300</v>
      </c>
      <c r="D588" s="15">
        <v>159.30000000000001</v>
      </c>
      <c r="E588" s="15">
        <v>180.53</v>
      </c>
    </row>
    <row r="589" spans="1:5" x14ac:dyDescent="0.2">
      <c r="A589" s="72">
        <v>35</v>
      </c>
      <c r="B589" s="16">
        <v>11</v>
      </c>
      <c r="C589" s="72">
        <v>500</v>
      </c>
      <c r="D589" s="15">
        <v>131.37</v>
      </c>
      <c r="E589" s="15">
        <v>180.58</v>
      </c>
    </row>
    <row r="590" spans="1:5" x14ac:dyDescent="0.2">
      <c r="A590" s="72">
        <v>35</v>
      </c>
      <c r="B590" s="16">
        <v>11</v>
      </c>
      <c r="C590" s="72">
        <v>700</v>
      </c>
      <c r="D590" s="15">
        <v>122.55</v>
      </c>
      <c r="E590" s="15">
        <v>180.62</v>
      </c>
    </row>
    <row r="591" spans="1:5" x14ac:dyDescent="0.2">
      <c r="A591" s="72">
        <v>35</v>
      </c>
      <c r="B591" s="16">
        <v>11</v>
      </c>
      <c r="C591" s="72">
        <v>1000</v>
      </c>
      <c r="D591" s="15">
        <v>109.31</v>
      </c>
      <c r="E591" s="15">
        <v>180.68</v>
      </c>
    </row>
    <row r="592" spans="1:5" x14ac:dyDescent="0.2">
      <c r="A592" s="72">
        <v>35</v>
      </c>
      <c r="B592" s="16">
        <v>11</v>
      </c>
      <c r="C592" s="72">
        <v>1300</v>
      </c>
      <c r="D592" s="15">
        <v>96.07</v>
      </c>
      <c r="E592" s="15">
        <v>180.73</v>
      </c>
    </row>
    <row r="593" spans="1:5" x14ac:dyDescent="0.2">
      <c r="A593" s="72">
        <v>35</v>
      </c>
      <c r="B593" s="16">
        <v>11</v>
      </c>
      <c r="C593" s="72">
        <v>1600</v>
      </c>
      <c r="D593" s="15">
        <v>82.84</v>
      </c>
      <c r="E593" s="15">
        <v>180.79</v>
      </c>
    </row>
    <row r="594" spans="1:5" x14ac:dyDescent="0.2">
      <c r="A594" s="72">
        <v>35</v>
      </c>
      <c r="B594" s="16">
        <v>11.5</v>
      </c>
      <c r="C594" s="72">
        <v>50</v>
      </c>
      <c r="D594" s="15">
        <v>256.74</v>
      </c>
      <c r="E594" s="15">
        <v>180.44</v>
      </c>
    </row>
    <row r="595" spans="1:5" x14ac:dyDescent="0.2">
      <c r="A595" s="72">
        <v>35</v>
      </c>
      <c r="B595" s="16">
        <v>11.5</v>
      </c>
      <c r="C595" s="72">
        <v>100</v>
      </c>
      <c r="D595" s="15">
        <v>235.82</v>
      </c>
      <c r="E595" s="15">
        <v>180.4</v>
      </c>
    </row>
    <row r="596" spans="1:5" x14ac:dyDescent="0.2">
      <c r="A596" s="72">
        <v>35</v>
      </c>
      <c r="B596" s="16">
        <v>11.5</v>
      </c>
      <c r="C596" s="72">
        <v>300</v>
      </c>
      <c r="D596" s="15">
        <v>152.13</v>
      </c>
      <c r="E596" s="15">
        <v>180.25</v>
      </c>
    </row>
    <row r="597" spans="1:5" x14ac:dyDescent="0.2">
      <c r="A597" s="72">
        <v>35</v>
      </c>
      <c r="B597" s="16">
        <v>11.5</v>
      </c>
      <c r="C597" s="72">
        <v>500</v>
      </c>
      <c r="D597" s="15">
        <v>124.42</v>
      </c>
      <c r="E597" s="15">
        <v>180.24</v>
      </c>
    </row>
    <row r="598" spans="1:5" x14ac:dyDescent="0.2">
      <c r="A598" s="72">
        <v>35</v>
      </c>
      <c r="B598" s="16">
        <v>11.5</v>
      </c>
      <c r="C598" s="72">
        <v>700</v>
      </c>
      <c r="D598" s="15">
        <v>115.78</v>
      </c>
      <c r="E598" s="15">
        <v>180.26</v>
      </c>
    </row>
    <row r="599" spans="1:5" x14ac:dyDescent="0.2">
      <c r="A599" s="72">
        <v>35</v>
      </c>
      <c r="B599" s="16">
        <v>11.5</v>
      </c>
      <c r="C599" s="72">
        <v>1000</v>
      </c>
      <c r="D599" s="15">
        <v>102.82</v>
      </c>
      <c r="E599" s="15">
        <v>180.29</v>
      </c>
    </row>
    <row r="600" spans="1:5" x14ac:dyDescent="0.2">
      <c r="A600" s="72">
        <v>35</v>
      </c>
      <c r="B600" s="16">
        <v>11.5</v>
      </c>
      <c r="C600" s="72">
        <v>1300</v>
      </c>
      <c r="D600" s="15">
        <v>89.86</v>
      </c>
      <c r="E600" s="15">
        <v>180.32</v>
      </c>
    </row>
    <row r="601" spans="1:5" x14ac:dyDescent="0.2">
      <c r="A601" s="72">
        <v>35</v>
      </c>
      <c r="B601" s="16">
        <v>11.5</v>
      </c>
      <c r="C601" s="72">
        <v>1600</v>
      </c>
      <c r="D601" s="15">
        <v>76.900000000000006</v>
      </c>
      <c r="E601" s="15">
        <v>180.35</v>
      </c>
    </row>
    <row r="602" spans="1:5" x14ac:dyDescent="0.2">
      <c r="A602" s="72">
        <v>35</v>
      </c>
      <c r="B602" s="16">
        <v>12</v>
      </c>
      <c r="C602" s="72">
        <v>50</v>
      </c>
      <c r="D602" s="15">
        <v>246.91</v>
      </c>
      <c r="E602" s="15">
        <v>180.44</v>
      </c>
    </row>
    <row r="603" spans="1:5" x14ac:dyDescent="0.2">
      <c r="A603" s="72">
        <v>35</v>
      </c>
      <c r="B603" s="16">
        <v>12</v>
      </c>
      <c r="C603" s="72">
        <v>100</v>
      </c>
      <c r="D603" s="15">
        <v>225.91</v>
      </c>
      <c r="E603" s="15">
        <v>180.39</v>
      </c>
    </row>
    <row r="604" spans="1:5" x14ac:dyDescent="0.2">
      <c r="A604" s="72">
        <v>35</v>
      </c>
      <c r="B604" s="16">
        <v>12</v>
      </c>
      <c r="C604" s="72">
        <v>300</v>
      </c>
      <c r="D604" s="15">
        <v>141.93</v>
      </c>
      <c r="E604" s="15">
        <v>180.21</v>
      </c>
    </row>
    <row r="605" spans="1:5" x14ac:dyDescent="0.2">
      <c r="A605" s="72">
        <v>35</v>
      </c>
      <c r="B605" s="16">
        <v>12</v>
      </c>
      <c r="C605" s="72">
        <v>500</v>
      </c>
      <c r="D605" s="15">
        <v>114.64</v>
      </c>
      <c r="E605" s="15">
        <v>180.18</v>
      </c>
    </row>
    <row r="606" spans="1:5" x14ac:dyDescent="0.2">
      <c r="A606" s="72">
        <v>35</v>
      </c>
      <c r="B606" s="16">
        <v>12</v>
      </c>
      <c r="C606" s="72">
        <v>700</v>
      </c>
      <c r="D606" s="15">
        <v>106.29</v>
      </c>
      <c r="E606" s="15">
        <v>180.2</v>
      </c>
    </row>
    <row r="607" spans="1:5" x14ac:dyDescent="0.2">
      <c r="A607" s="72">
        <v>35</v>
      </c>
      <c r="B607" s="16">
        <v>12</v>
      </c>
      <c r="C607" s="72">
        <v>1000</v>
      </c>
      <c r="D607" s="15">
        <v>93.76</v>
      </c>
      <c r="E607" s="15">
        <v>180.23</v>
      </c>
    </row>
    <row r="608" spans="1:5" x14ac:dyDescent="0.2">
      <c r="A608" s="72">
        <v>35</v>
      </c>
      <c r="B608" s="16">
        <v>12</v>
      </c>
      <c r="C608" s="72">
        <v>1300</v>
      </c>
      <c r="D608" s="15">
        <v>81.23</v>
      </c>
      <c r="E608" s="15">
        <v>180.25</v>
      </c>
    </row>
    <row r="609" spans="1:5" x14ac:dyDescent="0.2">
      <c r="A609" s="72">
        <v>35</v>
      </c>
      <c r="B609" s="16">
        <v>12</v>
      </c>
      <c r="C609" s="72">
        <v>1600</v>
      </c>
      <c r="D609" s="15">
        <v>68.7</v>
      </c>
      <c r="E609" s="15">
        <v>180.28</v>
      </c>
    </row>
    <row r="610" spans="1:5" x14ac:dyDescent="0.2">
      <c r="A610" s="72">
        <v>35</v>
      </c>
      <c r="B610" s="16">
        <v>12.5</v>
      </c>
      <c r="C610" s="72">
        <v>50</v>
      </c>
      <c r="D610" s="15">
        <v>239.9</v>
      </c>
      <c r="E610" s="15">
        <v>180.45</v>
      </c>
    </row>
    <row r="611" spans="1:5" x14ac:dyDescent="0.2">
      <c r="A611" s="72">
        <v>35</v>
      </c>
      <c r="B611" s="16">
        <v>12.5</v>
      </c>
      <c r="C611" s="72">
        <v>100</v>
      </c>
      <c r="D611" s="15">
        <v>218.81</v>
      </c>
      <c r="E611" s="15">
        <v>180.39</v>
      </c>
    </row>
    <row r="612" spans="1:5" x14ac:dyDescent="0.2">
      <c r="A612" s="72">
        <v>35</v>
      </c>
      <c r="B612" s="16">
        <v>12.5</v>
      </c>
      <c r="C612" s="72">
        <v>300</v>
      </c>
      <c r="D612" s="15">
        <v>134.47</v>
      </c>
      <c r="E612" s="15">
        <v>180.15</v>
      </c>
    </row>
    <row r="613" spans="1:5" x14ac:dyDescent="0.2">
      <c r="A613" s="72">
        <v>35</v>
      </c>
      <c r="B613" s="16">
        <v>12.5</v>
      </c>
      <c r="C613" s="72">
        <v>500</v>
      </c>
      <c r="D613" s="15">
        <v>107.65</v>
      </c>
      <c r="E613" s="15">
        <v>180.1</v>
      </c>
    </row>
    <row r="614" spans="1:5" x14ac:dyDescent="0.2">
      <c r="A614" s="72">
        <v>35</v>
      </c>
      <c r="B614" s="16">
        <v>12.5</v>
      </c>
      <c r="C614" s="72">
        <v>700</v>
      </c>
      <c r="D614" s="15">
        <v>99.58</v>
      </c>
      <c r="E614" s="15">
        <v>180.11</v>
      </c>
    </row>
    <row r="615" spans="1:5" x14ac:dyDescent="0.2">
      <c r="A615" s="72">
        <v>35</v>
      </c>
      <c r="B615" s="16">
        <v>12.5</v>
      </c>
      <c r="C615" s="72">
        <v>1000</v>
      </c>
      <c r="D615" s="15">
        <v>87.49</v>
      </c>
      <c r="E615" s="15">
        <v>180.14</v>
      </c>
    </row>
    <row r="616" spans="1:5" x14ac:dyDescent="0.2">
      <c r="A616" s="72">
        <v>35</v>
      </c>
      <c r="B616" s="16">
        <v>12.5</v>
      </c>
      <c r="C616" s="72">
        <v>1300</v>
      </c>
      <c r="D616" s="15">
        <v>75.39</v>
      </c>
      <c r="E616" s="15">
        <v>180.16</v>
      </c>
    </row>
    <row r="617" spans="1:5" x14ac:dyDescent="0.2">
      <c r="A617" s="72">
        <v>35</v>
      </c>
      <c r="B617" s="16">
        <v>12.5</v>
      </c>
      <c r="C617" s="72">
        <v>1600</v>
      </c>
      <c r="D617" s="15">
        <v>63.29</v>
      </c>
      <c r="E617" s="15">
        <v>180.18</v>
      </c>
    </row>
    <row r="618" spans="1:5" x14ac:dyDescent="0.2">
      <c r="A618" s="72">
        <v>35</v>
      </c>
      <c r="B618" s="16">
        <v>13</v>
      </c>
      <c r="C618" s="72">
        <v>50</v>
      </c>
      <c r="D618" s="15">
        <v>229.52</v>
      </c>
      <c r="E618" s="15">
        <v>180.55</v>
      </c>
    </row>
    <row r="619" spans="1:5" x14ac:dyDescent="0.2">
      <c r="A619" s="72">
        <v>35</v>
      </c>
      <c r="B619" s="16">
        <v>13</v>
      </c>
      <c r="C619" s="72">
        <v>100</v>
      </c>
      <c r="D619" s="15">
        <v>208.4</v>
      </c>
      <c r="E619" s="15">
        <v>180.51</v>
      </c>
    </row>
    <row r="620" spans="1:5" x14ac:dyDescent="0.2">
      <c r="A620" s="72">
        <v>35</v>
      </c>
      <c r="B620" s="16">
        <v>13</v>
      </c>
      <c r="C620" s="72">
        <v>300</v>
      </c>
      <c r="D620" s="15">
        <v>123.91</v>
      </c>
      <c r="E620" s="15">
        <v>180.37</v>
      </c>
    </row>
    <row r="621" spans="1:5" x14ac:dyDescent="0.2">
      <c r="A621" s="72">
        <v>35</v>
      </c>
      <c r="B621" s="16">
        <v>13</v>
      </c>
      <c r="C621" s="72">
        <v>500</v>
      </c>
      <c r="D621" s="15">
        <v>97.82</v>
      </c>
      <c r="E621" s="15">
        <v>180.35</v>
      </c>
    </row>
    <row r="622" spans="1:5" x14ac:dyDescent="0.2">
      <c r="A622" s="72">
        <v>35</v>
      </c>
      <c r="B622" s="16">
        <v>13</v>
      </c>
      <c r="C622" s="72">
        <v>700</v>
      </c>
      <c r="D622" s="15">
        <v>90.16</v>
      </c>
      <c r="E622" s="15">
        <v>180.37</v>
      </c>
    </row>
    <row r="623" spans="1:5" x14ac:dyDescent="0.2">
      <c r="A623" s="72">
        <v>35</v>
      </c>
      <c r="B623" s="16">
        <v>13</v>
      </c>
      <c r="C623" s="72">
        <v>1000</v>
      </c>
      <c r="D623" s="15">
        <v>78.680000000000007</v>
      </c>
      <c r="E623" s="15">
        <v>180.41</v>
      </c>
    </row>
    <row r="624" spans="1:5" x14ac:dyDescent="0.2">
      <c r="A624" s="72">
        <v>35</v>
      </c>
      <c r="B624" s="16">
        <v>13</v>
      </c>
      <c r="C624" s="72">
        <v>1300</v>
      </c>
      <c r="D624" s="15">
        <v>67.2</v>
      </c>
      <c r="E624" s="15">
        <v>180.45</v>
      </c>
    </row>
    <row r="625" spans="1:5" x14ac:dyDescent="0.2">
      <c r="A625" s="72">
        <v>35</v>
      </c>
      <c r="B625" s="16">
        <v>13</v>
      </c>
      <c r="C625" s="72">
        <v>1600</v>
      </c>
      <c r="D625" s="15">
        <v>55.71</v>
      </c>
      <c r="E625" s="15">
        <v>180.48</v>
      </c>
    </row>
    <row r="626" spans="1:5" x14ac:dyDescent="0.2">
      <c r="A626" s="72">
        <v>35</v>
      </c>
      <c r="B626" s="16">
        <v>13.5</v>
      </c>
      <c r="C626" s="72">
        <v>50</v>
      </c>
      <c r="D626" s="15">
        <v>222.53</v>
      </c>
      <c r="E626" s="15">
        <v>180.56</v>
      </c>
    </row>
    <row r="627" spans="1:5" x14ac:dyDescent="0.2">
      <c r="A627" s="72">
        <v>35</v>
      </c>
      <c r="B627" s="16">
        <v>13.5</v>
      </c>
      <c r="C627" s="72">
        <v>100</v>
      </c>
      <c r="D627" s="15">
        <v>201.31</v>
      </c>
      <c r="E627" s="15">
        <v>180.51</v>
      </c>
    </row>
    <row r="628" spans="1:5" x14ac:dyDescent="0.2">
      <c r="A628" s="72">
        <v>35</v>
      </c>
      <c r="B628" s="16">
        <v>13.5</v>
      </c>
      <c r="C628" s="72">
        <v>300</v>
      </c>
      <c r="D628" s="15">
        <v>116.44</v>
      </c>
      <c r="E628" s="15">
        <v>180.32</v>
      </c>
    </row>
    <row r="629" spans="1:5" x14ac:dyDescent="0.2">
      <c r="A629" s="72">
        <v>35</v>
      </c>
      <c r="B629" s="16">
        <v>13.5</v>
      </c>
      <c r="C629" s="72">
        <v>500</v>
      </c>
      <c r="D629" s="15">
        <v>90.83</v>
      </c>
      <c r="E629" s="15">
        <v>180.28</v>
      </c>
    </row>
    <row r="630" spans="1:5" x14ac:dyDescent="0.2">
      <c r="A630" s="72">
        <v>35</v>
      </c>
      <c r="B630" s="16">
        <v>13.5</v>
      </c>
      <c r="C630" s="72">
        <v>700</v>
      </c>
      <c r="D630" s="15">
        <v>83.47</v>
      </c>
      <c r="E630" s="15">
        <v>180.3</v>
      </c>
    </row>
    <row r="631" spans="1:5" x14ac:dyDescent="0.2">
      <c r="A631" s="72">
        <v>35</v>
      </c>
      <c r="B631" s="16">
        <v>13.5</v>
      </c>
      <c r="C631" s="72">
        <v>1000</v>
      </c>
      <c r="D631" s="15">
        <v>72.42</v>
      </c>
      <c r="E631" s="15">
        <v>180.33</v>
      </c>
    </row>
    <row r="632" spans="1:5" x14ac:dyDescent="0.2">
      <c r="A632" s="72">
        <v>35</v>
      </c>
      <c r="B632" s="16">
        <v>13.5</v>
      </c>
      <c r="C632" s="72">
        <v>1300</v>
      </c>
      <c r="D632" s="15">
        <v>61.37</v>
      </c>
      <c r="E632" s="15">
        <v>180.36</v>
      </c>
    </row>
    <row r="633" spans="1:5" x14ac:dyDescent="0.2">
      <c r="A633" s="72">
        <v>35</v>
      </c>
      <c r="B633" s="16">
        <v>13.5</v>
      </c>
      <c r="C633" s="72">
        <v>1600</v>
      </c>
      <c r="D633" s="15">
        <v>50.33</v>
      </c>
      <c r="E633" s="15">
        <v>180.39</v>
      </c>
    </row>
    <row r="634" spans="1:5" x14ac:dyDescent="0.2">
      <c r="A634" s="72">
        <v>35</v>
      </c>
      <c r="B634" s="16">
        <v>14</v>
      </c>
      <c r="C634" s="72">
        <v>50</v>
      </c>
      <c r="D634" s="15">
        <v>202.22</v>
      </c>
      <c r="E634" s="15">
        <v>180.89</v>
      </c>
    </row>
    <row r="635" spans="1:5" x14ac:dyDescent="0.2">
      <c r="A635" s="72">
        <v>35</v>
      </c>
      <c r="B635" s="16">
        <v>14</v>
      </c>
      <c r="C635" s="72">
        <v>100</v>
      </c>
      <c r="D635" s="15">
        <v>181.06</v>
      </c>
      <c r="E635" s="15">
        <v>181.01</v>
      </c>
    </row>
    <row r="636" spans="1:5" x14ac:dyDescent="0.2">
      <c r="A636" s="72">
        <v>35</v>
      </c>
      <c r="B636" s="16">
        <v>14</v>
      </c>
      <c r="C636" s="72">
        <v>300</v>
      </c>
      <c r="D636" s="15">
        <v>96.44</v>
      </c>
      <c r="E636" s="15">
        <v>181.48</v>
      </c>
    </row>
    <row r="637" spans="1:5" x14ac:dyDescent="0.2">
      <c r="A637" s="72">
        <v>35</v>
      </c>
      <c r="B637" s="16">
        <v>14</v>
      </c>
      <c r="C637" s="72">
        <v>500</v>
      </c>
      <c r="D637" s="15">
        <v>72.459999999999994</v>
      </c>
      <c r="E637" s="15">
        <v>181.65</v>
      </c>
    </row>
    <row r="638" spans="1:5" x14ac:dyDescent="0.2">
      <c r="A638" s="72">
        <v>35</v>
      </c>
      <c r="B638" s="16">
        <v>14</v>
      </c>
      <c r="C638" s="72">
        <v>700</v>
      </c>
      <c r="D638" s="15">
        <v>65.930000000000007</v>
      </c>
      <c r="E638" s="15">
        <v>181.73</v>
      </c>
    </row>
    <row r="639" spans="1:5" x14ac:dyDescent="0.2">
      <c r="A639" s="72">
        <v>35</v>
      </c>
      <c r="B639" s="16">
        <v>14</v>
      </c>
      <c r="C639" s="72">
        <v>1000</v>
      </c>
      <c r="D639" s="15">
        <v>56.14</v>
      </c>
      <c r="E639" s="15">
        <v>181.84</v>
      </c>
    </row>
    <row r="640" spans="1:5" x14ac:dyDescent="0.2">
      <c r="A640" s="72">
        <v>35</v>
      </c>
      <c r="B640" s="16">
        <v>14</v>
      </c>
      <c r="C640" s="72">
        <v>1300</v>
      </c>
      <c r="D640" s="15">
        <v>46.34</v>
      </c>
      <c r="E640" s="15">
        <v>181.95</v>
      </c>
    </row>
    <row r="641" spans="1:5" x14ac:dyDescent="0.2">
      <c r="A641" s="72">
        <v>35</v>
      </c>
      <c r="B641" s="16">
        <v>14</v>
      </c>
      <c r="C641" s="72">
        <v>1600</v>
      </c>
      <c r="D641" s="15">
        <v>36.549999999999997</v>
      </c>
      <c r="E641" s="15">
        <v>182.07</v>
      </c>
    </row>
    <row r="642" spans="1:5" x14ac:dyDescent="0.2">
      <c r="A642" s="72">
        <v>35</v>
      </c>
      <c r="B642" s="16">
        <v>14.5</v>
      </c>
      <c r="C642" s="72">
        <v>50</v>
      </c>
      <c r="D642" s="15">
        <v>189.59</v>
      </c>
      <c r="E642" s="15">
        <v>181.06</v>
      </c>
    </row>
    <row r="643" spans="1:5" x14ac:dyDescent="0.2">
      <c r="A643" s="72">
        <v>35</v>
      </c>
      <c r="B643" s="16">
        <v>14.5</v>
      </c>
      <c r="C643" s="72">
        <v>100</v>
      </c>
      <c r="D643" s="15">
        <v>169.3</v>
      </c>
      <c r="E643" s="15">
        <v>181.27</v>
      </c>
    </row>
    <row r="644" spans="1:5" x14ac:dyDescent="0.2">
      <c r="A644" s="72">
        <v>35</v>
      </c>
      <c r="B644" s="16">
        <v>14.5</v>
      </c>
      <c r="C644" s="72">
        <v>300</v>
      </c>
      <c r="D644" s="15">
        <v>88.13</v>
      </c>
      <c r="E644" s="15">
        <v>182.11</v>
      </c>
    </row>
    <row r="645" spans="1:5" x14ac:dyDescent="0.2">
      <c r="A645" s="72">
        <v>35</v>
      </c>
      <c r="B645" s="16">
        <v>14.5</v>
      </c>
      <c r="C645" s="72">
        <v>500</v>
      </c>
      <c r="D645" s="15">
        <v>65.599999999999994</v>
      </c>
      <c r="E645" s="15">
        <v>182.42</v>
      </c>
    </row>
    <row r="646" spans="1:5" x14ac:dyDescent="0.2">
      <c r="A646" s="72">
        <v>35</v>
      </c>
      <c r="B646" s="16">
        <v>14.5</v>
      </c>
      <c r="C646" s="72">
        <v>700</v>
      </c>
      <c r="D646" s="15">
        <v>59.55</v>
      </c>
      <c r="E646" s="15">
        <v>182.53</v>
      </c>
    </row>
    <row r="647" spans="1:5" x14ac:dyDescent="0.2">
      <c r="A647" s="72">
        <v>35</v>
      </c>
      <c r="B647" s="16">
        <v>14.5</v>
      </c>
      <c r="C647" s="72">
        <v>1000</v>
      </c>
      <c r="D647" s="15">
        <v>50.49</v>
      </c>
      <c r="E647" s="15">
        <v>182.7</v>
      </c>
    </row>
    <row r="648" spans="1:5" x14ac:dyDescent="0.2">
      <c r="A648" s="72">
        <v>35</v>
      </c>
      <c r="B648" s="16">
        <v>14.5</v>
      </c>
      <c r="C648" s="72">
        <v>1300</v>
      </c>
      <c r="D648" s="15">
        <v>41.42</v>
      </c>
      <c r="E648" s="15">
        <v>182.87</v>
      </c>
    </row>
    <row r="649" spans="1:5" x14ac:dyDescent="0.2">
      <c r="A649" s="72">
        <v>35</v>
      </c>
      <c r="B649" s="16">
        <v>14.5</v>
      </c>
      <c r="C649" s="72">
        <v>1600</v>
      </c>
      <c r="D649" s="15">
        <v>32.35</v>
      </c>
      <c r="E649" s="15">
        <v>183.04</v>
      </c>
    </row>
    <row r="650" spans="1:5" x14ac:dyDescent="0.2">
      <c r="A650" s="72">
        <v>35</v>
      </c>
      <c r="B650" s="16">
        <v>15</v>
      </c>
      <c r="C650" s="72">
        <v>50</v>
      </c>
      <c r="D650" s="15">
        <v>180.41</v>
      </c>
      <c r="E650" s="15">
        <v>181.15</v>
      </c>
    </row>
    <row r="651" spans="1:5" x14ac:dyDescent="0.2">
      <c r="A651" s="72">
        <v>35</v>
      </c>
      <c r="B651" s="16">
        <v>15</v>
      </c>
      <c r="C651" s="72">
        <v>100</v>
      </c>
      <c r="D651" s="15">
        <v>160.97</v>
      </c>
      <c r="E651" s="15">
        <v>181.41</v>
      </c>
    </row>
    <row r="652" spans="1:5" x14ac:dyDescent="0.2">
      <c r="A652" s="72">
        <v>35</v>
      </c>
      <c r="B652" s="16">
        <v>15</v>
      </c>
      <c r="C652" s="72">
        <v>300</v>
      </c>
      <c r="D652" s="15">
        <v>83.23</v>
      </c>
      <c r="E652" s="15">
        <v>182.44</v>
      </c>
    </row>
    <row r="653" spans="1:5" x14ac:dyDescent="0.2">
      <c r="A653" s="72">
        <v>35</v>
      </c>
      <c r="B653" s="16">
        <v>15</v>
      </c>
      <c r="C653" s="72">
        <v>500</v>
      </c>
      <c r="D653" s="15">
        <v>61.88</v>
      </c>
      <c r="E653" s="15">
        <v>182.81</v>
      </c>
    </row>
    <row r="654" spans="1:5" x14ac:dyDescent="0.2">
      <c r="A654" s="72">
        <v>35</v>
      </c>
      <c r="B654" s="16">
        <v>15</v>
      </c>
      <c r="C654" s="72">
        <v>700</v>
      </c>
      <c r="D654" s="15">
        <v>56.17</v>
      </c>
      <c r="E654" s="15">
        <v>182.94</v>
      </c>
    </row>
    <row r="655" spans="1:5" x14ac:dyDescent="0.2">
      <c r="A655" s="72">
        <v>35</v>
      </c>
      <c r="B655" s="16">
        <v>15</v>
      </c>
      <c r="C655" s="72">
        <v>1000</v>
      </c>
      <c r="D655" s="15">
        <v>47.61</v>
      </c>
      <c r="E655" s="15">
        <v>183.14</v>
      </c>
    </row>
    <row r="656" spans="1:5" x14ac:dyDescent="0.2">
      <c r="A656" s="72">
        <v>35</v>
      </c>
      <c r="B656" s="16">
        <v>15</v>
      </c>
      <c r="C656" s="72">
        <v>1300</v>
      </c>
      <c r="D656" s="15">
        <v>39.049999999999997</v>
      </c>
      <c r="E656" s="15">
        <v>183.34</v>
      </c>
    </row>
    <row r="657" spans="1:5" x14ac:dyDescent="0.2">
      <c r="A657" s="72">
        <v>35</v>
      </c>
      <c r="B657" s="16">
        <v>15</v>
      </c>
      <c r="C657" s="72">
        <v>1600</v>
      </c>
      <c r="D657" s="15">
        <v>30.49</v>
      </c>
      <c r="E657" s="15">
        <v>183.54</v>
      </c>
    </row>
    <row r="658" spans="1:5" x14ac:dyDescent="0.2">
      <c r="A658" s="72">
        <v>35</v>
      </c>
      <c r="B658" s="16">
        <v>15.5</v>
      </c>
      <c r="C658" s="72">
        <v>50</v>
      </c>
      <c r="D658" s="15">
        <v>174.49</v>
      </c>
      <c r="E658" s="15">
        <v>181.17</v>
      </c>
    </row>
    <row r="659" spans="1:5" x14ac:dyDescent="0.2">
      <c r="A659" s="72">
        <v>35</v>
      </c>
      <c r="B659" s="16">
        <v>15.5</v>
      </c>
      <c r="C659" s="72">
        <v>100</v>
      </c>
      <c r="D659" s="15">
        <v>155.86000000000001</v>
      </c>
      <c r="E659" s="15">
        <v>181.43</v>
      </c>
    </row>
    <row r="660" spans="1:5" x14ac:dyDescent="0.2">
      <c r="A660" s="72">
        <v>35</v>
      </c>
      <c r="B660" s="16">
        <v>15.5</v>
      </c>
      <c r="C660" s="72">
        <v>300</v>
      </c>
      <c r="D660" s="15">
        <v>81.33</v>
      </c>
      <c r="E660" s="15">
        <v>182.46</v>
      </c>
    </row>
    <row r="661" spans="1:5" x14ac:dyDescent="0.2">
      <c r="A661" s="72">
        <v>35</v>
      </c>
      <c r="B661" s="16">
        <v>15.5</v>
      </c>
      <c r="C661" s="72">
        <v>500</v>
      </c>
      <c r="D661" s="15">
        <v>60.86</v>
      </c>
      <c r="E661" s="15">
        <v>182.85</v>
      </c>
    </row>
    <row r="662" spans="1:5" x14ac:dyDescent="0.2">
      <c r="A662" s="72">
        <v>35</v>
      </c>
      <c r="B662" s="16">
        <v>15.5</v>
      </c>
      <c r="C662" s="72">
        <v>700</v>
      </c>
      <c r="D662" s="15">
        <v>55.36</v>
      </c>
      <c r="E662" s="15">
        <v>182.99</v>
      </c>
    </row>
    <row r="663" spans="1:5" x14ac:dyDescent="0.2">
      <c r="A663" s="72">
        <v>35</v>
      </c>
      <c r="B663" s="16">
        <v>15.5</v>
      </c>
      <c r="C663" s="72">
        <v>1000</v>
      </c>
      <c r="D663" s="15">
        <v>47.12</v>
      </c>
      <c r="E663" s="15">
        <v>183.2</v>
      </c>
    </row>
    <row r="664" spans="1:5" x14ac:dyDescent="0.2">
      <c r="A664" s="72">
        <v>35</v>
      </c>
      <c r="B664" s="16">
        <v>15.5</v>
      </c>
      <c r="C664" s="72">
        <v>1300</v>
      </c>
      <c r="D664" s="15">
        <v>38.869999999999997</v>
      </c>
      <c r="E664" s="15">
        <v>183.4</v>
      </c>
    </row>
    <row r="665" spans="1:5" x14ac:dyDescent="0.2">
      <c r="A665" s="72">
        <v>35</v>
      </c>
      <c r="B665" s="16">
        <v>15.5</v>
      </c>
      <c r="C665" s="72">
        <v>1600</v>
      </c>
      <c r="D665" s="15">
        <v>30.62</v>
      </c>
      <c r="E665" s="15">
        <v>183.61</v>
      </c>
    </row>
    <row r="666" spans="1:5" x14ac:dyDescent="0.2">
      <c r="A666" s="72">
        <v>35</v>
      </c>
      <c r="B666" s="16">
        <v>16</v>
      </c>
      <c r="C666" s="72">
        <v>50</v>
      </c>
      <c r="D666" s="15">
        <v>168.58</v>
      </c>
      <c r="E666" s="15">
        <v>181.18</v>
      </c>
    </row>
    <row r="667" spans="1:5" x14ac:dyDescent="0.2">
      <c r="A667" s="72">
        <v>35</v>
      </c>
      <c r="B667" s="16">
        <v>16</v>
      </c>
      <c r="C667" s="72">
        <v>100</v>
      </c>
      <c r="D667" s="15">
        <v>150.75</v>
      </c>
      <c r="E667" s="15">
        <v>181.44</v>
      </c>
    </row>
    <row r="668" spans="1:5" x14ac:dyDescent="0.2">
      <c r="A668" s="72">
        <v>35</v>
      </c>
      <c r="B668" s="16">
        <v>16</v>
      </c>
      <c r="C668" s="72">
        <v>300</v>
      </c>
      <c r="D668" s="15">
        <v>79.42</v>
      </c>
      <c r="E668" s="15">
        <v>182.49</v>
      </c>
    </row>
    <row r="669" spans="1:5" x14ac:dyDescent="0.2">
      <c r="A669" s="72">
        <v>35</v>
      </c>
      <c r="B669" s="16">
        <v>16</v>
      </c>
      <c r="C669" s="72">
        <v>500</v>
      </c>
      <c r="D669" s="15">
        <v>59.83</v>
      </c>
      <c r="E669" s="15">
        <v>182.89</v>
      </c>
    </row>
    <row r="670" spans="1:5" x14ac:dyDescent="0.2">
      <c r="A670" s="72">
        <v>35</v>
      </c>
      <c r="B670" s="16">
        <v>16</v>
      </c>
      <c r="C670" s="72">
        <v>700</v>
      </c>
      <c r="D670" s="15">
        <v>54.54</v>
      </c>
      <c r="E670" s="15">
        <v>183.03</v>
      </c>
    </row>
    <row r="671" spans="1:5" x14ac:dyDescent="0.2">
      <c r="A671" s="72">
        <v>35</v>
      </c>
      <c r="B671" s="16">
        <v>16</v>
      </c>
      <c r="C671" s="72">
        <v>1000</v>
      </c>
      <c r="D671" s="15">
        <v>46.61</v>
      </c>
      <c r="E671" s="15">
        <v>183.25</v>
      </c>
    </row>
    <row r="672" spans="1:5" x14ac:dyDescent="0.2">
      <c r="A672" s="72">
        <v>35</v>
      </c>
      <c r="B672" s="16">
        <v>16</v>
      </c>
      <c r="C672" s="72">
        <v>1300</v>
      </c>
      <c r="D672" s="15">
        <v>38.68</v>
      </c>
      <c r="E672" s="15">
        <v>183.47</v>
      </c>
    </row>
    <row r="673" spans="1:5" x14ac:dyDescent="0.2">
      <c r="A673" s="72">
        <v>35</v>
      </c>
      <c r="B673" s="16">
        <v>16</v>
      </c>
      <c r="C673" s="72">
        <v>1600</v>
      </c>
      <c r="D673" s="15">
        <v>30.75</v>
      </c>
      <c r="E673" s="15">
        <v>183.68</v>
      </c>
    </row>
    <row r="674" spans="1:5" x14ac:dyDescent="0.2">
      <c r="A674" s="72">
        <v>65</v>
      </c>
      <c r="B674" s="16">
        <v>6</v>
      </c>
      <c r="C674" s="72">
        <v>50</v>
      </c>
      <c r="D674" s="15">
        <v>444.63</v>
      </c>
      <c r="E674" s="15">
        <v>198.07</v>
      </c>
    </row>
    <row r="675" spans="1:5" x14ac:dyDescent="0.2">
      <c r="A675" s="72">
        <v>65</v>
      </c>
      <c r="B675" s="16">
        <v>6</v>
      </c>
      <c r="C675" s="72">
        <v>100</v>
      </c>
      <c r="D675" s="15">
        <v>424.33</v>
      </c>
      <c r="E675" s="15">
        <v>198.06</v>
      </c>
    </row>
    <row r="676" spans="1:5" x14ac:dyDescent="0.2">
      <c r="A676" s="72">
        <v>65</v>
      </c>
      <c r="B676" s="16">
        <v>6</v>
      </c>
      <c r="C676" s="72">
        <v>300</v>
      </c>
      <c r="D676" s="15">
        <v>343.15</v>
      </c>
      <c r="E676" s="15">
        <v>198.01</v>
      </c>
    </row>
    <row r="677" spans="1:5" x14ac:dyDescent="0.2">
      <c r="A677" s="72">
        <v>65</v>
      </c>
      <c r="B677" s="16">
        <v>6</v>
      </c>
      <c r="C677" s="72">
        <v>500</v>
      </c>
      <c r="D677" s="15">
        <v>310.89999999999998</v>
      </c>
      <c r="E677" s="15">
        <v>198.02</v>
      </c>
    </row>
    <row r="678" spans="1:5" x14ac:dyDescent="0.2">
      <c r="A678" s="72">
        <v>65</v>
      </c>
      <c r="B678" s="16">
        <v>6</v>
      </c>
      <c r="C678" s="72">
        <v>700</v>
      </c>
      <c r="D678" s="15">
        <v>299.01</v>
      </c>
      <c r="E678" s="15">
        <v>198.02</v>
      </c>
    </row>
    <row r="679" spans="1:5" x14ac:dyDescent="0.2">
      <c r="A679" s="72">
        <v>65</v>
      </c>
      <c r="B679" s="16">
        <v>6</v>
      </c>
      <c r="C679" s="72">
        <v>1000</v>
      </c>
      <c r="D679" s="15">
        <v>281.17</v>
      </c>
      <c r="E679" s="15">
        <v>198.03</v>
      </c>
    </row>
    <row r="680" spans="1:5" x14ac:dyDescent="0.2">
      <c r="A680" s="72">
        <v>65</v>
      </c>
      <c r="B680" s="16">
        <v>6</v>
      </c>
      <c r="C680" s="72">
        <v>1300</v>
      </c>
      <c r="D680" s="15">
        <v>263.33</v>
      </c>
      <c r="E680" s="15">
        <v>198.03</v>
      </c>
    </row>
    <row r="681" spans="1:5" x14ac:dyDescent="0.2">
      <c r="A681" s="72">
        <v>65</v>
      </c>
      <c r="B681" s="16">
        <v>6</v>
      </c>
      <c r="C681" s="72">
        <v>1600</v>
      </c>
      <c r="D681" s="15">
        <v>245.49</v>
      </c>
      <c r="E681" s="15">
        <v>198.03</v>
      </c>
    </row>
    <row r="682" spans="1:5" x14ac:dyDescent="0.2">
      <c r="A682" s="72">
        <v>65</v>
      </c>
      <c r="B682" s="16">
        <v>6.5</v>
      </c>
      <c r="C682" s="72">
        <v>50</v>
      </c>
      <c r="D682" s="15">
        <v>420.54</v>
      </c>
      <c r="E682" s="15">
        <v>198.04</v>
      </c>
    </row>
    <row r="683" spans="1:5" x14ac:dyDescent="0.2">
      <c r="A683" s="72">
        <v>65</v>
      </c>
      <c r="B683" s="16">
        <v>6.5</v>
      </c>
      <c r="C683" s="72">
        <v>100</v>
      </c>
      <c r="D683" s="15">
        <v>400.19</v>
      </c>
      <c r="E683" s="15">
        <v>198.02</v>
      </c>
    </row>
    <row r="684" spans="1:5" x14ac:dyDescent="0.2">
      <c r="A684" s="72">
        <v>65</v>
      </c>
      <c r="B684" s="16">
        <v>6.5</v>
      </c>
      <c r="C684" s="72">
        <v>300</v>
      </c>
      <c r="D684" s="15">
        <v>318.77999999999997</v>
      </c>
      <c r="E684" s="15">
        <v>197.95</v>
      </c>
    </row>
    <row r="685" spans="1:5" x14ac:dyDescent="0.2">
      <c r="A685" s="72">
        <v>65</v>
      </c>
      <c r="B685" s="16">
        <v>6.5</v>
      </c>
      <c r="C685" s="72">
        <v>500</v>
      </c>
      <c r="D685" s="15">
        <v>286.89</v>
      </c>
      <c r="E685" s="15">
        <v>197.94</v>
      </c>
    </row>
    <row r="686" spans="1:5" x14ac:dyDescent="0.2">
      <c r="A686" s="72">
        <v>65</v>
      </c>
      <c r="B686" s="16">
        <v>6.5</v>
      </c>
      <c r="C686" s="72">
        <v>700</v>
      </c>
      <c r="D686" s="15">
        <v>275.29000000000002</v>
      </c>
      <c r="E686" s="15">
        <v>197.94</v>
      </c>
    </row>
    <row r="687" spans="1:5" x14ac:dyDescent="0.2">
      <c r="A687" s="72">
        <v>65</v>
      </c>
      <c r="B687" s="16">
        <v>6.5</v>
      </c>
      <c r="C687" s="72">
        <v>1000</v>
      </c>
      <c r="D687" s="15">
        <v>257.89</v>
      </c>
      <c r="E687" s="15">
        <v>197.94</v>
      </c>
    </row>
    <row r="688" spans="1:5" x14ac:dyDescent="0.2">
      <c r="A688" s="72">
        <v>65</v>
      </c>
      <c r="B688" s="16">
        <v>6.5</v>
      </c>
      <c r="C688" s="72">
        <v>1300</v>
      </c>
      <c r="D688" s="15">
        <v>240.48</v>
      </c>
      <c r="E688" s="15">
        <v>197.94</v>
      </c>
    </row>
    <row r="689" spans="1:5" x14ac:dyDescent="0.2">
      <c r="A689" s="72">
        <v>65</v>
      </c>
      <c r="B689" s="16">
        <v>6.5</v>
      </c>
      <c r="C689" s="72">
        <v>1600</v>
      </c>
      <c r="D689" s="15">
        <v>223.08</v>
      </c>
      <c r="E689" s="15">
        <v>197.94</v>
      </c>
    </row>
    <row r="690" spans="1:5" x14ac:dyDescent="0.2">
      <c r="A690" s="72">
        <v>65</v>
      </c>
      <c r="B690" s="16">
        <v>7</v>
      </c>
      <c r="C690" s="72">
        <v>50</v>
      </c>
      <c r="D690" s="15">
        <v>396.46</v>
      </c>
      <c r="E690" s="15">
        <v>198.01</v>
      </c>
    </row>
    <row r="691" spans="1:5" x14ac:dyDescent="0.2">
      <c r="A691" s="72">
        <v>65</v>
      </c>
      <c r="B691" s="16">
        <v>7</v>
      </c>
      <c r="C691" s="72">
        <v>100</v>
      </c>
      <c r="D691" s="15">
        <v>376.05</v>
      </c>
      <c r="E691" s="15">
        <v>197.98</v>
      </c>
    </row>
    <row r="692" spans="1:5" x14ac:dyDescent="0.2">
      <c r="A692" s="72">
        <v>65</v>
      </c>
      <c r="B692" s="16">
        <v>7</v>
      </c>
      <c r="C692" s="72">
        <v>300</v>
      </c>
      <c r="D692" s="15">
        <v>294.39999999999998</v>
      </c>
      <c r="E692" s="15">
        <v>197.88</v>
      </c>
    </row>
    <row r="693" spans="1:5" x14ac:dyDescent="0.2">
      <c r="A693" s="72">
        <v>65</v>
      </c>
      <c r="B693" s="16">
        <v>7</v>
      </c>
      <c r="C693" s="72">
        <v>500</v>
      </c>
      <c r="D693" s="15">
        <v>262.89</v>
      </c>
      <c r="E693" s="15">
        <v>197.86</v>
      </c>
    </row>
    <row r="694" spans="1:5" x14ac:dyDescent="0.2">
      <c r="A694" s="72">
        <v>65</v>
      </c>
      <c r="B694" s="16">
        <v>7</v>
      </c>
      <c r="C694" s="72">
        <v>700</v>
      </c>
      <c r="D694" s="15">
        <v>251.58</v>
      </c>
      <c r="E694" s="15">
        <v>197.86</v>
      </c>
    </row>
    <row r="695" spans="1:5" x14ac:dyDescent="0.2">
      <c r="A695" s="72">
        <v>65</v>
      </c>
      <c r="B695" s="16">
        <v>7</v>
      </c>
      <c r="C695" s="72">
        <v>1000</v>
      </c>
      <c r="D695" s="15">
        <v>234.61</v>
      </c>
      <c r="E695" s="15">
        <v>197.86</v>
      </c>
    </row>
    <row r="696" spans="1:5" x14ac:dyDescent="0.2">
      <c r="A696" s="72">
        <v>65</v>
      </c>
      <c r="B696" s="16">
        <v>7</v>
      </c>
      <c r="C696" s="72">
        <v>1300</v>
      </c>
      <c r="D696" s="15">
        <v>217.64</v>
      </c>
      <c r="E696" s="15">
        <v>197.86</v>
      </c>
    </row>
    <row r="697" spans="1:5" x14ac:dyDescent="0.2">
      <c r="A697" s="72">
        <v>65</v>
      </c>
      <c r="B697" s="16">
        <v>7</v>
      </c>
      <c r="C697" s="72">
        <v>1600</v>
      </c>
      <c r="D697" s="15">
        <v>200.67</v>
      </c>
      <c r="E697" s="15">
        <v>197.86</v>
      </c>
    </row>
    <row r="698" spans="1:5" x14ac:dyDescent="0.2">
      <c r="A698" s="72">
        <v>65</v>
      </c>
      <c r="B698" s="16">
        <v>7.5</v>
      </c>
      <c r="C698" s="72">
        <v>50</v>
      </c>
      <c r="D698" s="15">
        <v>372.37</v>
      </c>
      <c r="E698" s="15">
        <v>197.97</v>
      </c>
    </row>
    <row r="699" spans="1:5" x14ac:dyDescent="0.2">
      <c r="A699" s="72">
        <v>65</v>
      </c>
      <c r="B699" s="16">
        <v>7.5</v>
      </c>
      <c r="C699" s="72">
        <v>100</v>
      </c>
      <c r="D699" s="15">
        <v>351.9</v>
      </c>
      <c r="E699" s="15">
        <v>197.94</v>
      </c>
    </row>
    <row r="700" spans="1:5" x14ac:dyDescent="0.2">
      <c r="A700" s="72">
        <v>65</v>
      </c>
      <c r="B700" s="16">
        <v>7.5</v>
      </c>
      <c r="C700" s="72">
        <v>300</v>
      </c>
      <c r="D700" s="15">
        <v>270.02999999999997</v>
      </c>
      <c r="E700" s="15">
        <v>197.82</v>
      </c>
    </row>
    <row r="701" spans="1:5" x14ac:dyDescent="0.2">
      <c r="A701" s="72">
        <v>65</v>
      </c>
      <c r="B701" s="16">
        <v>7.5</v>
      </c>
      <c r="C701" s="72">
        <v>500</v>
      </c>
      <c r="D701" s="15">
        <v>238.88</v>
      </c>
      <c r="E701" s="15">
        <v>197.79</v>
      </c>
    </row>
    <row r="702" spans="1:5" x14ac:dyDescent="0.2">
      <c r="A702" s="72">
        <v>65</v>
      </c>
      <c r="B702" s="16">
        <v>7.5</v>
      </c>
      <c r="C702" s="72">
        <v>700</v>
      </c>
      <c r="D702" s="15">
        <v>227.86</v>
      </c>
      <c r="E702" s="15">
        <v>197.79</v>
      </c>
    </row>
    <row r="703" spans="1:5" x14ac:dyDescent="0.2">
      <c r="A703" s="72">
        <v>65</v>
      </c>
      <c r="B703" s="16">
        <v>7.5</v>
      </c>
      <c r="C703" s="72">
        <v>1000</v>
      </c>
      <c r="D703" s="15">
        <v>211.33</v>
      </c>
      <c r="E703" s="15">
        <v>197.78</v>
      </c>
    </row>
    <row r="704" spans="1:5" x14ac:dyDescent="0.2">
      <c r="A704" s="72">
        <v>65</v>
      </c>
      <c r="B704" s="16">
        <v>7.5</v>
      </c>
      <c r="C704" s="72">
        <v>1300</v>
      </c>
      <c r="D704" s="15">
        <v>194.79</v>
      </c>
      <c r="E704" s="15">
        <v>197.77</v>
      </c>
    </row>
    <row r="705" spans="1:5" x14ac:dyDescent="0.2">
      <c r="A705" s="72">
        <v>65</v>
      </c>
      <c r="B705" s="16">
        <v>7.5</v>
      </c>
      <c r="C705" s="72">
        <v>1600</v>
      </c>
      <c r="D705" s="15">
        <v>178.26</v>
      </c>
      <c r="E705" s="15">
        <v>197.77</v>
      </c>
    </row>
    <row r="706" spans="1:5" x14ac:dyDescent="0.2">
      <c r="A706" s="72">
        <v>65</v>
      </c>
      <c r="B706" s="16">
        <v>8</v>
      </c>
      <c r="C706" s="72">
        <v>50</v>
      </c>
      <c r="D706" s="15">
        <v>344.83</v>
      </c>
      <c r="E706" s="15">
        <v>197.99</v>
      </c>
    </row>
    <row r="707" spans="1:5" x14ac:dyDescent="0.2">
      <c r="A707" s="72">
        <v>65</v>
      </c>
      <c r="B707" s="16">
        <v>8</v>
      </c>
      <c r="C707" s="72">
        <v>100</v>
      </c>
      <c r="D707" s="15">
        <v>324.39999999999998</v>
      </c>
      <c r="E707" s="15">
        <v>197.97</v>
      </c>
    </row>
    <row r="708" spans="1:5" x14ac:dyDescent="0.2">
      <c r="A708" s="72">
        <v>65</v>
      </c>
      <c r="B708" s="16">
        <v>8</v>
      </c>
      <c r="C708" s="72">
        <v>300</v>
      </c>
      <c r="D708" s="15">
        <v>242.67</v>
      </c>
      <c r="E708" s="15">
        <v>197.89</v>
      </c>
    </row>
    <row r="709" spans="1:5" x14ac:dyDescent="0.2">
      <c r="A709" s="72">
        <v>65</v>
      </c>
      <c r="B709" s="16">
        <v>8</v>
      </c>
      <c r="C709" s="72">
        <v>500</v>
      </c>
      <c r="D709" s="15">
        <v>212.08</v>
      </c>
      <c r="E709" s="15">
        <v>197.87</v>
      </c>
    </row>
    <row r="710" spans="1:5" x14ac:dyDescent="0.2">
      <c r="A710" s="72">
        <v>65</v>
      </c>
      <c r="B710" s="16">
        <v>8</v>
      </c>
      <c r="C710" s="72">
        <v>700</v>
      </c>
      <c r="D710" s="15">
        <v>201.43</v>
      </c>
      <c r="E710" s="15">
        <v>197.87</v>
      </c>
    </row>
    <row r="711" spans="1:5" x14ac:dyDescent="0.2">
      <c r="A711" s="72">
        <v>65</v>
      </c>
      <c r="B711" s="16">
        <v>8</v>
      </c>
      <c r="C711" s="72">
        <v>1000</v>
      </c>
      <c r="D711" s="15">
        <v>185.45</v>
      </c>
      <c r="E711" s="15">
        <v>197.88</v>
      </c>
    </row>
    <row r="712" spans="1:5" x14ac:dyDescent="0.2">
      <c r="A712" s="72">
        <v>65</v>
      </c>
      <c r="B712" s="16">
        <v>8</v>
      </c>
      <c r="C712" s="72">
        <v>1300</v>
      </c>
      <c r="D712" s="15">
        <v>169.46</v>
      </c>
      <c r="E712" s="15">
        <v>197.89</v>
      </c>
    </row>
    <row r="713" spans="1:5" x14ac:dyDescent="0.2">
      <c r="A713" s="72">
        <v>65</v>
      </c>
      <c r="B713" s="16">
        <v>8</v>
      </c>
      <c r="C713" s="72">
        <v>1600</v>
      </c>
      <c r="D713" s="15">
        <v>153.47999999999999</v>
      </c>
      <c r="E713" s="15">
        <v>197.89</v>
      </c>
    </row>
    <row r="714" spans="1:5" x14ac:dyDescent="0.2">
      <c r="A714" s="72">
        <v>65</v>
      </c>
      <c r="B714" s="16">
        <v>8.5</v>
      </c>
      <c r="C714" s="72">
        <v>50</v>
      </c>
      <c r="D714" s="15">
        <v>330.18</v>
      </c>
      <c r="E714" s="15">
        <v>197.97</v>
      </c>
    </row>
    <row r="715" spans="1:5" x14ac:dyDescent="0.2">
      <c r="A715" s="72">
        <v>65</v>
      </c>
      <c r="B715" s="16">
        <v>8.5</v>
      </c>
      <c r="C715" s="72">
        <v>100</v>
      </c>
      <c r="D715" s="15">
        <v>309.68</v>
      </c>
      <c r="E715" s="15">
        <v>197.94</v>
      </c>
    </row>
    <row r="716" spans="1:5" x14ac:dyDescent="0.2">
      <c r="A716" s="72">
        <v>65</v>
      </c>
      <c r="B716" s="16">
        <v>8.5</v>
      </c>
      <c r="C716" s="72">
        <v>300</v>
      </c>
      <c r="D716" s="15">
        <v>227.69</v>
      </c>
      <c r="E716" s="15">
        <v>197.82</v>
      </c>
    </row>
    <row r="717" spans="1:5" x14ac:dyDescent="0.2">
      <c r="A717" s="72">
        <v>65</v>
      </c>
      <c r="B717" s="16">
        <v>8.5</v>
      </c>
      <c r="C717" s="72">
        <v>500</v>
      </c>
      <c r="D717" s="15">
        <v>197.5</v>
      </c>
      <c r="E717" s="15">
        <v>197.8</v>
      </c>
    </row>
    <row r="718" spans="1:5" x14ac:dyDescent="0.2">
      <c r="A718" s="72">
        <v>65</v>
      </c>
      <c r="B718" s="16">
        <v>8.5</v>
      </c>
      <c r="C718" s="72">
        <v>700</v>
      </c>
      <c r="D718" s="15">
        <v>187.14</v>
      </c>
      <c r="E718" s="15">
        <v>197.8</v>
      </c>
    </row>
    <row r="719" spans="1:5" x14ac:dyDescent="0.2">
      <c r="A719" s="72">
        <v>65</v>
      </c>
      <c r="B719" s="16">
        <v>8.5</v>
      </c>
      <c r="C719" s="72">
        <v>1000</v>
      </c>
      <c r="D719" s="15">
        <v>171.59</v>
      </c>
      <c r="E719" s="15">
        <v>197.8</v>
      </c>
    </row>
    <row r="720" spans="1:5" x14ac:dyDescent="0.2">
      <c r="A720" s="72">
        <v>65</v>
      </c>
      <c r="B720" s="16">
        <v>8.5</v>
      </c>
      <c r="C720" s="72">
        <v>1300</v>
      </c>
      <c r="D720" s="15">
        <v>156.04</v>
      </c>
      <c r="E720" s="15">
        <v>197.79</v>
      </c>
    </row>
    <row r="721" spans="1:5" x14ac:dyDescent="0.2">
      <c r="A721" s="72">
        <v>65</v>
      </c>
      <c r="B721" s="16">
        <v>8.5</v>
      </c>
      <c r="C721" s="72">
        <v>1600</v>
      </c>
      <c r="D721" s="15">
        <v>140.5</v>
      </c>
      <c r="E721" s="15">
        <v>197.79</v>
      </c>
    </row>
    <row r="722" spans="1:5" x14ac:dyDescent="0.2">
      <c r="A722" s="72">
        <v>65</v>
      </c>
      <c r="B722" s="16">
        <v>9</v>
      </c>
      <c r="C722" s="72">
        <v>50</v>
      </c>
      <c r="D722" s="15">
        <v>315.54000000000002</v>
      </c>
      <c r="E722" s="15">
        <v>197.95</v>
      </c>
    </row>
    <row r="723" spans="1:5" x14ac:dyDescent="0.2">
      <c r="A723" s="72">
        <v>65</v>
      </c>
      <c r="B723" s="16">
        <v>9</v>
      </c>
      <c r="C723" s="72">
        <v>100</v>
      </c>
      <c r="D723" s="15">
        <v>294.97000000000003</v>
      </c>
      <c r="E723" s="15">
        <v>197.91</v>
      </c>
    </row>
    <row r="724" spans="1:5" x14ac:dyDescent="0.2">
      <c r="A724" s="72">
        <v>65</v>
      </c>
      <c r="B724" s="16">
        <v>9</v>
      </c>
      <c r="C724" s="72">
        <v>300</v>
      </c>
      <c r="D724" s="15">
        <v>212.71</v>
      </c>
      <c r="E724" s="15">
        <v>197.76</v>
      </c>
    </row>
    <row r="725" spans="1:5" x14ac:dyDescent="0.2">
      <c r="A725" s="72">
        <v>65</v>
      </c>
      <c r="B725" s="16">
        <v>9</v>
      </c>
      <c r="C725" s="72">
        <v>500</v>
      </c>
      <c r="D725" s="15">
        <v>182.92</v>
      </c>
      <c r="E725" s="15">
        <v>197.72</v>
      </c>
    </row>
    <row r="726" spans="1:5" x14ac:dyDescent="0.2">
      <c r="A726" s="72">
        <v>65</v>
      </c>
      <c r="B726" s="16">
        <v>9</v>
      </c>
      <c r="C726" s="72">
        <v>700</v>
      </c>
      <c r="D726" s="15">
        <v>172.84</v>
      </c>
      <c r="E726" s="15">
        <v>197.71</v>
      </c>
    </row>
    <row r="727" spans="1:5" x14ac:dyDescent="0.2">
      <c r="A727" s="72">
        <v>65</v>
      </c>
      <c r="B727" s="16">
        <v>9</v>
      </c>
      <c r="C727" s="72">
        <v>1000</v>
      </c>
      <c r="D727" s="15">
        <v>157.72999999999999</v>
      </c>
      <c r="E727" s="15">
        <v>197.71</v>
      </c>
    </row>
    <row r="728" spans="1:5" x14ac:dyDescent="0.2">
      <c r="A728" s="72">
        <v>65</v>
      </c>
      <c r="B728" s="16">
        <v>9</v>
      </c>
      <c r="C728" s="72">
        <v>1300</v>
      </c>
      <c r="D728" s="15">
        <v>142.62</v>
      </c>
      <c r="E728" s="15">
        <v>197.7</v>
      </c>
    </row>
    <row r="729" spans="1:5" x14ac:dyDescent="0.2">
      <c r="A729" s="72">
        <v>65</v>
      </c>
      <c r="B729" s="16">
        <v>9</v>
      </c>
      <c r="C729" s="72">
        <v>1600</v>
      </c>
      <c r="D729" s="15">
        <v>127.5</v>
      </c>
      <c r="E729" s="15">
        <v>197.69</v>
      </c>
    </row>
    <row r="730" spans="1:5" x14ac:dyDescent="0.2">
      <c r="A730" s="72">
        <v>65</v>
      </c>
      <c r="B730" s="16">
        <v>9.5</v>
      </c>
      <c r="C730" s="72">
        <v>50</v>
      </c>
      <c r="D730" s="15">
        <v>297.44</v>
      </c>
      <c r="E730" s="15">
        <v>197.97</v>
      </c>
    </row>
    <row r="731" spans="1:5" x14ac:dyDescent="0.2">
      <c r="A731" s="72">
        <v>65</v>
      </c>
      <c r="B731" s="16">
        <v>9.5</v>
      </c>
      <c r="C731" s="72">
        <v>100</v>
      </c>
      <c r="D731" s="15">
        <v>276.89999999999998</v>
      </c>
      <c r="E731" s="15">
        <v>197.95</v>
      </c>
    </row>
    <row r="732" spans="1:5" x14ac:dyDescent="0.2">
      <c r="A732" s="72">
        <v>65</v>
      </c>
      <c r="B732" s="16">
        <v>9.5</v>
      </c>
      <c r="C732" s="72">
        <v>300</v>
      </c>
      <c r="D732" s="15">
        <v>194.73</v>
      </c>
      <c r="E732" s="15">
        <v>197.86</v>
      </c>
    </row>
    <row r="733" spans="1:5" x14ac:dyDescent="0.2">
      <c r="A733" s="72">
        <v>65</v>
      </c>
      <c r="B733" s="16">
        <v>9.5</v>
      </c>
      <c r="C733" s="72">
        <v>500</v>
      </c>
      <c r="D733" s="15">
        <v>165.53</v>
      </c>
      <c r="E733" s="15">
        <v>197.84</v>
      </c>
    </row>
    <row r="734" spans="1:5" x14ac:dyDescent="0.2">
      <c r="A734" s="72">
        <v>65</v>
      </c>
      <c r="B734" s="16">
        <v>9.5</v>
      </c>
      <c r="C734" s="72">
        <v>700</v>
      </c>
      <c r="D734" s="15">
        <v>155.83000000000001</v>
      </c>
      <c r="E734" s="15">
        <v>197.84</v>
      </c>
    </row>
    <row r="735" spans="1:5" x14ac:dyDescent="0.2">
      <c r="A735" s="72">
        <v>65</v>
      </c>
      <c r="B735" s="16">
        <v>9.5</v>
      </c>
      <c r="C735" s="72">
        <v>1000</v>
      </c>
      <c r="D735" s="15">
        <v>141.28</v>
      </c>
      <c r="E735" s="15">
        <v>197.84</v>
      </c>
    </row>
    <row r="736" spans="1:5" x14ac:dyDescent="0.2">
      <c r="A736" s="72">
        <v>65</v>
      </c>
      <c r="B736" s="16">
        <v>9.5</v>
      </c>
      <c r="C736" s="72">
        <v>1300</v>
      </c>
      <c r="D736" s="15">
        <v>126.73</v>
      </c>
      <c r="E736" s="15">
        <v>197.84</v>
      </c>
    </row>
    <row r="737" spans="1:5" x14ac:dyDescent="0.2">
      <c r="A737" s="72">
        <v>65</v>
      </c>
      <c r="B737" s="16">
        <v>9.5</v>
      </c>
      <c r="C737" s="72">
        <v>1600</v>
      </c>
      <c r="D737" s="15">
        <v>112.18</v>
      </c>
      <c r="E737" s="15">
        <v>197.84</v>
      </c>
    </row>
    <row r="738" spans="1:5" x14ac:dyDescent="0.2">
      <c r="A738" s="72">
        <v>65</v>
      </c>
      <c r="B738" s="16">
        <v>10</v>
      </c>
      <c r="C738" s="72">
        <v>50</v>
      </c>
      <c r="D738" s="15">
        <v>279.36</v>
      </c>
      <c r="E738" s="15">
        <v>198.01</v>
      </c>
    </row>
    <row r="739" spans="1:5" x14ac:dyDescent="0.2">
      <c r="A739" s="72">
        <v>65</v>
      </c>
      <c r="B739" s="16">
        <v>10</v>
      </c>
      <c r="C739" s="72">
        <v>100</v>
      </c>
      <c r="D739" s="15">
        <v>258.83</v>
      </c>
      <c r="E739" s="15">
        <v>198</v>
      </c>
    </row>
    <row r="740" spans="1:5" x14ac:dyDescent="0.2">
      <c r="A740" s="72">
        <v>65</v>
      </c>
      <c r="B740" s="16">
        <v>10</v>
      </c>
      <c r="C740" s="72">
        <v>300</v>
      </c>
      <c r="D740" s="15">
        <v>176.72</v>
      </c>
      <c r="E740" s="15">
        <v>197.97</v>
      </c>
    </row>
    <row r="741" spans="1:5" x14ac:dyDescent="0.2">
      <c r="A741" s="72">
        <v>65</v>
      </c>
      <c r="B741" s="16">
        <v>10</v>
      </c>
      <c r="C741" s="72">
        <v>500</v>
      </c>
      <c r="D741" s="15">
        <v>148.13</v>
      </c>
      <c r="E741" s="15">
        <v>197.97</v>
      </c>
    </row>
    <row r="742" spans="1:5" x14ac:dyDescent="0.2">
      <c r="A742" s="72">
        <v>65</v>
      </c>
      <c r="B742" s="16">
        <v>10</v>
      </c>
      <c r="C742" s="72">
        <v>700</v>
      </c>
      <c r="D742" s="15">
        <v>138.81</v>
      </c>
      <c r="E742" s="15">
        <v>197.98</v>
      </c>
    </row>
    <row r="743" spans="1:5" x14ac:dyDescent="0.2">
      <c r="A743" s="72">
        <v>65</v>
      </c>
      <c r="B743" s="16">
        <v>10</v>
      </c>
      <c r="C743" s="72">
        <v>1000</v>
      </c>
      <c r="D743" s="15">
        <v>124.84</v>
      </c>
      <c r="E743" s="15">
        <v>198</v>
      </c>
    </row>
    <row r="744" spans="1:5" x14ac:dyDescent="0.2">
      <c r="A744" s="72">
        <v>65</v>
      </c>
      <c r="B744" s="16">
        <v>10</v>
      </c>
      <c r="C744" s="72">
        <v>1300</v>
      </c>
      <c r="D744" s="15">
        <v>110.87</v>
      </c>
      <c r="E744" s="15">
        <v>198.01</v>
      </c>
    </row>
    <row r="745" spans="1:5" x14ac:dyDescent="0.2">
      <c r="A745" s="72">
        <v>65</v>
      </c>
      <c r="B745" s="16">
        <v>10</v>
      </c>
      <c r="C745" s="72">
        <v>1600</v>
      </c>
      <c r="D745" s="15">
        <v>96.89</v>
      </c>
      <c r="E745" s="15">
        <v>198.03</v>
      </c>
    </row>
    <row r="746" spans="1:5" x14ac:dyDescent="0.2">
      <c r="A746" s="72">
        <v>65</v>
      </c>
      <c r="B746" s="16">
        <v>10.5</v>
      </c>
      <c r="C746" s="72">
        <v>50</v>
      </c>
      <c r="D746" s="15">
        <v>272.97000000000003</v>
      </c>
      <c r="E746" s="15">
        <v>197.94</v>
      </c>
    </row>
    <row r="747" spans="1:5" x14ac:dyDescent="0.2">
      <c r="A747" s="72">
        <v>65</v>
      </c>
      <c r="B747" s="16">
        <v>10.5</v>
      </c>
      <c r="C747" s="72">
        <v>100</v>
      </c>
      <c r="D747" s="15">
        <v>252.28</v>
      </c>
      <c r="E747" s="15">
        <v>197.9</v>
      </c>
    </row>
    <row r="748" spans="1:5" x14ac:dyDescent="0.2">
      <c r="A748" s="72">
        <v>65</v>
      </c>
      <c r="B748" s="16">
        <v>10.5</v>
      </c>
      <c r="C748" s="72">
        <v>300</v>
      </c>
      <c r="D748" s="15">
        <v>169.52</v>
      </c>
      <c r="E748" s="15">
        <v>197.74</v>
      </c>
    </row>
    <row r="749" spans="1:5" x14ac:dyDescent="0.2">
      <c r="A749" s="72">
        <v>65</v>
      </c>
      <c r="B749" s="16">
        <v>10.5</v>
      </c>
      <c r="C749" s="72">
        <v>500</v>
      </c>
      <c r="D749" s="15">
        <v>141.16</v>
      </c>
      <c r="E749" s="15">
        <v>197.69</v>
      </c>
    </row>
    <row r="750" spans="1:5" x14ac:dyDescent="0.2">
      <c r="A750" s="72">
        <v>65</v>
      </c>
      <c r="B750" s="16">
        <v>10.5</v>
      </c>
      <c r="C750" s="72">
        <v>700</v>
      </c>
      <c r="D750" s="15">
        <v>132.04</v>
      </c>
      <c r="E750" s="15">
        <v>197.68</v>
      </c>
    </row>
    <row r="751" spans="1:5" x14ac:dyDescent="0.2">
      <c r="A751" s="72">
        <v>65</v>
      </c>
      <c r="B751" s="16">
        <v>10.5</v>
      </c>
      <c r="C751" s="72">
        <v>1000</v>
      </c>
      <c r="D751" s="15">
        <v>118.37</v>
      </c>
      <c r="E751" s="15">
        <v>197.67</v>
      </c>
    </row>
    <row r="752" spans="1:5" x14ac:dyDescent="0.2">
      <c r="A752" s="72">
        <v>65</v>
      </c>
      <c r="B752" s="16">
        <v>10.5</v>
      </c>
      <c r="C752" s="72">
        <v>1300</v>
      </c>
      <c r="D752" s="15">
        <v>104.7</v>
      </c>
      <c r="E752" s="15">
        <v>197.66</v>
      </c>
    </row>
    <row r="753" spans="1:5" x14ac:dyDescent="0.2">
      <c r="A753" s="72">
        <v>65</v>
      </c>
      <c r="B753" s="16">
        <v>10.5</v>
      </c>
      <c r="C753" s="72">
        <v>1600</v>
      </c>
      <c r="D753" s="15">
        <v>91.02</v>
      </c>
      <c r="E753" s="15">
        <v>197.65</v>
      </c>
    </row>
    <row r="754" spans="1:5" x14ac:dyDescent="0.2">
      <c r="A754" s="72">
        <v>65</v>
      </c>
      <c r="B754" s="16">
        <v>11</v>
      </c>
      <c r="C754" s="72">
        <v>50</v>
      </c>
      <c r="D754" s="15">
        <v>263.14999999999998</v>
      </c>
      <c r="E754" s="15">
        <v>197.93</v>
      </c>
    </row>
    <row r="755" spans="1:5" x14ac:dyDescent="0.2">
      <c r="A755" s="72">
        <v>65</v>
      </c>
      <c r="B755" s="16">
        <v>11</v>
      </c>
      <c r="C755" s="72">
        <v>100</v>
      </c>
      <c r="D755" s="15">
        <v>242.38</v>
      </c>
      <c r="E755" s="15">
        <v>197.88</v>
      </c>
    </row>
    <row r="756" spans="1:5" x14ac:dyDescent="0.2">
      <c r="A756" s="72">
        <v>65</v>
      </c>
      <c r="B756" s="16">
        <v>11</v>
      </c>
      <c r="C756" s="72">
        <v>300</v>
      </c>
      <c r="D756" s="15">
        <v>159.30000000000001</v>
      </c>
      <c r="E756" s="15">
        <v>197.67</v>
      </c>
    </row>
    <row r="757" spans="1:5" x14ac:dyDescent="0.2">
      <c r="A757" s="72">
        <v>65</v>
      </c>
      <c r="B757" s="16">
        <v>11</v>
      </c>
      <c r="C757" s="72">
        <v>500</v>
      </c>
      <c r="D757" s="15">
        <v>131.37</v>
      </c>
      <c r="E757" s="15">
        <v>197.6</v>
      </c>
    </row>
    <row r="758" spans="1:5" x14ac:dyDescent="0.2">
      <c r="A758" s="72">
        <v>65</v>
      </c>
      <c r="B758" s="16">
        <v>11</v>
      </c>
      <c r="C758" s="72">
        <v>700</v>
      </c>
      <c r="D758" s="15">
        <v>122.55</v>
      </c>
      <c r="E758" s="15">
        <v>197.59</v>
      </c>
    </row>
    <row r="759" spans="1:5" x14ac:dyDescent="0.2">
      <c r="A759" s="72">
        <v>65</v>
      </c>
      <c r="B759" s="16">
        <v>11</v>
      </c>
      <c r="C759" s="72">
        <v>1000</v>
      </c>
      <c r="D759" s="15">
        <v>109.31</v>
      </c>
      <c r="E759" s="15">
        <v>197.58</v>
      </c>
    </row>
    <row r="760" spans="1:5" x14ac:dyDescent="0.2">
      <c r="A760" s="72">
        <v>65</v>
      </c>
      <c r="B760" s="16">
        <v>11</v>
      </c>
      <c r="C760" s="72">
        <v>1300</v>
      </c>
      <c r="D760" s="15">
        <v>96.07</v>
      </c>
      <c r="E760" s="15">
        <v>197.56</v>
      </c>
    </row>
    <row r="761" spans="1:5" x14ac:dyDescent="0.2">
      <c r="A761" s="72">
        <v>65</v>
      </c>
      <c r="B761" s="16">
        <v>11</v>
      </c>
      <c r="C761" s="72">
        <v>1600</v>
      </c>
      <c r="D761" s="15">
        <v>82.84</v>
      </c>
      <c r="E761" s="15">
        <v>197.55</v>
      </c>
    </row>
    <row r="762" spans="1:5" x14ac:dyDescent="0.2">
      <c r="A762" s="72">
        <v>65</v>
      </c>
      <c r="B762" s="16">
        <v>11.5</v>
      </c>
      <c r="C762" s="72">
        <v>50</v>
      </c>
      <c r="D762" s="15">
        <v>256.74</v>
      </c>
      <c r="E762" s="15">
        <v>197.87</v>
      </c>
    </row>
    <row r="763" spans="1:5" x14ac:dyDescent="0.2">
      <c r="A763" s="72">
        <v>65</v>
      </c>
      <c r="B763" s="16">
        <v>11.5</v>
      </c>
      <c r="C763" s="72">
        <v>100</v>
      </c>
      <c r="D763" s="15">
        <v>235.82</v>
      </c>
      <c r="E763" s="15">
        <v>197.78</v>
      </c>
    </row>
    <row r="764" spans="1:5" x14ac:dyDescent="0.2">
      <c r="A764" s="72">
        <v>65</v>
      </c>
      <c r="B764" s="16">
        <v>11.5</v>
      </c>
      <c r="C764" s="72">
        <v>300</v>
      </c>
      <c r="D764" s="15">
        <v>152.13</v>
      </c>
      <c r="E764" s="15">
        <v>197.41</v>
      </c>
    </row>
    <row r="765" spans="1:5" x14ac:dyDescent="0.2">
      <c r="A765" s="72">
        <v>65</v>
      </c>
      <c r="B765" s="16">
        <v>11.5</v>
      </c>
      <c r="C765" s="72">
        <v>500</v>
      </c>
      <c r="D765" s="15">
        <v>124.42</v>
      </c>
      <c r="E765" s="15">
        <v>197.28</v>
      </c>
    </row>
    <row r="766" spans="1:5" x14ac:dyDescent="0.2">
      <c r="A766" s="72">
        <v>65</v>
      </c>
      <c r="B766" s="16">
        <v>11.5</v>
      </c>
      <c r="C766" s="72">
        <v>700</v>
      </c>
      <c r="D766" s="15">
        <v>115.78</v>
      </c>
      <c r="E766" s="15">
        <v>197.25</v>
      </c>
    </row>
    <row r="767" spans="1:5" x14ac:dyDescent="0.2">
      <c r="A767" s="72">
        <v>65</v>
      </c>
      <c r="B767" s="16">
        <v>11.5</v>
      </c>
      <c r="C767" s="72">
        <v>1000</v>
      </c>
      <c r="D767" s="15">
        <v>102.82</v>
      </c>
      <c r="E767" s="15">
        <v>197.21</v>
      </c>
    </row>
    <row r="768" spans="1:5" x14ac:dyDescent="0.2">
      <c r="A768" s="72">
        <v>65</v>
      </c>
      <c r="B768" s="16">
        <v>11.5</v>
      </c>
      <c r="C768" s="72">
        <v>1300</v>
      </c>
      <c r="D768" s="15">
        <v>89.86</v>
      </c>
      <c r="E768" s="15">
        <v>197.17</v>
      </c>
    </row>
    <row r="769" spans="1:5" x14ac:dyDescent="0.2">
      <c r="A769" s="72">
        <v>65</v>
      </c>
      <c r="B769" s="16">
        <v>11.5</v>
      </c>
      <c r="C769" s="72">
        <v>1600</v>
      </c>
      <c r="D769" s="15">
        <v>76.900000000000006</v>
      </c>
      <c r="E769" s="15">
        <v>197.13</v>
      </c>
    </row>
    <row r="770" spans="1:5" x14ac:dyDescent="0.2">
      <c r="A770" s="72">
        <v>65</v>
      </c>
      <c r="B770" s="16">
        <v>12</v>
      </c>
      <c r="C770" s="72">
        <v>50</v>
      </c>
      <c r="D770" s="15">
        <v>246.91</v>
      </c>
      <c r="E770" s="15">
        <v>197.87</v>
      </c>
    </row>
    <row r="771" spans="1:5" x14ac:dyDescent="0.2">
      <c r="A771" s="72">
        <v>65</v>
      </c>
      <c r="B771" s="16">
        <v>12</v>
      </c>
      <c r="C771" s="72">
        <v>100</v>
      </c>
      <c r="D771" s="15">
        <v>225.91</v>
      </c>
      <c r="E771" s="15">
        <v>197.76</v>
      </c>
    </row>
    <row r="772" spans="1:5" x14ac:dyDescent="0.2">
      <c r="A772" s="72">
        <v>65</v>
      </c>
      <c r="B772" s="16">
        <v>12</v>
      </c>
      <c r="C772" s="72">
        <v>300</v>
      </c>
      <c r="D772" s="15">
        <v>141.93</v>
      </c>
      <c r="E772" s="15">
        <v>197.34</v>
      </c>
    </row>
    <row r="773" spans="1:5" x14ac:dyDescent="0.2">
      <c r="A773" s="72">
        <v>65</v>
      </c>
      <c r="B773" s="16">
        <v>12</v>
      </c>
      <c r="C773" s="72">
        <v>500</v>
      </c>
      <c r="D773" s="15">
        <v>114.64</v>
      </c>
      <c r="E773" s="15">
        <v>197.19</v>
      </c>
    </row>
    <row r="774" spans="1:5" x14ac:dyDescent="0.2">
      <c r="A774" s="72">
        <v>65</v>
      </c>
      <c r="B774" s="16">
        <v>12</v>
      </c>
      <c r="C774" s="72">
        <v>700</v>
      </c>
      <c r="D774" s="15">
        <v>106.29</v>
      </c>
      <c r="E774" s="15">
        <v>197.16</v>
      </c>
    </row>
    <row r="775" spans="1:5" x14ac:dyDescent="0.2">
      <c r="A775" s="72">
        <v>65</v>
      </c>
      <c r="B775" s="16">
        <v>12</v>
      </c>
      <c r="C775" s="72">
        <v>1000</v>
      </c>
      <c r="D775" s="15">
        <v>93.76</v>
      </c>
      <c r="E775" s="15">
        <v>197.11</v>
      </c>
    </row>
    <row r="776" spans="1:5" x14ac:dyDescent="0.2">
      <c r="A776" s="72">
        <v>65</v>
      </c>
      <c r="B776" s="16">
        <v>12</v>
      </c>
      <c r="C776" s="72">
        <v>1300</v>
      </c>
      <c r="D776" s="15">
        <v>81.23</v>
      </c>
      <c r="E776" s="15">
        <v>197.05</v>
      </c>
    </row>
    <row r="777" spans="1:5" x14ac:dyDescent="0.2">
      <c r="A777" s="72">
        <v>65</v>
      </c>
      <c r="B777" s="16">
        <v>12</v>
      </c>
      <c r="C777" s="72">
        <v>1600</v>
      </c>
      <c r="D777" s="15">
        <v>68.7</v>
      </c>
      <c r="E777" s="15">
        <v>197</v>
      </c>
    </row>
    <row r="778" spans="1:5" x14ac:dyDescent="0.2">
      <c r="A778" s="72">
        <v>65</v>
      </c>
      <c r="B778" s="16">
        <v>12.5</v>
      </c>
      <c r="C778" s="72">
        <v>50</v>
      </c>
      <c r="D778" s="15">
        <v>239.9</v>
      </c>
      <c r="E778" s="15">
        <v>197.87</v>
      </c>
    </row>
    <row r="779" spans="1:5" x14ac:dyDescent="0.2">
      <c r="A779" s="72">
        <v>65</v>
      </c>
      <c r="B779" s="16">
        <v>12.5</v>
      </c>
      <c r="C779" s="72">
        <v>100</v>
      </c>
      <c r="D779" s="15">
        <v>218.81</v>
      </c>
      <c r="E779" s="15">
        <v>197.74</v>
      </c>
    </row>
    <row r="780" spans="1:5" x14ac:dyDescent="0.2">
      <c r="A780" s="72">
        <v>65</v>
      </c>
      <c r="B780" s="16">
        <v>12.5</v>
      </c>
      <c r="C780" s="72">
        <v>300</v>
      </c>
      <c r="D780" s="15">
        <v>134.47</v>
      </c>
      <c r="E780" s="15">
        <v>197.24</v>
      </c>
    </row>
    <row r="781" spans="1:5" x14ac:dyDescent="0.2">
      <c r="A781" s="72">
        <v>65</v>
      </c>
      <c r="B781" s="16">
        <v>12.5</v>
      </c>
      <c r="C781" s="72">
        <v>500</v>
      </c>
      <c r="D781" s="15">
        <v>107.65</v>
      </c>
      <c r="E781" s="15">
        <v>197.07</v>
      </c>
    </row>
    <row r="782" spans="1:5" x14ac:dyDescent="0.2">
      <c r="A782" s="72">
        <v>65</v>
      </c>
      <c r="B782" s="16">
        <v>12.5</v>
      </c>
      <c r="C782" s="72">
        <v>700</v>
      </c>
      <c r="D782" s="15">
        <v>99.58</v>
      </c>
      <c r="E782" s="15">
        <v>197.03</v>
      </c>
    </row>
    <row r="783" spans="1:5" x14ac:dyDescent="0.2">
      <c r="A783" s="72">
        <v>65</v>
      </c>
      <c r="B783" s="16">
        <v>12.5</v>
      </c>
      <c r="C783" s="72">
        <v>1000</v>
      </c>
      <c r="D783" s="15">
        <v>87.49</v>
      </c>
      <c r="E783" s="15">
        <v>196.97</v>
      </c>
    </row>
    <row r="784" spans="1:5" x14ac:dyDescent="0.2">
      <c r="A784" s="72">
        <v>65</v>
      </c>
      <c r="B784" s="16">
        <v>12.5</v>
      </c>
      <c r="C784" s="72">
        <v>1300</v>
      </c>
      <c r="D784" s="15">
        <v>75.39</v>
      </c>
      <c r="E784" s="15">
        <v>196.91</v>
      </c>
    </row>
    <row r="785" spans="1:5" x14ac:dyDescent="0.2">
      <c r="A785" s="72">
        <v>65</v>
      </c>
      <c r="B785" s="16">
        <v>12.5</v>
      </c>
      <c r="C785" s="72">
        <v>1600</v>
      </c>
      <c r="D785" s="15">
        <v>63.29</v>
      </c>
      <c r="E785" s="15">
        <v>196.85</v>
      </c>
    </row>
    <row r="786" spans="1:5" x14ac:dyDescent="0.2">
      <c r="A786" s="72">
        <v>65</v>
      </c>
      <c r="B786" s="16">
        <v>13</v>
      </c>
      <c r="C786" s="72">
        <v>50</v>
      </c>
      <c r="D786" s="15">
        <v>229.52</v>
      </c>
      <c r="E786" s="15">
        <v>197.91</v>
      </c>
    </row>
    <row r="787" spans="1:5" x14ac:dyDescent="0.2">
      <c r="A787" s="72">
        <v>65</v>
      </c>
      <c r="B787" s="16">
        <v>13</v>
      </c>
      <c r="C787" s="72">
        <v>100</v>
      </c>
      <c r="D787" s="15">
        <v>208.4</v>
      </c>
      <c r="E787" s="15">
        <v>197.8</v>
      </c>
    </row>
    <row r="788" spans="1:5" x14ac:dyDescent="0.2">
      <c r="A788" s="72">
        <v>65</v>
      </c>
      <c r="B788" s="16">
        <v>13</v>
      </c>
      <c r="C788" s="72">
        <v>300</v>
      </c>
      <c r="D788" s="15">
        <v>123.91</v>
      </c>
      <c r="E788" s="15">
        <v>197.37</v>
      </c>
    </row>
    <row r="789" spans="1:5" x14ac:dyDescent="0.2">
      <c r="A789" s="72">
        <v>65</v>
      </c>
      <c r="B789" s="16">
        <v>13</v>
      </c>
      <c r="C789" s="72">
        <v>500</v>
      </c>
      <c r="D789" s="15">
        <v>97.82</v>
      </c>
      <c r="E789" s="15">
        <v>197.22</v>
      </c>
    </row>
    <row r="790" spans="1:5" x14ac:dyDescent="0.2">
      <c r="A790" s="72">
        <v>65</v>
      </c>
      <c r="B790" s="16">
        <v>13</v>
      </c>
      <c r="C790" s="72">
        <v>700</v>
      </c>
      <c r="D790" s="15">
        <v>90.16</v>
      </c>
      <c r="E790" s="15">
        <v>197.19</v>
      </c>
    </row>
    <row r="791" spans="1:5" x14ac:dyDescent="0.2">
      <c r="A791" s="72">
        <v>65</v>
      </c>
      <c r="B791" s="16">
        <v>13</v>
      </c>
      <c r="C791" s="72">
        <v>1000</v>
      </c>
      <c r="D791" s="15">
        <v>78.680000000000007</v>
      </c>
      <c r="E791" s="15">
        <v>197.14</v>
      </c>
    </row>
    <row r="792" spans="1:5" x14ac:dyDescent="0.2">
      <c r="A792" s="72">
        <v>65</v>
      </c>
      <c r="B792" s="16">
        <v>13</v>
      </c>
      <c r="C792" s="72">
        <v>1300</v>
      </c>
      <c r="D792" s="15">
        <v>67.2</v>
      </c>
      <c r="E792" s="15">
        <v>197.09</v>
      </c>
    </row>
    <row r="793" spans="1:5" x14ac:dyDescent="0.2">
      <c r="A793" s="72">
        <v>65</v>
      </c>
      <c r="B793" s="16">
        <v>13</v>
      </c>
      <c r="C793" s="72">
        <v>1600</v>
      </c>
      <c r="D793" s="15">
        <v>55.71</v>
      </c>
      <c r="E793" s="15">
        <v>197.04</v>
      </c>
    </row>
    <row r="794" spans="1:5" x14ac:dyDescent="0.2">
      <c r="A794" s="72">
        <v>65</v>
      </c>
      <c r="B794" s="16">
        <v>13.5</v>
      </c>
      <c r="C794" s="72">
        <v>50</v>
      </c>
      <c r="D794" s="15">
        <v>222.53</v>
      </c>
      <c r="E794" s="15">
        <v>197.9</v>
      </c>
    </row>
    <row r="795" spans="1:5" x14ac:dyDescent="0.2">
      <c r="A795" s="72">
        <v>65</v>
      </c>
      <c r="B795" s="16">
        <v>13.5</v>
      </c>
      <c r="C795" s="72">
        <v>100</v>
      </c>
      <c r="D795" s="15">
        <v>201.31</v>
      </c>
      <c r="E795" s="15">
        <v>197.78</v>
      </c>
    </row>
    <row r="796" spans="1:5" x14ac:dyDescent="0.2">
      <c r="A796" s="72">
        <v>65</v>
      </c>
      <c r="B796" s="16">
        <v>13.5</v>
      </c>
      <c r="C796" s="72">
        <v>300</v>
      </c>
      <c r="D796" s="15">
        <v>116.44</v>
      </c>
      <c r="E796" s="15">
        <v>197.29</v>
      </c>
    </row>
    <row r="797" spans="1:5" x14ac:dyDescent="0.2">
      <c r="A797" s="72">
        <v>65</v>
      </c>
      <c r="B797" s="16">
        <v>13.5</v>
      </c>
      <c r="C797" s="72">
        <v>500</v>
      </c>
      <c r="D797" s="15">
        <v>90.83</v>
      </c>
      <c r="E797" s="15">
        <v>197.11</v>
      </c>
    </row>
    <row r="798" spans="1:5" x14ac:dyDescent="0.2">
      <c r="A798" s="72">
        <v>65</v>
      </c>
      <c r="B798" s="16">
        <v>13.5</v>
      </c>
      <c r="C798" s="72">
        <v>700</v>
      </c>
      <c r="D798" s="15">
        <v>83.47</v>
      </c>
      <c r="E798" s="15">
        <v>197.07</v>
      </c>
    </row>
    <row r="799" spans="1:5" x14ac:dyDescent="0.2">
      <c r="A799" s="72">
        <v>65</v>
      </c>
      <c r="B799" s="16">
        <v>13.5</v>
      </c>
      <c r="C799" s="72">
        <v>1000</v>
      </c>
      <c r="D799" s="15">
        <v>72.42</v>
      </c>
      <c r="E799" s="15">
        <v>197.02</v>
      </c>
    </row>
    <row r="800" spans="1:5" x14ac:dyDescent="0.2">
      <c r="A800" s="72">
        <v>65</v>
      </c>
      <c r="B800" s="16">
        <v>13.5</v>
      </c>
      <c r="C800" s="72">
        <v>1300</v>
      </c>
      <c r="D800" s="15">
        <v>61.37</v>
      </c>
      <c r="E800" s="15">
        <v>196.97</v>
      </c>
    </row>
    <row r="801" spans="1:5" x14ac:dyDescent="0.2">
      <c r="A801" s="72">
        <v>65</v>
      </c>
      <c r="B801" s="16">
        <v>13.5</v>
      </c>
      <c r="C801" s="72">
        <v>1600</v>
      </c>
      <c r="D801" s="15">
        <v>50.33</v>
      </c>
      <c r="E801" s="15">
        <v>196.91</v>
      </c>
    </row>
    <row r="802" spans="1:5" x14ac:dyDescent="0.2">
      <c r="A802" s="72">
        <v>65</v>
      </c>
      <c r="B802" s="16">
        <v>14</v>
      </c>
      <c r="C802" s="72">
        <v>50</v>
      </c>
      <c r="D802" s="15">
        <v>202.22</v>
      </c>
      <c r="E802" s="15">
        <v>198.1</v>
      </c>
    </row>
    <row r="803" spans="1:5" x14ac:dyDescent="0.2">
      <c r="A803" s="72">
        <v>65</v>
      </c>
      <c r="B803" s="16">
        <v>14</v>
      </c>
      <c r="C803" s="72">
        <v>100</v>
      </c>
      <c r="D803" s="15">
        <v>181.06</v>
      </c>
      <c r="E803" s="15">
        <v>198.11</v>
      </c>
    </row>
    <row r="804" spans="1:5" x14ac:dyDescent="0.2">
      <c r="A804" s="72">
        <v>65</v>
      </c>
      <c r="B804" s="16">
        <v>14</v>
      </c>
      <c r="C804" s="72">
        <v>300</v>
      </c>
      <c r="D804" s="15">
        <v>96.44</v>
      </c>
      <c r="E804" s="15">
        <v>198.14</v>
      </c>
    </row>
    <row r="805" spans="1:5" x14ac:dyDescent="0.2">
      <c r="A805" s="72">
        <v>65</v>
      </c>
      <c r="B805" s="16">
        <v>14</v>
      </c>
      <c r="C805" s="72">
        <v>500</v>
      </c>
      <c r="D805" s="15">
        <v>72.459999999999994</v>
      </c>
      <c r="E805" s="15">
        <v>198.14</v>
      </c>
    </row>
    <row r="806" spans="1:5" x14ac:dyDescent="0.2">
      <c r="A806" s="72">
        <v>65</v>
      </c>
      <c r="B806" s="16">
        <v>14</v>
      </c>
      <c r="C806" s="72">
        <v>700</v>
      </c>
      <c r="D806" s="15">
        <v>65.930000000000007</v>
      </c>
      <c r="E806" s="15">
        <v>198.16</v>
      </c>
    </row>
    <row r="807" spans="1:5" x14ac:dyDescent="0.2">
      <c r="A807" s="72">
        <v>65</v>
      </c>
      <c r="B807" s="16">
        <v>14</v>
      </c>
      <c r="C807" s="72">
        <v>1000</v>
      </c>
      <c r="D807" s="15">
        <v>56.14</v>
      </c>
      <c r="E807" s="15">
        <v>198.2</v>
      </c>
    </row>
    <row r="808" spans="1:5" x14ac:dyDescent="0.2">
      <c r="A808" s="72">
        <v>65</v>
      </c>
      <c r="B808" s="16">
        <v>14</v>
      </c>
      <c r="C808" s="72">
        <v>1300</v>
      </c>
      <c r="D808" s="15">
        <v>46.34</v>
      </c>
      <c r="E808" s="15">
        <v>198.23</v>
      </c>
    </row>
    <row r="809" spans="1:5" x14ac:dyDescent="0.2">
      <c r="A809" s="72">
        <v>65</v>
      </c>
      <c r="B809" s="16">
        <v>14</v>
      </c>
      <c r="C809" s="72">
        <v>1600</v>
      </c>
      <c r="D809" s="15">
        <v>36.549999999999997</v>
      </c>
      <c r="E809" s="15">
        <v>198.26</v>
      </c>
    </row>
    <row r="810" spans="1:5" x14ac:dyDescent="0.2">
      <c r="A810" s="72">
        <v>65</v>
      </c>
      <c r="B810" s="16">
        <v>14.5</v>
      </c>
      <c r="C810" s="72">
        <v>50</v>
      </c>
      <c r="D810" s="15">
        <v>189.59</v>
      </c>
      <c r="E810" s="15">
        <v>198.19</v>
      </c>
    </row>
    <row r="811" spans="1:5" x14ac:dyDescent="0.2">
      <c r="A811" s="72">
        <v>65</v>
      </c>
      <c r="B811" s="16">
        <v>14.5</v>
      </c>
      <c r="C811" s="72">
        <v>100</v>
      </c>
      <c r="D811" s="15">
        <v>169.3</v>
      </c>
      <c r="E811" s="15">
        <v>198.28</v>
      </c>
    </row>
    <row r="812" spans="1:5" x14ac:dyDescent="0.2">
      <c r="A812" s="72">
        <v>65</v>
      </c>
      <c r="B812" s="16">
        <v>14.5</v>
      </c>
      <c r="C812" s="72">
        <v>300</v>
      </c>
      <c r="D812" s="15">
        <v>88.13</v>
      </c>
      <c r="E812" s="15">
        <v>198.63</v>
      </c>
    </row>
    <row r="813" spans="1:5" x14ac:dyDescent="0.2">
      <c r="A813" s="72">
        <v>65</v>
      </c>
      <c r="B813" s="16">
        <v>14.5</v>
      </c>
      <c r="C813" s="72">
        <v>500</v>
      </c>
      <c r="D813" s="15">
        <v>65.599999999999994</v>
      </c>
      <c r="E813" s="15">
        <v>198.76</v>
      </c>
    </row>
    <row r="814" spans="1:5" x14ac:dyDescent="0.2">
      <c r="A814" s="72">
        <v>65</v>
      </c>
      <c r="B814" s="16">
        <v>14.5</v>
      </c>
      <c r="C814" s="72">
        <v>700</v>
      </c>
      <c r="D814" s="15">
        <v>59.55</v>
      </c>
      <c r="E814" s="15">
        <v>198.82</v>
      </c>
    </row>
    <row r="815" spans="1:5" x14ac:dyDescent="0.2">
      <c r="A815" s="72">
        <v>65</v>
      </c>
      <c r="B815" s="16">
        <v>14.5</v>
      </c>
      <c r="C815" s="72">
        <v>1000</v>
      </c>
      <c r="D815" s="15">
        <v>50.49</v>
      </c>
      <c r="E815" s="15">
        <v>198.91</v>
      </c>
    </row>
    <row r="816" spans="1:5" x14ac:dyDescent="0.2">
      <c r="A816" s="72">
        <v>65</v>
      </c>
      <c r="B816" s="16">
        <v>14.5</v>
      </c>
      <c r="C816" s="72">
        <v>1300</v>
      </c>
      <c r="D816" s="15">
        <v>41.42</v>
      </c>
      <c r="E816" s="15">
        <v>199</v>
      </c>
    </row>
    <row r="817" spans="1:5" x14ac:dyDescent="0.2">
      <c r="A817" s="72">
        <v>65</v>
      </c>
      <c r="B817" s="16">
        <v>14.5</v>
      </c>
      <c r="C817" s="72">
        <v>1600</v>
      </c>
      <c r="D817" s="15">
        <v>32.35</v>
      </c>
      <c r="E817" s="15">
        <v>199.09</v>
      </c>
    </row>
    <row r="818" spans="1:5" x14ac:dyDescent="0.2">
      <c r="A818" s="72">
        <v>65</v>
      </c>
      <c r="B818" s="16">
        <v>15</v>
      </c>
      <c r="C818" s="72">
        <v>50</v>
      </c>
      <c r="D818" s="15">
        <v>180.41</v>
      </c>
      <c r="E818" s="15">
        <v>198.23</v>
      </c>
    </row>
    <row r="819" spans="1:5" x14ac:dyDescent="0.2">
      <c r="A819" s="72">
        <v>65</v>
      </c>
      <c r="B819" s="16">
        <v>15</v>
      </c>
      <c r="C819" s="72">
        <v>100</v>
      </c>
      <c r="D819" s="15">
        <v>160.97</v>
      </c>
      <c r="E819" s="15">
        <v>198.36</v>
      </c>
    </row>
    <row r="820" spans="1:5" x14ac:dyDescent="0.2">
      <c r="A820" s="72">
        <v>65</v>
      </c>
      <c r="B820" s="16">
        <v>15</v>
      </c>
      <c r="C820" s="72">
        <v>300</v>
      </c>
      <c r="D820" s="15">
        <v>83.23</v>
      </c>
      <c r="E820" s="15">
        <v>198.89</v>
      </c>
    </row>
    <row r="821" spans="1:5" x14ac:dyDescent="0.2">
      <c r="A821" s="72">
        <v>65</v>
      </c>
      <c r="B821" s="16">
        <v>15</v>
      </c>
      <c r="C821" s="72">
        <v>500</v>
      </c>
      <c r="D821" s="15">
        <v>61.88</v>
      </c>
      <c r="E821" s="15">
        <v>199.09</v>
      </c>
    </row>
    <row r="822" spans="1:5" x14ac:dyDescent="0.2">
      <c r="A822" s="72">
        <v>65</v>
      </c>
      <c r="B822" s="16">
        <v>15</v>
      </c>
      <c r="C822" s="72">
        <v>700</v>
      </c>
      <c r="D822" s="15">
        <v>56.17</v>
      </c>
      <c r="E822" s="15">
        <v>199.17</v>
      </c>
    </row>
    <row r="823" spans="1:5" x14ac:dyDescent="0.2">
      <c r="A823" s="72">
        <v>65</v>
      </c>
      <c r="B823" s="16">
        <v>15</v>
      </c>
      <c r="C823" s="72">
        <v>1000</v>
      </c>
      <c r="D823" s="15">
        <v>47.61</v>
      </c>
      <c r="E823" s="15">
        <v>199.29</v>
      </c>
    </row>
    <row r="824" spans="1:5" x14ac:dyDescent="0.2">
      <c r="A824" s="72">
        <v>65</v>
      </c>
      <c r="B824" s="16">
        <v>15</v>
      </c>
      <c r="C824" s="72">
        <v>1300</v>
      </c>
      <c r="D824" s="15">
        <v>39.049999999999997</v>
      </c>
      <c r="E824" s="15">
        <v>199.41</v>
      </c>
    </row>
    <row r="825" spans="1:5" x14ac:dyDescent="0.2">
      <c r="A825" s="72">
        <v>65</v>
      </c>
      <c r="B825" s="16">
        <v>15</v>
      </c>
      <c r="C825" s="72">
        <v>1600</v>
      </c>
      <c r="D825" s="15">
        <v>30.49</v>
      </c>
      <c r="E825" s="15">
        <v>199.53</v>
      </c>
    </row>
    <row r="826" spans="1:5" x14ac:dyDescent="0.2">
      <c r="A826" s="72">
        <v>65</v>
      </c>
      <c r="B826" s="16">
        <v>15.5</v>
      </c>
      <c r="C826" s="72">
        <v>50</v>
      </c>
      <c r="D826" s="15">
        <v>174.49</v>
      </c>
      <c r="E826" s="15">
        <v>198.22</v>
      </c>
    </row>
    <row r="827" spans="1:5" x14ac:dyDescent="0.2">
      <c r="A827" s="72">
        <v>65</v>
      </c>
      <c r="B827" s="16">
        <v>15.5</v>
      </c>
      <c r="C827" s="72">
        <v>100</v>
      </c>
      <c r="D827" s="15">
        <v>155.86000000000001</v>
      </c>
      <c r="E827" s="15">
        <v>198.36</v>
      </c>
    </row>
    <row r="828" spans="1:5" x14ac:dyDescent="0.2">
      <c r="A828" s="72">
        <v>65</v>
      </c>
      <c r="B828" s="16">
        <v>15.5</v>
      </c>
      <c r="C828" s="72">
        <v>300</v>
      </c>
      <c r="D828" s="15">
        <v>81.33</v>
      </c>
      <c r="E828" s="15">
        <v>198.91</v>
      </c>
    </row>
    <row r="829" spans="1:5" x14ac:dyDescent="0.2">
      <c r="A829" s="72">
        <v>65</v>
      </c>
      <c r="B829" s="16">
        <v>15.5</v>
      </c>
      <c r="C829" s="72">
        <v>500</v>
      </c>
      <c r="D829" s="15">
        <v>60.86</v>
      </c>
      <c r="E829" s="15">
        <v>199.13</v>
      </c>
    </row>
    <row r="830" spans="1:5" x14ac:dyDescent="0.2">
      <c r="A830" s="72">
        <v>65</v>
      </c>
      <c r="B830" s="16">
        <v>15.5</v>
      </c>
      <c r="C830" s="72">
        <v>700</v>
      </c>
      <c r="D830" s="15">
        <v>55.36</v>
      </c>
      <c r="E830" s="15">
        <v>199.22</v>
      </c>
    </row>
    <row r="831" spans="1:5" x14ac:dyDescent="0.2">
      <c r="A831" s="72">
        <v>65</v>
      </c>
      <c r="B831" s="16">
        <v>15.5</v>
      </c>
      <c r="C831" s="72">
        <v>1000</v>
      </c>
      <c r="D831" s="15">
        <v>47.12</v>
      </c>
      <c r="E831" s="15">
        <v>199.35</v>
      </c>
    </row>
    <row r="832" spans="1:5" x14ac:dyDescent="0.2">
      <c r="A832" s="72">
        <v>65</v>
      </c>
      <c r="B832" s="16">
        <v>15.5</v>
      </c>
      <c r="C832" s="72">
        <v>1300</v>
      </c>
      <c r="D832" s="15">
        <v>38.869999999999997</v>
      </c>
      <c r="E832" s="15">
        <v>199.48</v>
      </c>
    </row>
    <row r="833" spans="1:5" x14ac:dyDescent="0.2">
      <c r="A833" s="72">
        <v>65</v>
      </c>
      <c r="B833" s="16">
        <v>15.5</v>
      </c>
      <c r="C833" s="72">
        <v>1600</v>
      </c>
      <c r="D833" s="15">
        <v>30.62</v>
      </c>
      <c r="E833" s="15">
        <v>199.61</v>
      </c>
    </row>
    <row r="834" spans="1:5" x14ac:dyDescent="0.2">
      <c r="A834" s="72">
        <v>65</v>
      </c>
      <c r="B834" s="16">
        <v>16</v>
      </c>
      <c r="C834" s="72">
        <v>50</v>
      </c>
      <c r="D834" s="15">
        <v>168.58</v>
      </c>
      <c r="E834" s="15">
        <v>198.22</v>
      </c>
    </row>
    <row r="835" spans="1:5" x14ac:dyDescent="0.2">
      <c r="A835" s="72">
        <v>65</v>
      </c>
      <c r="B835" s="16">
        <v>16</v>
      </c>
      <c r="C835" s="72">
        <v>100</v>
      </c>
      <c r="D835" s="15">
        <v>150.75</v>
      </c>
      <c r="E835" s="15">
        <v>198.36</v>
      </c>
    </row>
    <row r="836" spans="1:5" x14ac:dyDescent="0.2">
      <c r="A836" s="72">
        <v>65</v>
      </c>
      <c r="B836" s="16">
        <v>16</v>
      </c>
      <c r="C836" s="72">
        <v>300</v>
      </c>
      <c r="D836" s="15">
        <v>79.42</v>
      </c>
      <c r="E836" s="15">
        <v>198.94</v>
      </c>
    </row>
    <row r="837" spans="1:5" x14ac:dyDescent="0.2">
      <c r="A837" s="72">
        <v>65</v>
      </c>
      <c r="B837" s="16">
        <v>16</v>
      </c>
      <c r="C837" s="72">
        <v>500</v>
      </c>
      <c r="D837" s="15">
        <v>59.83</v>
      </c>
      <c r="E837" s="15">
        <v>199.18</v>
      </c>
    </row>
    <row r="838" spans="1:5" x14ac:dyDescent="0.2">
      <c r="A838" s="72">
        <v>65</v>
      </c>
      <c r="B838" s="16">
        <v>16</v>
      </c>
      <c r="C838" s="72">
        <v>700</v>
      </c>
      <c r="D838" s="15">
        <v>54.54</v>
      </c>
      <c r="E838" s="15">
        <v>199.27</v>
      </c>
    </row>
    <row r="839" spans="1:5" x14ac:dyDescent="0.2">
      <c r="A839" s="72">
        <v>65</v>
      </c>
      <c r="B839" s="16">
        <v>16</v>
      </c>
      <c r="C839" s="72">
        <v>1000</v>
      </c>
      <c r="D839" s="15">
        <v>46.61</v>
      </c>
      <c r="E839" s="15">
        <v>199.42</v>
      </c>
    </row>
    <row r="840" spans="1:5" x14ac:dyDescent="0.2">
      <c r="A840" s="72">
        <v>65</v>
      </c>
      <c r="B840" s="16">
        <v>16</v>
      </c>
      <c r="C840" s="72">
        <v>1300</v>
      </c>
      <c r="D840" s="15">
        <v>38.68</v>
      </c>
      <c r="E840" s="15">
        <v>199.56</v>
      </c>
    </row>
    <row r="841" spans="1:5" x14ac:dyDescent="0.2">
      <c r="A841" s="72">
        <v>65</v>
      </c>
      <c r="B841" s="16">
        <v>16</v>
      </c>
      <c r="C841" s="72">
        <v>1600</v>
      </c>
      <c r="D841" s="15">
        <v>30.75</v>
      </c>
      <c r="E841" s="15">
        <v>199.7</v>
      </c>
    </row>
    <row r="842" spans="1:5" x14ac:dyDescent="0.2">
      <c r="A842" s="72">
        <v>95</v>
      </c>
      <c r="B842" s="16">
        <v>6</v>
      </c>
      <c r="C842" s="72">
        <v>50</v>
      </c>
      <c r="D842" s="15">
        <v>444.63</v>
      </c>
      <c r="E842" s="15">
        <v>215.97</v>
      </c>
    </row>
    <row r="843" spans="1:5" x14ac:dyDescent="0.2">
      <c r="A843" s="72">
        <v>95</v>
      </c>
      <c r="B843" s="16">
        <v>6</v>
      </c>
      <c r="C843" s="72">
        <v>100</v>
      </c>
      <c r="D843" s="15">
        <v>424.33</v>
      </c>
      <c r="E843" s="15">
        <v>215.95</v>
      </c>
    </row>
    <row r="844" spans="1:5" x14ac:dyDescent="0.2">
      <c r="A844" s="72">
        <v>95</v>
      </c>
      <c r="B844" s="16">
        <v>6</v>
      </c>
      <c r="C844" s="72">
        <v>300</v>
      </c>
      <c r="D844" s="15">
        <v>343.15</v>
      </c>
      <c r="E844" s="15">
        <v>215.87</v>
      </c>
    </row>
    <row r="845" spans="1:5" x14ac:dyDescent="0.2">
      <c r="A845" s="72">
        <v>95</v>
      </c>
      <c r="B845" s="16">
        <v>6</v>
      </c>
      <c r="C845" s="72">
        <v>500</v>
      </c>
      <c r="D845" s="15">
        <v>310.89999999999998</v>
      </c>
      <c r="E845" s="15">
        <v>215.84</v>
      </c>
    </row>
    <row r="846" spans="1:5" x14ac:dyDescent="0.2">
      <c r="A846" s="72">
        <v>95</v>
      </c>
      <c r="B846" s="16">
        <v>6</v>
      </c>
      <c r="C846" s="72">
        <v>700</v>
      </c>
      <c r="D846" s="15">
        <v>299.01</v>
      </c>
      <c r="E846" s="15">
        <v>215.83</v>
      </c>
    </row>
    <row r="847" spans="1:5" x14ac:dyDescent="0.2">
      <c r="A847" s="72">
        <v>95</v>
      </c>
      <c r="B847" s="16">
        <v>6</v>
      </c>
      <c r="C847" s="72">
        <v>1000</v>
      </c>
      <c r="D847" s="15">
        <v>281.17</v>
      </c>
      <c r="E847" s="15">
        <v>215.82</v>
      </c>
    </row>
    <row r="848" spans="1:5" x14ac:dyDescent="0.2">
      <c r="A848" s="72">
        <v>95</v>
      </c>
      <c r="B848" s="16">
        <v>6</v>
      </c>
      <c r="C848" s="72">
        <v>1300</v>
      </c>
      <c r="D848" s="15">
        <v>263.33</v>
      </c>
      <c r="E848" s="15">
        <v>215.81</v>
      </c>
    </row>
    <row r="849" spans="1:5" x14ac:dyDescent="0.2">
      <c r="A849" s="72">
        <v>95</v>
      </c>
      <c r="B849" s="16">
        <v>6</v>
      </c>
      <c r="C849" s="72">
        <v>1600</v>
      </c>
      <c r="D849" s="15">
        <v>245.49</v>
      </c>
      <c r="E849" s="15">
        <v>215.8</v>
      </c>
    </row>
    <row r="850" spans="1:5" x14ac:dyDescent="0.2">
      <c r="A850" s="72">
        <v>95</v>
      </c>
      <c r="B850" s="16">
        <v>6.5</v>
      </c>
      <c r="C850" s="72">
        <v>50</v>
      </c>
      <c r="D850" s="15">
        <v>420.54</v>
      </c>
      <c r="E850" s="15">
        <v>215.93</v>
      </c>
    </row>
    <row r="851" spans="1:5" x14ac:dyDescent="0.2">
      <c r="A851" s="72">
        <v>95</v>
      </c>
      <c r="B851" s="16">
        <v>6.5</v>
      </c>
      <c r="C851" s="72">
        <v>100</v>
      </c>
      <c r="D851" s="15">
        <v>400.19</v>
      </c>
      <c r="E851" s="15">
        <v>215.9</v>
      </c>
    </row>
    <row r="852" spans="1:5" x14ac:dyDescent="0.2">
      <c r="A852" s="72">
        <v>95</v>
      </c>
      <c r="B852" s="16">
        <v>6.5</v>
      </c>
      <c r="C852" s="72">
        <v>300</v>
      </c>
      <c r="D852" s="15">
        <v>318.77999999999997</v>
      </c>
      <c r="E852" s="15">
        <v>215.78</v>
      </c>
    </row>
    <row r="853" spans="1:5" x14ac:dyDescent="0.2">
      <c r="A853" s="72">
        <v>95</v>
      </c>
      <c r="B853" s="16">
        <v>6.5</v>
      </c>
      <c r="C853" s="72">
        <v>500</v>
      </c>
      <c r="D853" s="15">
        <v>286.89</v>
      </c>
      <c r="E853" s="15">
        <v>215.74</v>
      </c>
    </row>
    <row r="854" spans="1:5" x14ac:dyDescent="0.2">
      <c r="A854" s="72">
        <v>95</v>
      </c>
      <c r="B854" s="16">
        <v>6.5</v>
      </c>
      <c r="C854" s="72">
        <v>700</v>
      </c>
      <c r="D854" s="15">
        <v>275.29000000000002</v>
      </c>
      <c r="E854" s="15">
        <v>215.73</v>
      </c>
    </row>
    <row r="855" spans="1:5" x14ac:dyDescent="0.2">
      <c r="A855" s="72">
        <v>95</v>
      </c>
      <c r="B855" s="16">
        <v>6.5</v>
      </c>
      <c r="C855" s="72">
        <v>1000</v>
      </c>
      <c r="D855" s="15">
        <v>257.89</v>
      </c>
      <c r="E855" s="15">
        <v>215.71</v>
      </c>
    </row>
    <row r="856" spans="1:5" x14ac:dyDescent="0.2">
      <c r="A856" s="72">
        <v>95</v>
      </c>
      <c r="B856" s="16">
        <v>6.5</v>
      </c>
      <c r="C856" s="72">
        <v>1300</v>
      </c>
      <c r="D856" s="15">
        <v>240.48</v>
      </c>
      <c r="E856" s="15">
        <v>215.69</v>
      </c>
    </row>
    <row r="857" spans="1:5" x14ac:dyDescent="0.2">
      <c r="A857" s="72">
        <v>95</v>
      </c>
      <c r="B857" s="16">
        <v>6.5</v>
      </c>
      <c r="C857" s="72">
        <v>1600</v>
      </c>
      <c r="D857" s="15">
        <v>223.08</v>
      </c>
      <c r="E857" s="15">
        <v>215.67</v>
      </c>
    </row>
    <row r="858" spans="1:5" x14ac:dyDescent="0.2">
      <c r="A858" s="72">
        <v>95</v>
      </c>
      <c r="B858" s="16">
        <v>7</v>
      </c>
      <c r="C858" s="72">
        <v>50</v>
      </c>
      <c r="D858" s="15">
        <v>396.46</v>
      </c>
      <c r="E858" s="15">
        <v>215.88</v>
      </c>
    </row>
    <row r="859" spans="1:5" x14ac:dyDescent="0.2">
      <c r="A859" s="72">
        <v>95</v>
      </c>
      <c r="B859" s="16">
        <v>7</v>
      </c>
      <c r="C859" s="72">
        <v>100</v>
      </c>
      <c r="D859" s="15">
        <v>376.05</v>
      </c>
      <c r="E859" s="15">
        <v>215.84</v>
      </c>
    </row>
    <row r="860" spans="1:5" x14ac:dyDescent="0.2">
      <c r="A860" s="72">
        <v>95</v>
      </c>
      <c r="B860" s="16">
        <v>7</v>
      </c>
      <c r="C860" s="72">
        <v>300</v>
      </c>
      <c r="D860" s="15">
        <v>294.39999999999998</v>
      </c>
      <c r="E860" s="15">
        <v>215.7</v>
      </c>
    </row>
    <row r="861" spans="1:5" x14ac:dyDescent="0.2">
      <c r="A861" s="72">
        <v>95</v>
      </c>
      <c r="B861" s="16">
        <v>7</v>
      </c>
      <c r="C861" s="72">
        <v>500</v>
      </c>
      <c r="D861" s="15">
        <v>262.89</v>
      </c>
      <c r="E861" s="15">
        <v>215.64</v>
      </c>
    </row>
    <row r="862" spans="1:5" x14ac:dyDescent="0.2">
      <c r="A862" s="72">
        <v>95</v>
      </c>
      <c r="B862" s="16">
        <v>7</v>
      </c>
      <c r="C862" s="72">
        <v>700</v>
      </c>
      <c r="D862" s="15">
        <v>251.58</v>
      </c>
      <c r="E862" s="15">
        <v>215.62</v>
      </c>
    </row>
    <row r="863" spans="1:5" x14ac:dyDescent="0.2">
      <c r="A863" s="72">
        <v>95</v>
      </c>
      <c r="B863" s="16">
        <v>7</v>
      </c>
      <c r="C863" s="72">
        <v>1000</v>
      </c>
      <c r="D863" s="15">
        <v>234.61</v>
      </c>
      <c r="E863" s="15">
        <v>215.6</v>
      </c>
    </row>
    <row r="864" spans="1:5" x14ac:dyDescent="0.2">
      <c r="A864" s="72">
        <v>95</v>
      </c>
      <c r="B864" s="16">
        <v>7</v>
      </c>
      <c r="C864" s="72">
        <v>1300</v>
      </c>
      <c r="D864" s="15">
        <v>217.64</v>
      </c>
      <c r="E864" s="15">
        <v>215.58</v>
      </c>
    </row>
    <row r="865" spans="1:5" x14ac:dyDescent="0.2">
      <c r="A865" s="72">
        <v>95</v>
      </c>
      <c r="B865" s="16">
        <v>7</v>
      </c>
      <c r="C865" s="72">
        <v>1600</v>
      </c>
      <c r="D865" s="15">
        <v>200.67</v>
      </c>
      <c r="E865" s="15">
        <v>215.55</v>
      </c>
    </row>
    <row r="866" spans="1:5" x14ac:dyDescent="0.2">
      <c r="A866" s="72">
        <v>95</v>
      </c>
      <c r="B866" s="16">
        <v>7.5</v>
      </c>
      <c r="C866" s="72">
        <v>50</v>
      </c>
      <c r="D866" s="15">
        <v>372.37</v>
      </c>
      <c r="E866" s="15">
        <v>215.84</v>
      </c>
    </row>
    <row r="867" spans="1:5" x14ac:dyDescent="0.2">
      <c r="A867" s="72">
        <v>95</v>
      </c>
      <c r="B867" s="16">
        <v>7.5</v>
      </c>
      <c r="C867" s="72">
        <v>100</v>
      </c>
      <c r="D867" s="15">
        <v>351.9</v>
      </c>
      <c r="E867" s="15">
        <v>215.79</v>
      </c>
    </row>
    <row r="868" spans="1:5" x14ac:dyDescent="0.2">
      <c r="A868" s="72">
        <v>95</v>
      </c>
      <c r="B868" s="16">
        <v>7.5</v>
      </c>
      <c r="C868" s="72">
        <v>300</v>
      </c>
      <c r="D868" s="15">
        <v>270.02999999999997</v>
      </c>
      <c r="E868" s="15">
        <v>215.61</v>
      </c>
    </row>
    <row r="869" spans="1:5" x14ac:dyDescent="0.2">
      <c r="A869" s="72">
        <v>95</v>
      </c>
      <c r="B869" s="16">
        <v>7.5</v>
      </c>
      <c r="C869" s="72">
        <v>500</v>
      </c>
      <c r="D869" s="15">
        <v>238.88</v>
      </c>
      <c r="E869" s="15">
        <v>215.54</v>
      </c>
    </row>
    <row r="870" spans="1:5" x14ac:dyDescent="0.2">
      <c r="A870" s="72">
        <v>95</v>
      </c>
      <c r="B870" s="16">
        <v>7.5</v>
      </c>
      <c r="C870" s="72">
        <v>700</v>
      </c>
      <c r="D870" s="15">
        <v>227.86</v>
      </c>
      <c r="E870" s="15">
        <v>215.52</v>
      </c>
    </row>
    <row r="871" spans="1:5" x14ac:dyDescent="0.2">
      <c r="A871" s="72">
        <v>95</v>
      </c>
      <c r="B871" s="16">
        <v>7.5</v>
      </c>
      <c r="C871" s="72">
        <v>1000</v>
      </c>
      <c r="D871" s="15">
        <v>211.33</v>
      </c>
      <c r="E871" s="15">
        <v>215.49</v>
      </c>
    </row>
    <row r="872" spans="1:5" x14ac:dyDescent="0.2">
      <c r="A872" s="72">
        <v>95</v>
      </c>
      <c r="B872" s="16">
        <v>7.5</v>
      </c>
      <c r="C872" s="72">
        <v>1300</v>
      </c>
      <c r="D872" s="15">
        <v>194.79</v>
      </c>
      <c r="E872" s="15">
        <v>215.46</v>
      </c>
    </row>
    <row r="873" spans="1:5" x14ac:dyDescent="0.2">
      <c r="A873" s="72">
        <v>95</v>
      </c>
      <c r="B873" s="16">
        <v>7.5</v>
      </c>
      <c r="C873" s="72">
        <v>1600</v>
      </c>
      <c r="D873" s="15">
        <v>178.26</v>
      </c>
      <c r="E873" s="15">
        <v>215.43</v>
      </c>
    </row>
    <row r="874" spans="1:5" x14ac:dyDescent="0.2">
      <c r="A874" s="72">
        <v>95</v>
      </c>
      <c r="B874" s="16">
        <v>8</v>
      </c>
      <c r="C874" s="72">
        <v>50</v>
      </c>
      <c r="D874" s="15">
        <v>344.83</v>
      </c>
      <c r="E874" s="15">
        <v>215.82</v>
      </c>
    </row>
    <row r="875" spans="1:5" x14ac:dyDescent="0.2">
      <c r="A875" s="72">
        <v>95</v>
      </c>
      <c r="B875" s="16">
        <v>8</v>
      </c>
      <c r="C875" s="72">
        <v>100</v>
      </c>
      <c r="D875" s="15">
        <v>324.39999999999998</v>
      </c>
      <c r="E875" s="15">
        <v>215.78</v>
      </c>
    </row>
    <row r="876" spans="1:5" x14ac:dyDescent="0.2">
      <c r="A876" s="72">
        <v>95</v>
      </c>
      <c r="B876" s="16">
        <v>8</v>
      </c>
      <c r="C876" s="72">
        <v>300</v>
      </c>
      <c r="D876" s="15">
        <v>242.67</v>
      </c>
      <c r="E876" s="15">
        <v>215.62</v>
      </c>
    </row>
    <row r="877" spans="1:5" x14ac:dyDescent="0.2">
      <c r="A877" s="72">
        <v>95</v>
      </c>
      <c r="B877" s="16">
        <v>8</v>
      </c>
      <c r="C877" s="72">
        <v>500</v>
      </c>
      <c r="D877" s="15">
        <v>212.08</v>
      </c>
      <c r="E877" s="15">
        <v>215.56</v>
      </c>
    </row>
    <row r="878" spans="1:5" x14ac:dyDescent="0.2">
      <c r="A878" s="72">
        <v>95</v>
      </c>
      <c r="B878" s="16">
        <v>8</v>
      </c>
      <c r="C878" s="72">
        <v>700</v>
      </c>
      <c r="D878" s="15">
        <v>201.43</v>
      </c>
      <c r="E878" s="15">
        <v>215.54</v>
      </c>
    </row>
    <row r="879" spans="1:5" x14ac:dyDescent="0.2">
      <c r="A879" s="72">
        <v>95</v>
      </c>
      <c r="B879" s="16">
        <v>8</v>
      </c>
      <c r="C879" s="72">
        <v>1000</v>
      </c>
      <c r="D879" s="15">
        <v>185.45</v>
      </c>
      <c r="E879" s="15">
        <v>215.52</v>
      </c>
    </row>
    <row r="880" spans="1:5" x14ac:dyDescent="0.2">
      <c r="A880" s="72">
        <v>95</v>
      </c>
      <c r="B880" s="16">
        <v>8</v>
      </c>
      <c r="C880" s="72">
        <v>1300</v>
      </c>
      <c r="D880" s="15">
        <v>169.46</v>
      </c>
      <c r="E880" s="15">
        <v>215.5</v>
      </c>
    </row>
    <row r="881" spans="1:5" x14ac:dyDescent="0.2">
      <c r="A881" s="72">
        <v>95</v>
      </c>
      <c r="B881" s="16">
        <v>8</v>
      </c>
      <c r="C881" s="72">
        <v>1600</v>
      </c>
      <c r="D881" s="15">
        <v>153.47999999999999</v>
      </c>
      <c r="E881" s="15">
        <v>215.47</v>
      </c>
    </row>
    <row r="882" spans="1:5" x14ac:dyDescent="0.2">
      <c r="A882" s="72">
        <v>95</v>
      </c>
      <c r="B882" s="16">
        <v>8.5</v>
      </c>
      <c r="C882" s="72">
        <v>50</v>
      </c>
      <c r="D882" s="15">
        <v>330.18</v>
      </c>
      <c r="E882" s="15">
        <v>215.78</v>
      </c>
    </row>
    <row r="883" spans="1:5" x14ac:dyDescent="0.2">
      <c r="A883" s="72">
        <v>95</v>
      </c>
      <c r="B883" s="16">
        <v>8.5</v>
      </c>
      <c r="C883" s="72">
        <v>100</v>
      </c>
      <c r="D883" s="15">
        <v>309.68</v>
      </c>
      <c r="E883" s="15">
        <v>215.73</v>
      </c>
    </row>
    <row r="884" spans="1:5" x14ac:dyDescent="0.2">
      <c r="A884" s="72">
        <v>95</v>
      </c>
      <c r="B884" s="16">
        <v>8.5</v>
      </c>
      <c r="C884" s="72">
        <v>300</v>
      </c>
      <c r="D884" s="15">
        <v>227.69</v>
      </c>
      <c r="E884" s="15">
        <v>215.54</v>
      </c>
    </row>
    <row r="885" spans="1:5" x14ac:dyDescent="0.2">
      <c r="A885" s="72">
        <v>95</v>
      </c>
      <c r="B885" s="16">
        <v>8.5</v>
      </c>
      <c r="C885" s="72">
        <v>500</v>
      </c>
      <c r="D885" s="15">
        <v>197.5</v>
      </c>
      <c r="E885" s="15">
        <v>215.46</v>
      </c>
    </row>
    <row r="886" spans="1:5" x14ac:dyDescent="0.2">
      <c r="A886" s="72">
        <v>95</v>
      </c>
      <c r="B886" s="16">
        <v>8.5</v>
      </c>
      <c r="C886" s="72">
        <v>700</v>
      </c>
      <c r="D886" s="15">
        <v>187.14</v>
      </c>
      <c r="E886" s="15">
        <v>215.44</v>
      </c>
    </row>
    <row r="887" spans="1:5" x14ac:dyDescent="0.2">
      <c r="A887" s="72">
        <v>95</v>
      </c>
      <c r="B887" s="16">
        <v>8.5</v>
      </c>
      <c r="C887" s="72">
        <v>1000</v>
      </c>
      <c r="D887" s="15">
        <v>171.59</v>
      </c>
      <c r="E887" s="15">
        <v>215.41</v>
      </c>
    </row>
    <row r="888" spans="1:5" x14ac:dyDescent="0.2">
      <c r="A888" s="72">
        <v>95</v>
      </c>
      <c r="B888" s="16">
        <v>8.5</v>
      </c>
      <c r="C888" s="72">
        <v>1300</v>
      </c>
      <c r="D888" s="15">
        <v>156.04</v>
      </c>
      <c r="E888" s="15">
        <v>215.37</v>
      </c>
    </row>
    <row r="889" spans="1:5" x14ac:dyDescent="0.2">
      <c r="A889" s="72">
        <v>95</v>
      </c>
      <c r="B889" s="16">
        <v>8.5</v>
      </c>
      <c r="C889" s="72">
        <v>1600</v>
      </c>
      <c r="D889" s="15">
        <v>140.5</v>
      </c>
      <c r="E889" s="15">
        <v>215.34</v>
      </c>
    </row>
    <row r="890" spans="1:5" x14ac:dyDescent="0.2">
      <c r="A890" s="72">
        <v>95</v>
      </c>
      <c r="B890" s="16">
        <v>9</v>
      </c>
      <c r="C890" s="72">
        <v>50</v>
      </c>
      <c r="D890" s="15">
        <v>315.54000000000002</v>
      </c>
      <c r="E890" s="15">
        <v>215.75</v>
      </c>
    </row>
    <row r="891" spans="1:5" x14ac:dyDescent="0.2">
      <c r="A891" s="72">
        <v>95</v>
      </c>
      <c r="B891" s="16">
        <v>9</v>
      </c>
      <c r="C891" s="72">
        <v>100</v>
      </c>
      <c r="D891" s="15">
        <v>294.97000000000003</v>
      </c>
      <c r="E891" s="15">
        <v>215.69</v>
      </c>
    </row>
    <row r="892" spans="1:5" x14ac:dyDescent="0.2">
      <c r="A892" s="72">
        <v>95</v>
      </c>
      <c r="B892" s="16">
        <v>9</v>
      </c>
      <c r="C892" s="72">
        <v>300</v>
      </c>
      <c r="D892" s="15">
        <v>212.71</v>
      </c>
      <c r="E892" s="15">
        <v>215.45</v>
      </c>
    </row>
    <row r="893" spans="1:5" x14ac:dyDescent="0.2">
      <c r="A893" s="72">
        <v>95</v>
      </c>
      <c r="B893" s="16">
        <v>9</v>
      </c>
      <c r="C893" s="72">
        <v>500</v>
      </c>
      <c r="D893" s="15">
        <v>182.92</v>
      </c>
      <c r="E893" s="15">
        <v>215.35</v>
      </c>
    </row>
    <row r="894" spans="1:5" x14ac:dyDescent="0.2">
      <c r="A894" s="72">
        <v>95</v>
      </c>
      <c r="B894" s="16">
        <v>9</v>
      </c>
      <c r="C894" s="72">
        <v>700</v>
      </c>
      <c r="D894" s="15">
        <v>172.84</v>
      </c>
      <c r="E894" s="15">
        <v>215.32</v>
      </c>
    </row>
    <row r="895" spans="1:5" x14ac:dyDescent="0.2">
      <c r="A895" s="72">
        <v>95</v>
      </c>
      <c r="B895" s="16">
        <v>9</v>
      </c>
      <c r="C895" s="72">
        <v>1000</v>
      </c>
      <c r="D895" s="15">
        <v>157.72999999999999</v>
      </c>
      <c r="E895" s="15">
        <v>215.29</v>
      </c>
    </row>
    <row r="896" spans="1:5" x14ac:dyDescent="0.2">
      <c r="A896" s="72">
        <v>95</v>
      </c>
      <c r="B896" s="16">
        <v>9</v>
      </c>
      <c r="C896" s="72">
        <v>1300</v>
      </c>
      <c r="D896" s="15">
        <v>142.62</v>
      </c>
      <c r="E896" s="15">
        <v>215.25</v>
      </c>
    </row>
    <row r="897" spans="1:5" x14ac:dyDescent="0.2">
      <c r="A897" s="72">
        <v>95</v>
      </c>
      <c r="B897" s="16">
        <v>9</v>
      </c>
      <c r="C897" s="72">
        <v>1600</v>
      </c>
      <c r="D897" s="15">
        <v>127.5</v>
      </c>
      <c r="E897" s="15">
        <v>215.21</v>
      </c>
    </row>
    <row r="898" spans="1:5" x14ac:dyDescent="0.2">
      <c r="A898" s="72">
        <v>95</v>
      </c>
      <c r="B898" s="16">
        <v>9.5</v>
      </c>
      <c r="C898" s="72">
        <v>50</v>
      </c>
      <c r="D898" s="15">
        <v>297.44</v>
      </c>
      <c r="E898" s="15">
        <v>215.74</v>
      </c>
    </row>
    <row r="899" spans="1:5" x14ac:dyDescent="0.2">
      <c r="A899" s="72">
        <v>95</v>
      </c>
      <c r="B899" s="16">
        <v>9.5</v>
      </c>
      <c r="C899" s="72">
        <v>100</v>
      </c>
      <c r="D899" s="15">
        <v>276.89999999999998</v>
      </c>
      <c r="E899" s="15">
        <v>215.69</v>
      </c>
    </row>
    <row r="900" spans="1:5" x14ac:dyDescent="0.2">
      <c r="A900" s="72">
        <v>95</v>
      </c>
      <c r="B900" s="16">
        <v>9.5</v>
      </c>
      <c r="C900" s="72">
        <v>300</v>
      </c>
      <c r="D900" s="15">
        <v>194.73</v>
      </c>
      <c r="E900" s="15">
        <v>215.48</v>
      </c>
    </row>
    <row r="901" spans="1:5" x14ac:dyDescent="0.2">
      <c r="A901" s="72">
        <v>95</v>
      </c>
      <c r="B901" s="16">
        <v>9.5</v>
      </c>
      <c r="C901" s="72">
        <v>500</v>
      </c>
      <c r="D901" s="15">
        <v>165.53</v>
      </c>
      <c r="E901" s="15">
        <v>215.4</v>
      </c>
    </row>
    <row r="902" spans="1:5" x14ac:dyDescent="0.2">
      <c r="A902" s="72">
        <v>95</v>
      </c>
      <c r="B902" s="16">
        <v>9.5</v>
      </c>
      <c r="C902" s="72">
        <v>700</v>
      </c>
      <c r="D902" s="15">
        <v>155.83000000000001</v>
      </c>
      <c r="E902" s="15">
        <v>215.38</v>
      </c>
    </row>
    <row r="903" spans="1:5" x14ac:dyDescent="0.2">
      <c r="A903" s="72">
        <v>95</v>
      </c>
      <c r="B903" s="16">
        <v>9.5</v>
      </c>
      <c r="C903" s="72">
        <v>1000</v>
      </c>
      <c r="D903" s="15">
        <v>141.28</v>
      </c>
      <c r="E903" s="15">
        <v>215.34</v>
      </c>
    </row>
    <row r="904" spans="1:5" x14ac:dyDescent="0.2">
      <c r="A904" s="72">
        <v>95</v>
      </c>
      <c r="B904" s="16">
        <v>9.5</v>
      </c>
      <c r="C904" s="72">
        <v>1300</v>
      </c>
      <c r="D904" s="15">
        <v>126.73</v>
      </c>
      <c r="E904" s="15">
        <v>215.3</v>
      </c>
    </row>
    <row r="905" spans="1:5" x14ac:dyDescent="0.2">
      <c r="A905" s="72">
        <v>95</v>
      </c>
      <c r="B905" s="16">
        <v>9.5</v>
      </c>
      <c r="C905" s="72">
        <v>1600</v>
      </c>
      <c r="D905" s="15">
        <v>112.18</v>
      </c>
      <c r="E905" s="15">
        <v>215.27</v>
      </c>
    </row>
    <row r="906" spans="1:5" x14ac:dyDescent="0.2">
      <c r="A906" s="72">
        <v>95</v>
      </c>
      <c r="B906" s="16">
        <v>10</v>
      </c>
      <c r="C906" s="72">
        <v>50</v>
      </c>
      <c r="D906" s="15">
        <v>279.36</v>
      </c>
      <c r="E906" s="15">
        <v>215.75</v>
      </c>
    </row>
    <row r="907" spans="1:5" x14ac:dyDescent="0.2">
      <c r="A907" s="72">
        <v>95</v>
      </c>
      <c r="B907" s="16">
        <v>10</v>
      </c>
      <c r="C907" s="72">
        <v>100</v>
      </c>
      <c r="D907" s="15">
        <v>258.83</v>
      </c>
      <c r="E907" s="15">
        <v>215.7</v>
      </c>
    </row>
    <row r="908" spans="1:5" x14ac:dyDescent="0.2">
      <c r="A908" s="72">
        <v>95</v>
      </c>
      <c r="B908" s="16">
        <v>10</v>
      </c>
      <c r="C908" s="72">
        <v>300</v>
      </c>
      <c r="D908" s="15">
        <v>176.72</v>
      </c>
      <c r="E908" s="15">
        <v>215.52</v>
      </c>
    </row>
    <row r="909" spans="1:5" x14ac:dyDescent="0.2">
      <c r="A909" s="72">
        <v>95</v>
      </c>
      <c r="B909" s="16">
        <v>10</v>
      </c>
      <c r="C909" s="72">
        <v>500</v>
      </c>
      <c r="D909" s="15">
        <v>148.13</v>
      </c>
      <c r="E909" s="15">
        <v>215.46</v>
      </c>
    </row>
    <row r="910" spans="1:5" x14ac:dyDescent="0.2">
      <c r="A910" s="72">
        <v>95</v>
      </c>
      <c r="B910" s="16">
        <v>10</v>
      </c>
      <c r="C910" s="72">
        <v>700</v>
      </c>
      <c r="D910" s="15">
        <v>138.81</v>
      </c>
      <c r="E910" s="15">
        <v>215.44</v>
      </c>
    </row>
    <row r="911" spans="1:5" x14ac:dyDescent="0.2">
      <c r="A911" s="72">
        <v>95</v>
      </c>
      <c r="B911" s="16">
        <v>10</v>
      </c>
      <c r="C911" s="72">
        <v>1000</v>
      </c>
      <c r="D911" s="15">
        <v>124.84</v>
      </c>
      <c r="E911" s="15">
        <v>215.42</v>
      </c>
    </row>
    <row r="912" spans="1:5" x14ac:dyDescent="0.2">
      <c r="A912" s="72">
        <v>95</v>
      </c>
      <c r="B912" s="16">
        <v>10</v>
      </c>
      <c r="C912" s="72">
        <v>1300</v>
      </c>
      <c r="D912" s="15">
        <v>110.87</v>
      </c>
      <c r="E912" s="15">
        <v>215.39</v>
      </c>
    </row>
    <row r="913" spans="1:5" x14ac:dyDescent="0.2">
      <c r="A913" s="72">
        <v>95</v>
      </c>
      <c r="B913" s="16">
        <v>10</v>
      </c>
      <c r="C913" s="72">
        <v>1600</v>
      </c>
      <c r="D913" s="15">
        <v>96.89</v>
      </c>
      <c r="E913" s="15">
        <v>215.36</v>
      </c>
    </row>
    <row r="914" spans="1:5" x14ac:dyDescent="0.2">
      <c r="A914" s="72">
        <v>95</v>
      </c>
      <c r="B914" s="16">
        <v>10.5</v>
      </c>
      <c r="C914" s="72">
        <v>50</v>
      </c>
      <c r="D914" s="15">
        <v>272.97000000000003</v>
      </c>
      <c r="E914" s="15">
        <v>215.7</v>
      </c>
    </row>
    <row r="915" spans="1:5" x14ac:dyDescent="0.2">
      <c r="A915" s="72">
        <v>95</v>
      </c>
      <c r="B915" s="16">
        <v>10.5</v>
      </c>
      <c r="C915" s="72">
        <v>100</v>
      </c>
      <c r="D915" s="15">
        <v>252.28</v>
      </c>
      <c r="E915" s="15">
        <v>215.62</v>
      </c>
    </row>
    <row r="916" spans="1:5" x14ac:dyDescent="0.2">
      <c r="A916" s="72">
        <v>95</v>
      </c>
      <c r="B916" s="16">
        <v>10.5</v>
      </c>
      <c r="C916" s="72">
        <v>300</v>
      </c>
      <c r="D916" s="15">
        <v>169.52</v>
      </c>
      <c r="E916" s="15">
        <v>215.31</v>
      </c>
    </row>
    <row r="917" spans="1:5" x14ac:dyDescent="0.2">
      <c r="A917" s="72">
        <v>95</v>
      </c>
      <c r="B917" s="16">
        <v>10.5</v>
      </c>
      <c r="C917" s="72">
        <v>500</v>
      </c>
      <c r="D917" s="15">
        <v>141.16</v>
      </c>
      <c r="E917" s="15">
        <v>215.2</v>
      </c>
    </row>
    <row r="918" spans="1:5" x14ac:dyDescent="0.2">
      <c r="A918" s="72">
        <v>95</v>
      </c>
      <c r="B918" s="16">
        <v>10.5</v>
      </c>
      <c r="C918" s="72">
        <v>700</v>
      </c>
      <c r="D918" s="15">
        <v>132.04</v>
      </c>
      <c r="E918" s="15">
        <v>215.16</v>
      </c>
    </row>
    <row r="919" spans="1:5" x14ac:dyDescent="0.2">
      <c r="A919" s="72">
        <v>95</v>
      </c>
      <c r="B919" s="16">
        <v>10.5</v>
      </c>
      <c r="C919" s="72">
        <v>1000</v>
      </c>
      <c r="D919" s="15">
        <v>118.37</v>
      </c>
      <c r="E919" s="15">
        <v>215.11</v>
      </c>
    </row>
    <row r="920" spans="1:5" x14ac:dyDescent="0.2">
      <c r="A920" s="72">
        <v>95</v>
      </c>
      <c r="B920" s="16">
        <v>10.5</v>
      </c>
      <c r="C920" s="72">
        <v>1300</v>
      </c>
      <c r="D920" s="15">
        <v>104.7</v>
      </c>
      <c r="E920" s="15">
        <v>215.06</v>
      </c>
    </row>
    <row r="921" spans="1:5" x14ac:dyDescent="0.2">
      <c r="A921" s="72">
        <v>95</v>
      </c>
      <c r="B921" s="16">
        <v>10.5</v>
      </c>
      <c r="C921" s="72">
        <v>1600</v>
      </c>
      <c r="D921" s="15">
        <v>91.02</v>
      </c>
      <c r="E921" s="15">
        <v>215</v>
      </c>
    </row>
    <row r="922" spans="1:5" x14ac:dyDescent="0.2">
      <c r="A922" s="72">
        <v>95</v>
      </c>
      <c r="B922" s="16">
        <v>11</v>
      </c>
      <c r="C922" s="72">
        <v>50</v>
      </c>
      <c r="D922" s="15">
        <v>263.14999999999998</v>
      </c>
      <c r="E922" s="15">
        <v>215.67</v>
      </c>
    </row>
    <row r="923" spans="1:5" x14ac:dyDescent="0.2">
      <c r="A923" s="72">
        <v>95</v>
      </c>
      <c r="B923" s="16">
        <v>11</v>
      </c>
      <c r="C923" s="72">
        <v>100</v>
      </c>
      <c r="D923" s="15">
        <v>242.38</v>
      </c>
      <c r="E923" s="15">
        <v>215.58</v>
      </c>
    </row>
    <row r="924" spans="1:5" x14ac:dyDescent="0.2">
      <c r="A924" s="72">
        <v>95</v>
      </c>
      <c r="B924" s="16">
        <v>11</v>
      </c>
      <c r="C924" s="72">
        <v>300</v>
      </c>
      <c r="D924" s="15">
        <v>159.30000000000001</v>
      </c>
      <c r="E924" s="15">
        <v>215.22</v>
      </c>
    </row>
    <row r="925" spans="1:5" x14ac:dyDescent="0.2">
      <c r="A925" s="72">
        <v>95</v>
      </c>
      <c r="B925" s="16">
        <v>11</v>
      </c>
      <c r="C925" s="72">
        <v>500</v>
      </c>
      <c r="D925" s="15">
        <v>131.37</v>
      </c>
      <c r="E925" s="15">
        <v>215.09</v>
      </c>
    </row>
    <row r="926" spans="1:5" x14ac:dyDescent="0.2">
      <c r="A926" s="72">
        <v>95</v>
      </c>
      <c r="B926" s="16">
        <v>11</v>
      </c>
      <c r="C926" s="72">
        <v>700</v>
      </c>
      <c r="D926" s="15">
        <v>122.55</v>
      </c>
      <c r="E926" s="15">
        <v>215.05</v>
      </c>
    </row>
    <row r="927" spans="1:5" x14ac:dyDescent="0.2">
      <c r="A927" s="72">
        <v>95</v>
      </c>
      <c r="B927" s="16">
        <v>11</v>
      </c>
      <c r="C927" s="72">
        <v>1000</v>
      </c>
      <c r="D927" s="15">
        <v>109.31</v>
      </c>
      <c r="E927" s="15">
        <v>214.99</v>
      </c>
    </row>
    <row r="928" spans="1:5" x14ac:dyDescent="0.2">
      <c r="A928" s="72">
        <v>95</v>
      </c>
      <c r="B928" s="16">
        <v>11</v>
      </c>
      <c r="C928" s="72">
        <v>1300</v>
      </c>
      <c r="D928" s="15">
        <v>96.07</v>
      </c>
      <c r="E928" s="15">
        <v>214.93</v>
      </c>
    </row>
    <row r="929" spans="1:5" x14ac:dyDescent="0.2">
      <c r="A929" s="72">
        <v>95</v>
      </c>
      <c r="B929" s="16">
        <v>11</v>
      </c>
      <c r="C929" s="72">
        <v>1600</v>
      </c>
      <c r="D929" s="15">
        <v>82.84</v>
      </c>
      <c r="E929" s="15">
        <v>214.87</v>
      </c>
    </row>
    <row r="930" spans="1:5" x14ac:dyDescent="0.2">
      <c r="A930" s="72">
        <v>95</v>
      </c>
      <c r="B930" s="16">
        <v>11.5</v>
      </c>
      <c r="C930" s="72">
        <v>50</v>
      </c>
      <c r="D930" s="15">
        <v>256.74</v>
      </c>
      <c r="E930" s="15">
        <v>215.61</v>
      </c>
    </row>
    <row r="931" spans="1:5" x14ac:dyDescent="0.2">
      <c r="A931" s="72">
        <v>95</v>
      </c>
      <c r="B931" s="16">
        <v>11.5</v>
      </c>
      <c r="C931" s="72">
        <v>100</v>
      </c>
      <c r="D931" s="15">
        <v>235.82</v>
      </c>
      <c r="E931" s="15">
        <v>215.49</v>
      </c>
    </row>
    <row r="932" spans="1:5" x14ac:dyDescent="0.2">
      <c r="A932" s="72">
        <v>95</v>
      </c>
      <c r="B932" s="16">
        <v>11.5</v>
      </c>
      <c r="C932" s="72">
        <v>300</v>
      </c>
      <c r="D932" s="15">
        <v>152.13</v>
      </c>
      <c r="E932" s="15">
        <v>215</v>
      </c>
    </row>
    <row r="933" spans="1:5" x14ac:dyDescent="0.2">
      <c r="A933" s="72">
        <v>95</v>
      </c>
      <c r="B933" s="16">
        <v>11.5</v>
      </c>
      <c r="C933" s="72">
        <v>500</v>
      </c>
      <c r="D933" s="15">
        <v>124.42</v>
      </c>
      <c r="E933" s="15">
        <v>214.8</v>
      </c>
    </row>
    <row r="934" spans="1:5" x14ac:dyDescent="0.2">
      <c r="A934" s="72">
        <v>95</v>
      </c>
      <c r="B934" s="16">
        <v>11.5</v>
      </c>
      <c r="C934" s="72">
        <v>700</v>
      </c>
      <c r="D934" s="15">
        <v>115.78</v>
      </c>
      <c r="E934" s="15">
        <v>214.74</v>
      </c>
    </row>
    <row r="935" spans="1:5" x14ac:dyDescent="0.2">
      <c r="A935" s="72">
        <v>95</v>
      </c>
      <c r="B935" s="16">
        <v>11.5</v>
      </c>
      <c r="C935" s="72">
        <v>1000</v>
      </c>
      <c r="D935" s="15">
        <v>102.82</v>
      </c>
      <c r="E935" s="15">
        <v>214.66</v>
      </c>
    </row>
    <row r="936" spans="1:5" x14ac:dyDescent="0.2">
      <c r="A936" s="72">
        <v>95</v>
      </c>
      <c r="B936" s="16">
        <v>11.5</v>
      </c>
      <c r="C936" s="72">
        <v>1300</v>
      </c>
      <c r="D936" s="15">
        <v>89.86</v>
      </c>
      <c r="E936" s="15">
        <v>214.57</v>
      </c>
    </row>
    <row r="937" spans="1:5" x14ac:dyDescent="0.2">
      <c r="A937" s="72">
        <v>95</v>
      </c>
      <c r="B937" s="16">
        <v>11.5</v>
      </c>
      <c r="C937" s="72">
        <v>1600</v>
      </c>
      <c r="D937" s="15">
        <v>76.900000000000006</v>
      </c>
      <c r="E937" s="15">
        <v>214.48</v>
      </c>
    </row>
    <row r="938" spans="1:5" x14ac:dyDescent="0.2">
      <c r="A938" s="72">
        <v>95</v>
      </c>
      <c r="B938" s="16">
        <v>12</v>
      </c>
      <c r="C938" s="72">
        <v>50</v>
      </c>
      <c r="D938" s="15">
        <v>246.91</v>
      </c>
      <c r="E938" s="15">
        <v>215.6</v>
      </c>
    </row>
    <row r="939" spans="1:5" x14ac:dyDescent="0.2">
      <c r="A939" s="72">
        <v>95</v>
      </c>
      <c r="B939" s="16">
        <v>12</v>
      </c>
      <c r="C939" s="72">
        <v>100</v>
      </c>
      <c r="D939" s="15">
        <v>225.91</v>
      </c>
      <c r="E939" s="15">
        <v>215.46</v>
      </c>
    </row>
    <row r="940" spans="1:5" x14ac:dyDescent="0.2">
      <c r="A940" s="72">
        <v>95</v>
      </c>
      <c r="B940" s="16">
        <v>12</v>
      </c>
      <c r="C940" s="72">
        <v>300</v>
      </c>
      <c r="D940" s="15">
        <v>141.93</v>
      </c>
      <c r="E940" s="15">
        <v>214.9</v>
      </c>
    </row>
    <row r="941" spans="1:5" x14ac:dyDescent="0.2">
      <c r="A941" s="72">
        <v>95</v>
      </c>
      <c r="B941" s="16">
        <v>12</v>
      </c>
      <c r="C941" s="72">
        <v>500</v>
      </c>
      <c r="D941" s="15">
        <v>114.64</v>
      </c>
      <c r="E941" s="15">
        <v>214.68</v>
      </c>
    </row>
    <row r="942" spans="1:5" x14ac:dyDescent="0.2">
      <c r="A942" s="72">
        <v>95</v>
      </c>
      <c r="B942" s="16">
        <v>12</v>
      </c>
      <c r="C942" s="72">
        <v>700</v>
      </c>
      <c r="D942" s="15">
        <v>106.29</v>
      </c>
      <c r="E942" s="15">
        <v>214.62</v>
      </c>
    </row>
    <row r="943" spans="1:5" x14ac:dyDescent="0.2">
      <c r="A943" s="72">
        <v>95</v>
      </c>
      <c r="B943" s="16">
        <v>12</v>
      </c>
      <c r="C943" s="72">
        <v>1000</v>
      </c>
      <c r="D943" s="15">
        <v>93.76</v>
      </c>
      <c r="E943" s="15">
        <v>214.52</v>
      </c>
    </row>
    <row r="944" spans="1:5" x14ac:dyDescent="0.2">
      <c r="A944" s="72">
        <v>95</v>
      </c>
      <c r="B944" s="16">
        <v>12</v>
      </c>
      <c r="C944" s="72">
        <v>1300</v>
      </c>
      <c r="D944" s="15">
        <v>81.23</v>
      </c>
      <c r="E944" s="15">
        <v>214.42</v>
      </c>
    </row>
    <row r="945" spans="1:5" x14ac:dyDescent="0.2">
      <c r="A945" s="72">
        <v>95</v>
      </c>
      <c r="B945" s="16">
        <v>12</v>
      </c>
      <c r="C945" s="72">
        <v>1600</v>
      </c>
      <c r="D945" s="15">
        <v>68.7</v>
      </c>
      <c r="E945" s="15">
        <v>214.33</v>
      </c>
    </row>
    <row r="946" spans="1:5" x14ac:dyDescent="0.2">
      <c r="A946" s="72">
        <v>95</v>
      </c>
      <c r="B946" s="16">
        <v>12.5</v>
      </c>
      <c r="C946" s="72">
        <v>50</v>
      </c>
      <c r="D946" s="15">
        <v>239.9</v>
      </c>
      <c r="E946" s="15">
        <v>215.59</v>
      </c>
    </row>
    <row r="947" spans="1:5" x14ac:dyDescent="0.2">
      <c r="A947" s="72">
        <v>95</v>
      </c>
      <c r="B947" s="16">
        <v>12.5</v>
      </c>
      <c r="C947" s="72">
        <v>100</v>
      </c>
      <c r="D947" s="15">
        <v>218.81</v>
      </c>
      <c r="E947" s="15">
        <v>215.43</v>
      </c>
    </row>
    <row r="948" spans="1:5" x14ac:dyDescent="0.2">
      <c r="A948" s="72">
        <v>95</v>
      </c>
      <c r="B948" s="16">
        <v>12.5</v>
      </c>
      <c r="C948" s="72">
        <v>300</v>
      </c>
      <c r="D948" s="15">
        <v>134.47</v>
      </c>
      <c r="E948" s="15">
        <v>214.79</v>
      </c>
    </row>
    <row r="949" spans="1:5" x14ac:dyDescent="0.2">
      <c r="A949" s="72">
        <v>95</v>
      </c>
      <c r="B949" s="16">
        <v>12.5</v>
      </c>
      <c r="C949" s="72">
        <v>500</v>
      </c>
      <c r="D949" s="15">
        <v>107.65</v>
      </c>
      <c r="E949" s="15">
        <v>214.55</v>
      </c>
    </row>
    <row r="950" spans="1:5" x14ac:dyDescent="0.2">
      <c r="A950" s="72">
        <v>95</v>
      </c>
      <c r="B950" s="16">
        <v>12.5</v>
      </c>
      <c r="C950" s="72">
        <v>700</v>
      </c>
      <c r="D950" s="15">
        <v>99.58</v>
      </c>
      <c r="E950" s="15">
        <v>214.48</v>
      </c>
    </row>
    <row r="951" spans="1:5" x14ac:dyDescent="0.2">
      <c r="A951" s="72">
        <v>95</v>
      </c>
      <c r="B951" s="16">
        <v>12.5</v>
      </c>
      <c r="C951" s="72">
        <v>1000</v>
      </c>
      <c r="D951" s="15">
        <v>87.49</v>
      </c>
      <c r="E951" s="15">
        <v>214.37</v>
      </c>
    </row>
    <row r="952" spans="1:5" x14ac:dyDescent="0.2">
      <c r="A952" s="72">
        <v>95</v>
      </c>
      <c r="B952" s="16">
        <v>12.5</v>
      </c>
      <c r="C952" s="72">
        <v>1300</v>
      </c>
      <c r="D952" s="15">
        <v>75.39</v>
      </c>
      <c r="E952" s="15">
        <v>214.26</v>
      </c>
    </row>
    <row r="953" spans="1:5" x14ac:dyDescent="0.2">
      <c r="A953" s="72">
        <v>95</v>
      </c>
      <c r="B953" s="16">
        <v>12.5</v>
      </c>
      <c r="C953" s="72">
        <v>1600</v>
      </c>
      <c r="D953" s="15">
        <v>63.29</v>
      </c>
      <c r="E953" s="15">
        <v>214.15</v>
      </c>
    </row>
    <row r="954" spans="1:5" x14ac:dyDescent="0.2">
      <c r="A954" s="72">
        <v>95</v>
      </c>
      <c r="B954" s="16">
        <v>13</v>
      </c>
      <c r="C954" s="72">
        <v>50</v>
      </c>
      <c r="D954" s="15">
        <v>229.52</v>
      </c>
      <c r="E954" s="15">
        <v>215.6</v>
      </c>
    </row>
    <row r="955" spans="1:5" x14ac:dyDescent="0.2">
      <c r="A955" s="72">
        <v>95</v>
      </c>
      <c r="B955" s="16">
        <v>13</v>
      </c>
      <c r="C955" s="72">
        <v>100</v>
      </c>
      <c r="D955" s="15">
        <v>208.4</v>
      </c>
      <c r="E955" s="15">
        <v>215.45</v>
      </c>
    </row>
    <row r="956" spans="1:5" x14ac:dyDescent="0.2">
      <c r="A956" s="72">
        <v>95</v>
      </c>
      <c r="B956" s="16">
        <v>13</v>
      </c>
      <c r="C956" s="72">
        <v>300</v>
      </c>
      <c r="D956" s="15">
        <v>123.91</v>
      </c>
      <c r="E956" s="15">
        <v>214.85</v>
      </c>
    </row>
    <row r="957" spans="1:5" x14ac:dyDescent="0.2">
      <c r="A957" s="72">
        <v>95</v>
      </c>
      <c r="B957" s="16">
        <v>13</v>
      </c>
      <c r="C957" s="72">
        <v>500</v>
      </c>
      <c r="D957" s="15">
        <v>97.82</v>
      </c>
      <c r="E957" s="15">
        <v>214.61</v>
      </c>
    </row>
    <row r="958" spans="1:5" x14ac:dyDescent="0.2">
      <c r="A958" s="72">
        <v>95</v>
      </c>
      <c r="B958" s="16">
        <v>13</v>
      </c>
      <c r="C958" s="72">
        <v>700</v>
      </c>
      <c r="D958" s="15">
        <v>90.16</v>
      </c>
      <c r="E958" s="15">
        <v>214.55</v>
      </c>
    </row>
    <row r="959" spans="1:5" x14ac:dyDescent="0.2">
      <c r="A959" s="72">
        <v>95</v>
      </c>
      <c r="B959" s="16">
        <v>13</v>
      </c>
      <c r="C959" s="72">
        <v>1000</v>
      </c>
      <c r="D959" s="15">
        <v>78.680000000000007</v>
      </c>
      <c r="E959" s="15">
        <v>214.45</v>
      </c>
    </row>
    <row r="960" spans="1:5" x14ac:dyDescent="0.2">
      <c r="A960" s="72">
        <v>95</v>
      </c>
      <c r="B960" s="16">
        <v>13</v>
      </c>
      <c r="C960" s="72">
        <v>1300</v>
      </c>
      <c r="D960" s="15">
        <v>67.2</v>
      </c>
      <c r="E960" s="15">
        <v>214.35</v>
      </c>
    </row>
    <row r="961" spans="1:5" x14ac:dyDescent="0.2">
      <c r="A961" s="72">
        <v>95</v>
      </c>
      <c r="B961" s="16">
        <v>13</v>
      </c>
      <c r="C961" s="72">
        <v>1600</v>
      </c>
      <c r="D961" s="15">
        <v>55.71</v>
      </c>
      <c r="E961" s="15">
        <v>214.26</v>
      </c>
    </row>
    <row r="962" spans="1:5" x14ac:dyDescent="0.2">
      <c r="A962" s="72">
        <v>95</v>
      </c>
      <c r="B962" s="16">
        <v>13.5</v>
      </c>
      <c r="C962" s="72">
        <v>50</v>
      </c>
      <c r="D962" s="15">
        <v>222.53</v>
      </c>
      <c r="E962" s="15">
        <v>215.59</v>
      </c>
    </row>
    <row r="963" spans="1:5" x14ac:dyDescent="0.2">
      <c r="A963" s="72">
        <v>95</v>
      </c>
      <c r="B963" s="16">
        <v>13.5</v>
      </c>
      <c r="C963" s="72">
        <v>100</v>
      </c>
      <c r="D963" s="15">
        <v>201.31</v>
      </c>
      <c r="E963" s="15">
        <v>215.42</v>
      </c>
    </row>
    <row r="964" spans="1:5" x14ac:dyDescent="0.2">
      <c r="A964" s="72">
        <v>95</v>
      </c>
      <c r="B964" s="16">
        <v>13.5</v>
      </c>
      <c r="C964" s="72">
        <v>300</v>
      </c>
      <c r="D964" s="15">
        <v>116.44</v>
      </c>
      <c r="E964" s="15">
        <v>214.74</v>
      </c>
    </row>
    <row r="965" spans="1:5" x14ac:dyDescent="0.2">
      <c r="A965" s="72">
        <v>95</v>
      </c>
      <c r="B965" s="16">
        <v>13.5</v>
      </c>
      <c r="C965" s="72">
        <v>500</v>
      </c>
      <c r="D965" s="15">
        <v>90.83</v>
      </c>
      <c r="E965" s="15">
        <v>214.48</v>
      </c>
    </row>
    <row r="966" spans="1:5" x14ac:dyDescent="0.2">
      <c r="A966" s="72">
        <v>95</v>
      </c>
      <c r="B966" s="16">
        <v>13.5</v>
      </c>
      <c r="C966" s="72">
        <v>700</v>
      </c>
      <c r="D966" s="15">
        <v>83.47</v>
      </c>
      <c r="E966" s="15">
        <v>214.41</v>
      </c>
    </row>
    <row r="967" spans="1:5" x14ac:dyDescent="0.2">
      <c r="A967" s="72">
        <v>95</v>
      </c>
      <c r="B967" s="16">
        <v>13.5</v>
      </c>
      <c r="C967" s="72">
        <v>1000</v>
      </c>
      <c r="D967" s="15">
        <v>72.42</v>
      </c>
      <c r="E967" s="15">
        <v>214.31</v>
      </c>
    </row>
    <row r="968" spans="1:5" x14ac:dyDescent="0.2">
      <c r="A968" s="72">
        <v>95</v>
      </c>
      <c r="B968" s="16">
        <v>13.5</v>
      </c>
      <c r="C968" s="72">
        <v>1300</v>
      </c>
      <c r="D968" s="15">
        <v>61.37</v>
      </c>
      <c r="E968" s="15">
        <v>214.2</v>
      </c>
    </row>
    <row r="969" spans="1:5" x14ac:dyDescent="0.2">
      <c r="A969" s="72">
        <v>95</v>
      </c>
      <c r="B969" s="16">
        <v>13.5</v>
      </c>
      <c r="C969" s="72">
        <v>1600</v>
      </c>
      <c r="D969" s="15">
        <v>50.33</v>
      </c>
      <c r="E969" s="15">
        <v>214.1</v>
      </c>
    </row>
    <row r="970" spans="1:5" x14ac:dyDescent="0.2">
      <c r="A970" s="72">
        <v>95</v>
      </c>
      <c r="B970" s="16">
        <v>14</v>
      </c>
      <c r="C970" s="72">
        <v>50</v>
      </c>
      <c r="D970" s="15">
        <v>202.22</v>
      </c>
      <c r="E970" s="15">
        <v>215.68</v>
      </c>
    </row>
    <row r="971" spans="1:5" x14ac:dyDescent="0.2">
      <c r="A971" s="72">
        <v>95</v>
      </c>
      <c r="B971" s="16">
        <v>14</v>
      </c>
      <c r="C971" s="72">
        <v>100</v>
      </c>
      <c r="D971" s="15">
        <v>181.06</v>
      </c>
      <c r="E971" s="15">
        <v>215.61</v>
      </c>
    </row>
    <row r="972" spans="1:5" x14ac:dyDescent="0.2">
      <c r="A972" s="72">
        <v>95</v>
      </c>
      <c r="B972" s="16">
        <v>14</v>
      </c>
      <c r="C972" s="72">
        <v>300</v>
      </c>
      <c r="D972" s="15">
        <v>96.44</v>
      </c>
      <c r="E972" s="15">
        <v>215.34</v>
      </c>
    </row>
    <row r="973" spans="1:5" x14ac:dyDescent="0.2">
      <c r="A973" s="72">
        <v>95</v>
      </c>
      <c r="B973" s="16">
        <v>14</v>
      </c>
      <c r="C973" s="72">
        <v>500</v>
      </c>
      <c r="D973" s="15">
        <v>72.459999999999994</v>
      </c>
      <c r="E973" s="15">
        <v>215.24</v>
      </c>
    </row>
    <row r="974" spans="1:5" x14ac:dyDescent="0.2">
      <c r="A974" s="72">
        <v>95</v>
      </c>
      <c r="B974" s="16">
        <v>14</v>
      </c>
      <c r="C974" s="72">
        <v>700</v>
      </c>
      <c r="D974" s="15">
        <v>65.930000000000007</v>
      </c>
      <c r="E974" s="15">
        <v>215.23</v>
      </c>
    </row>
    <row r="975" spans="1:5" x14ac:dyDescent="0.2">
      <c r="A975" s="72">
        <v>95</v>
      </c>
      <c r="B975" s="16">
        <v>14</v>
      </c>
      <c r="C975" s="72">
        <v>1000</v>
      </c>
      <c r="D975" s="15">
        <v>56.14</v>
      </c>
      <c r="E975" s="15">
        <v>215.21</v>
      </c>
    </row>
    <row r="976" spans="1:5" x14ac:dyDescent="0.2">
      <c r="A976" s="72">
        <v>95</v>
      </c>
      <c r="B976" s="16">
        <v>14</v>
      </c>
      <c r="C976" s="72">
        <v>1300</v>
      </c>
      <c r="D976" s="15">
        <v>46.34</v>
      </c>
      <c r="E976" s="15">
        <v>215.19</v>
      </c>
    </row>
    <row r="977" spans="1:5" x14ac:dyDescent="0.2">
      <c r="A977" s="72">
        <v>95</v>
      </c>
      <c r="B977" s="16">
        <v>14</v>
      </c>
      <c r="C977" s="72">
        <v>1600</v>
      </c>
      <c r="D977" s="15">
        <v>36.549999999999997</v>
      </c>
      <c r="E977" s="15">
        <v>215.17</v>
      </c>
    </row>
    <row r="978" spans="1:5" x14ac:dyDescent="0.2">
      <c r="A978" s="72">
        <v>95</v>
      </c>
      <c r="B978" s="16">
        <v>14.5</v>
      </c>
      <c r="C978" s="72">
        <v>50</v>
      </c>
      <c r="D978" s="15">
        <v>189.59</v>
      </c>
      <c r="E978" s="15">
        <v>215.7</v>
      </c>
    </row>
    <row r="979" spans="1:5" x14ac:dyDescent="0.2">
      <c r="A979" s="72">
        <v>95</v>
      </c>
      <c r="B979" s="16">
        <v>14.5</v>
      </c>
      <c r="C979" s="72">
        <v>100</v>
      </c>
      <c r="D979" s="15">
        <v>169.3</v>
      </c>
      <c r="E979" s="15">
        <v>215.7</v>
      </c>
    </row>
    <row r="980" spans="1:5" x14ac:dyDescent="0.2">
      <c r="A980" s="72">
        <v>95</v>
      </c>
      <c r="B980" s="16">
        <v>14.5</v>
      </c>
      <c r="C980" s="72">
        <v>300</v>
      </c>
      <c r="D980" s="15">
        <v>88.13</v>
      </c>
      <c r="E980" s="15">
        <v>215.71</v>
      </c>
    </row>
    <row r="981" spans="1:5" x14ac:dyDescent="0.2">
      <c r="A981" s="72">
        <v>95</v>
      </c>
      <c r="B981" s="16">
        <v>14.5</v>
      </c>
      <c r="C981" s="72">
        <v>500</v>
      </c>
      <c r="D981" s="15">
        <v>65.599999999999994</v>
      </c>
      <c r="E981" s="15">
        <v>215.74</v>
      </c>
    </row>
    <row r="982" spans="1:5" x14ac:dyDescent="0.2">
      <c r="A982" s="72">
        <v>95</v>
      </c>
      <c r="B982" s="16">
        <v>14.5</v>
      </c>
      <c r="C982" s="72">
        <v>700</v>
      </c>
      <c r="D982" s="15">
        <v>59.55</v>
      </c>
      <c r="E982" s="15">
        <v>215.77</v>
      </c>
    </row>
    <row r="983" spans="1:5" x14ac:dyDescent="0.2">
      <c r="A983" s="72">
        <v>95</v>
      </c>
      <c r="B983" s="16">
        <v>14.5</v>
      </c>
      <c r="C983" s="72">
        <v>1000</v>
      </c>
      <c r="D983" s="15">
        <v>50.49</v>
      </c>
      <c r="E983" s="15">
        <v>215.81</v>
      </c>
    </row>
    <row r="984" spans="1:5" x14ac:dyDescent="0.2">
      <c r="A984" s="72">
        <v>95</v>
      </c>
      <c r="B984" s="16">
        <v>14.5</v>
      </c>
      <c r="C984" s="72">
        <v>1300</v>
      </c>
      <c r="D984" s="15">
        <v>41.42</v>
      </c>
      <c r="E984" s="15">
        <v>215.85</v>
      </c>
    </row>
    <row r="985" spans="1:5" x14ac:dyDescent="0.2">
      <c r="A985" s="72">
        <v>95</v>
      </c>
      <c r="B985" s="16">
        <v>14.5</v>
      </c>
      <c r="C985" s="72">
        <v>1600</v>
      </c>
      <c r="D985" s="15">
        <v>32.35</v>
      </c>
      <c r="E985" s="15">
        <v>215.89</v>
      </c>
    </row>
    <row r="986" spans="1:5" x14ac:dyDescent="0.2">
      <c r="A986" s="72">
        <v>95</v>
      </c>
      <c r="B986" s="16">
        <v>15</v>
      </c>
      <c r="C986" s="72">
        <v>50</v>
      </c>
      <c r="D986" s="15">
        <v>180.41</v>
      </c>
      <c r="E986" s="15">
        <v>215.7</v>
      </c>
    </row>
    <row r="987" spans="1:5" x14ac:dyDescent="0.2">
      <c r="A987" s="72">
        <v>95</v>
      </c>
      <c r="B987" s="16">
        <v>15</v>
      </c>
      <c r="C987" s="72">
        <v>100</v>
      </c>
      <c r="D987" s="15">
        <v>160.97</v>
      </c>
      <c r="E987" s="15">
        <v>215.74</v>
      </c>
    </row>
    <row r="988" spans="1:5" x14ac:dyDescent="0.2">
      <c r="A988" s="72">
        <v>95</v>
      </c>
      <c r="B988" s="16">
        <v>15</v>
      </c>
      <c r="C988" s="72">
        <v>300</v>
      </c>
      <c r="D988" s="15">
        <v>83.23</v>
      </c>
      <c r="E988" s="15">
        <v>215.92</v>
      </c>
    </row>
    <row r="989" spans="1:5" x14ac:dyDescent="0.2">
      <c r="A989" s="72">
        <v>95</v>
      </c>
      <c r="B989" s="16">
        <v>15</v>
      </c>
      <c r="C989" s="72">
        <v>500</v>
      </c>
      <c r="D989" s="15">
        <v>61.88</v>
      </c>
      <c r="E989" s="15">
        <v>216.01</v>
      </c>
    </row>
    <row r="990" spans="1:5" x14ac:dyDescent="0.2">
      <c r="A990" s="72">
        <v>95</v>
      </c>
      <c r="B990" s="16">
        <v>15</v>
      </c>
      <c r="C990" s="72">
        <v>700</v>
      </c>
      <c r="D990" s="15">
        <v>56.17</v>
      </c>
      <c r="E990" s="15">
        <v>216.06</v>
      </c>
    </row>
    <row r="991" spans="1:5" x14ac:dyDescent="0.2">
      <c r="A991" s="72">
        <v>95</v>
      </c>
      <c r="B991" s="16">
        <v>15</v>
      </c>
      <c r="C991" s="72">
        <v>1000</v>
      </c>
      <c r="D991" s="15">
        <v>47.61</v>
      </c>
      <c r="E991" s="15">
        <v>216.14</v>
      </c>
    </row>
    <row r="992" spans="1:5" x14ac:dyDescent="0.2">
      <c r="A992" s="72">
        <v>95</v>
      </c>
      <c r="B992" s="16">
        <v>15</v>
      </c>
      <c r="C992" s="72">
        <v>1300</v>
      </c>
      <c r="D992" s="15">
        <v>39.049999999999997</v>
      </c>
      <c r="E992" s="15">
        <v>216.21</v>
      </c>
    </row>
    <row r="993" spans="1:5" x14ac:dyDescent="0.2">
      <c r="A993" s="72">
        <v>95</v>
      </c>
      <c r="B993" s="16">
        <v>15</v>
      </c>
      <c r="C993" s="72">
        <v>1600</v>
      </c>
      <c r="D993" s="15">
        <v>30.49</v>
      </c>
      <c r="E993" s="15">
        <v>216.29</v>
      </c>
    </row>
    <row r="994" spans="1:5" x14ac:dyDescent="0.2">
      <c r="A994" s="72">
        <v>95</v>
      </c>
      <c r="B994" s="16">
        <v>15.5</v>
      </c>
      <c r="C994" s="72">
        <v>50</v>
      </c>
      <c r="D994" s="15">
        <v>174.49</v>
      </c>
      <c r="E994" s="15">
        <v>215.66</v>
      </c>
    </row>
    <row r="995" spans="1:5" x14ac:dyDescent="0.2">
      <c r="A995" s="72">
        <v>95</v>
      </c>
      <c r="B995" s="16">
        <v>15.5</v>
      </c>
      <c r="C995" s="72">
        <v>100</v>
      </c>
      <c r="D995" s="15">
        <v>155.86000000000001</v>
      </c>
      <c r="E995" s="15">
        <v>215.72</v>
      </c>
    </row>
    <row r="996" spans="1:5" x14ac:dyDescent="0.2">
      <c r="A996" s="72">
        <v>95</v>
      </c>
      <c r="B996" s="16">
        <v>15.5</v>
      </c>
      <c r="C996" s="72">
        <v>300</v>
      </c>
      <c r="D996" s="15">
        <v>81.33</v>
      </c>
      <c r="E996" s="15">
        <v>215.95</v>
      </c>
    </row>
    <row r="997" spans="1:5" x14ac:dyDescent="0.2">
      <c r="A997" s="72">
        <v>95</v>
      </c>
      <c r="B997" s="16">
        <v>15.5</v>
      </c>
      <c r="C997" s="72">
        <v>500</v>
      </c>
      <c r="D997" s="15">
        <v>60.86</v>
      </c>
      <c r="E997" s="15">
        <v>216.07</v>
      </c>
    </row>
    <row r="998" spans="1:5" x14ac:dyDescent="0.2">
      <c r="A998" s="72">
        <v>95</v>
      </c>
      <c r="B998" s="16">
        <v>15.5</v>
      </c>
      <c r="C998" s="72">
        <v>700</v>
      </c>
      <c r="D998" s="15">
        <v>55.36</v>
      </c>
      <c r="E998" s="15">
        <v>216.13</v>
      </c>
    </row>
    <row r="999" spans="1:5" x14ac:dyDescent="0.2">
      <c r="A999" s="72">
        <v>95</v>
      </c>
      <c r="B999" s="16">
        <v>15.5</v>
      </c>
      <c r="C999" s="72">
        <v>1000</v>
      </c>
      <c r="D999" s="15">
        <v>47.12</v>
      </c>
      <c r="E999" s="15">
        <v>216.21</v>
      </c>
    </row>
    <row r="1000" spans="1:5" x14ac:dyDescent="0.2">
      <c r="A1000" s="72">
        <v>95</v>
      </c>
      <c r="B1000" s="16">
        <v>15.5</v>
      </c>
      <c r="C1000" s="72">
        <v>1300</v>
      </c>
      <c r="D1000" s="15">
        <v>38.869999999999997</v>
      </c>
      <c r="E1000" s="15">
        <v>216.29</v>
      </c>
    </row>
    <row r="1001" spans="1:5" x14ac:dyDescent="0.2">
      <c r="A1001" s="72">
        <v>95</v>
      </c>
      <c r="B1001" s="16">
        <v>15.5</v>
      </c>
      <c r="C1001" s="72">
        <v>1600</v>
      </c>
      <c r="D1001" s="15">
        <v>30.62</v>
      </c>
      <c r="E1001" s="15">
        <v>216.38</v>
      </c>
    </row>
    <row r="1002" spans="1:5" x14ac:dyDescent="0.2">
      <c r="A1002" s="72">
        <v>95</v>
      </c>
      <c r="B1002" s="16">
        <v>16</v>
      </c>
      <c r="C1002" s="72">
        <v>50</v>
      </c>
      <c r="D1002" s="15">
        <v>168.58</v>
      </c>
      <c r="E1002" s="15">
        <v>215.64</v>
      </c>
    </row>
    <row r="1003" spans="1:5" x14ac:dyDescent="0.2">
      <c r="A1003" s="72">
        <v>95</v>
      </c>
      <c r="B1003" s="16">
        <v>16</v>
      </c>
      <c r="C1003" s="72">
        <v>100</v>
      </c>
      <c r="D1003" s="15">
        <v>150.75</v>
      </c>
      <c r="E1003" s="15">
        <v>215.71</v>
      </c>
    </row>
    <row r="1004" spans="1:5" x14ac:dyDescent="0.2">
      <c r="A1004" s="72">
        <v>95</v>
      </c>
      <c r="B1004" s="16">
        <v>16</v>
      </c>
      <c r="C1004" s="72">
        <v>300</v>
      </c>
      <c r="D1004" s="15">
        <v>79.42</v>
      </c>
      <c r="E1004" s="15">
        <v>215.98</v>
      </c>
    </row>
    <row r="1005" spans="1:5" x14ac:dyDescent="0.2">
      <c r="A1005" s="72">
        <v>95</v>
      </c>
      <c r="B1005" s="16">
        <v>16</v>
      </c>
      <c r="C1005" s="72">
        <v>500</v>
      </c>
      <c r="D1005" s="15">
        <v>59.83</v>
      </c>
      <c r="E1005" s="15">
        <v>216.12</v>
      </c>
    </row>
    <row r="1006" spans="1:5" x14ac:dyDescent="0.2">
      <c r="A1006" s="72">
        <v>95</v>
      </c>
      <c r="B1006" s="16">
        <v>16</v>
      </c>
      <c r="C1006" s="72">
        <v>700</v>
      </c>
      <c r="D1006" s="15">
        <v>54.54</v>
      </c>
      <c r="E1006" s="15">
        <v>216.18</v>
      </c>
    </row>
    <row r="1007" spans="1:5" x14ac:dyDescent="0.2">
      <c r="A1007" s="72">
        <v>95</v>
      </c>
      <c r="B1007" s="16">
        <v>16</v>
      </c>
      <c r="C1007" s="72">
        <v>1000</v>
      </c>
      <c r="D1007" s="15">
        <v>46.61</v>
      </c>
      <c r="E1007" s="15">
        <v>216.28</v>
      </c>
    </row>
    <row r="1008" spans="1:5" x14ac:dyDescent="0.2">
      <c r="A1008" s="72">
        <v>95</v>
      </c>
      <c r="B1008" s="16">
        <v>16</v>
      </c>
      <c r="C1008" s="72">
        <v>1300</v>
      </c>
      <c r="D1008" s="15">
        <v>38.68</v>
      </c>
      <c r="E1008" s="15">
        <v>216.38</v>
      </c>
    </row>
    <row r="1009" spans="1:5" x14ac:dyDescent="0.2">
      <c r="A1009" s="72">
        <v>95</v>
      </c>
      <c r="B1009" s="16">
        <v>16</v>
      </c>
      <c r="C1009" s="72">
        <v>1600</v>
      </c>
      <c r="D1009" s="15">
        <v>30.75</v>
      </c>
      <c r="E1009" s="15">
        <v>216.47</v>
      </c>
    </row>
  </sheetData>
  <sheetProtection password="DE07" sheet="1" objects="1" scenarios="1"/>
  <phoneticPr fontId="27" type="noConversion"/>
  <printOptions gridLines="1"/>
  <pageMargins left="0.7" right="0.7" top="0.75" bottom="0.75" header="0.3" footer="0.3"/>
  <pageSetup scale="1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59999389629810485"/>
  </sheetPr>
  <dimension ref="A1:AM1009"/>
  <sheetViews>
    <sheetView zoomScale="95" zoomScaleNormal="95" workbookViewId="0"/>
  </sheetViews>
  <sheetFormatPr defaultColWidth="9.140625" defaultRowHeight="12.75" x14ac:dyDescent="0.2"/>
  <cols>
    <col min="1" max="1" width="6.7109375" style="9" customWidth="1"/>
    <col min="2" max="2" width="8.7109375" style="9" customWidth="1"/>
    <col min="3" max="4" width="10.7109375" style="9" customWidth="1"/>
    <col min="5" max="5" width="2.7109375" style="9" customWidth="1"/>
    <col min="6" max="9" width="5.7109375" style="9" customWidth="1"/>
    <col min="10" max="11" width="8.7109375" style="9" customWidth="1"/>
    <col min="12" max="12" width="2.7109375" style="9" customWidth="1"/>
    <col min="13" max="16" width="5.7109375" style="9" customWidth="1"/>
    <col min="17" max="18" width="8.7109375" style="9" customWidth="1"/>
    <col min="19" max="19" width="0.85546875" style="9" customWidth="1"/>
    <col min="20" max="21" width="5.7109375" style="9" customWidth="1"/>
    <col min="22" max="22" width="7.28515625" style="9" customWidth="1"/>
    <col min="23" max="24" width="8.7109375" style="9" customWidth="1"/>
    <col min="25" max="25" width="0.85546875" style="9" customWidth="1"/>
    <col min="26" max="26" width="5.7109375" style="9" customWidth="1"/>
    <col min="27" max="28" width="7.28515625" style="9" customWidth="1"/>
    <col min="29" max="30" width="8.7109375" style="9" customWidth="1"/>
    <col min="31" max="31" width="2.7109375" style="9" customWidth="1"/>
    <col min="32" max="33" width="8.7109375" style="9" customWidth="1"/>
    <col min="34" max="34" width="14.7109375" style="9" customWidth="1"/>
    <col min="35" max="37" width="7.28515625" style="9" customWidth="1"/>
    <col min="38" max="39" width="8.7109375" style="9" customWidth="1"/>
    <col min="40" max="16384" width="9.140625" style="9"/>
  </cols>
  <sheetData>
    <row r="1" spans="1:39" ht="38.25" customHeight="1" x14ac:dyDescent="0.2">
      <c r="A1" s="24"/>
      <c r="B1" s="12" t="s">
        <v>32</v>
      </c>
      <c r="C1" s="12" t="s">
        <v>33</v>
      </c>
      <c r="D1" s="12" t="s">
        <v>34</v>
      </c>
      <c r="E1" s="17"/>
      <c r="F1" s="24"/>
      <c r="G1" s="12" t="s">
        <v>30</v>
      </c>
      <c r="H1" s="12" t="s">
        <v>29</v>
      </c>
      <c r="I1" s="12" t="s">
        <v>46</v>
      </c>
      <c r="J1" s="8" t="s">
        <v>37</v>
      </c>
      <c r="K1" s="8" t="s">
        <v>38</v>
      </c>
      <c r="L1" s="17"/>
      <c r="M1" s="12"/>
      <c r="N1" s="12" t="s">
        <v>30</v>
      </c>
      <c r="O1" s="12" t="s">
        <v>29</v>
      </c>
      <c r="P1" s="12" t="s">
        <v>46</v>
      </c>
      <c r="Q1" s="8" t="s">
        <v>37</v>
      </c>
      <c r="R1" s="8" t="s">
        <v>38</v>
      </c>
      <c r="S1" s="17"/>
      <c r="T1" s="12" t="s">
        <v>30</v>
      </c>
      <c r="U1" s="12" t="s">
        <v>29</v>
      </c>
      <c r="V1" s="12" t="s">
        <v>46</v>
      </c>
      <c r="W1" s="8" t="s">
        <v>37</v>
      </c>
      <c r="X1" s="8" t="s">
        <v>38</v>
      </c>
      <c r="Y1" s="17"/>
      <c r="Z1" s="12" t="s">
        <v>30</v>
      </c>
      <c r="AA1" s="12" t="s">
        <v>29</v>
      </c>
      <c r="AB1" s="12" t="s">
        <v>46</v>
      </c>
      <c r="AC1" s="8" t="s">
        <v>37</v>
      </c>
      <c r="AD1" s="8" t="s">
        <v>38</v>
      </c>
      <c r="AF1" s="23" t="s">
        <v>1</v>
      </c>
      <c r="AG1" s="23" t="s">
        <v>0</v>
      </c>
      <c r="AH1" s="54" t="s">
        <v>47</v>
      </c>
      <c r="AI1" s="23" t="s">
        <v>30</v>
      </c>
      <c r="AJ1" s="23" t="s">
        <v>29</v>
      </c>
      <c r="AK1" s="23" t="s">
        <v>46</v>
      </c>
      <c r="AL1" s="23" t="s">
        <v>37</v>
      </c>
      <c r="AM1" s="23" t="s">
        <v>38</v>
      </c>
    </row>
    <row r="2" spans="1:39" x14ac:dyDescent="0.2">
      <c r="A2" s="11" t="s">
        <v>29</v>
      </c>
      <c r="B2" s="53">
        <f>Input!F7</f>
        <v>0</v>
      </c>
      <c r="C2" s="53">
        <f>IF(B2&lt;6.5,6,IF(B2&lt;7,6.5,IF(B2&lt;7.5,7,IF(B2&lt;8,7.5,IF(B2&lt;8.5,8,IF(B2&lt;9,8.5,IF(B2&lt;9.5,9,IF(B2&lt;10,9.5,IF(B2&lt;10.5,10,IF(B2&lt;11,10.5,IF(B2&lt;11.5,11,IF(B2&lt;12,11.5,IF(B2&lt;12.5,12,IF(B2&lt;13,12.5,IF(B2&lt;13.5,13,IF(B2&lt;14,13.5,IF(B2&lt;14.5,14,IF(B2&lt;15,14.5,IF(B2&lt;15.5,15,IF(B2&gt;=15.5,15.5))))))))))))))))))))</f>
        <v>6</v>
      </c>
      <c r="D2" s="53">
        <f>IF(B2&lt;6.5,6.5,IF(B2&lt;7,7,IF(B2&lt;7.5,7.5,IF(B2&lt;8,8,IF(B2&lt;8.5,8.5,IF(B2&lt;9,9,IF(B2&lt;9.5,9.5,IF(B2&lt;10,10,IF(B2&lt;10.5,10.5,IF(B2&lt;11,11,IF(B2&lt;11.5,11.5,IF(B2&lt;12,12,IF(B2&lt;12.5,12.5,IF(B2&lt;13,13,IF(B2&lt;13.5,13.5,IF(B2&lt;14,14,IF(B2&lt;14.5,14.5,IF(B2&lt;15,15,IF(B2&lt;15.5,15.5,IF(B2&gt;=15.5,16))))))))))))))))))))</f>
        <v>6.5</v>
      </c>
      <c r="F2" s="14">
        <f>IF(G2=0,IF(G1=0,F1,F1+1),IF(G1=0,MAX(F$1:F1),MAX(F$1:F1)+1))</f>
        <v>1</v>
      </c>
      <c r="G2" s="14">
        <f>IF(('S-Table'!$B2-$C$2)*('S-Table'!$B2-$D$2)=0,IF(('S-Table'!$C2-$C$3)*('S-Table'!$C2-$D$3)=0,'S-Table'!A2,0),0)</f>
        <v>-55</v>
      </c>
      <c r="H2" s="14">
        <f>IF(('S-Table'!$B2-$C$2)*('S-Table'!$B2-$D$2)=0,IF(('S-Table'!$C2-$C$3)*('S-Table'!$C2-$D$3)=0,'S-Table'!B2,0),0)</f>
        <v>6</v>
      </c>
      <c r="I2" s="14">
        <f>IF(('S-Table'!$B2-$C$2)*('S-Table'!$B2-$D$2)=0,IF(('S-Table'!$C2-$C$3)*('S-Table'!$C2-$D$3)=0,'S-Table'!C2,0),0)</f>
        <v>50</v>
      </c>
      <c r="J2" s="14">
        <f>IF(('S-Table'!$B2-$C$2)*('S-Table'!$B2-$D$2)=0,IF(('S-Table'!$C2-$C$3)*('S-Table'!$C2-$D$3)=0,'S-Table'!D2,0),0)</f>
        <v>444.63</v>
      </c>
      <c r="K2" s="14">
        <f>IF(('S-Table'!$B2-$C$2)*('S-Table'!$B2-$D$2)=0,IF(('S-Table'!$C2-$C$3)*('S-Table'!$C2-$D$3)=0,'S-Table'!E2,0),0)</f>
        <v>128.72999999999999</v>
      </c>
      <c r="M2" s="53">
        <v>1</v>
      </c>
      <c r="N2" s="117">
        <f>VLOOKUP($M2,$F$2:$K$1009,2)</f>
        <v>-55</v>
      </c>
      <c r="O2" s="117">
        <f>VLOOKUP($M2,$F$2:$K$1009,3)</f>
        <v>6</v>
      </c>
      <c r="P2" s="53">
        <f>VLOOKUP($M2,$F$2:$K$1009,4)</f>
        <v>50</v>
      </c>
      <c r="Q2" s="15">
        <f>VLOOKUP($M2,$F$2:$K$1009,5)</f>
        <v>444.63</v>
      </c>
      <c r="R2" s="15">
        <f>VLOOKUP($M2,$F$2:$K$1009,6)</f>
        <v>128.72999999999999</v>
      </c>
      <c r="T2" s="117">
        <f>N2</f>
        <v>-55</v>
      </c>
      <c r="U2" s="117">
        <f>O2</f>
        <v>6</v>
      </c>
      <c r="V2" s="117">
        <f>B3</f>
        <v>0</v>
      </c>
      <c r="W2" s="111">
        <f>((Q3-Q2)*$B$3+(Q2*$D$3-Q3*$C$3))/($D$3-$C$3)</f>
        <v>464.93</v>
      </c>
      <c r="X2" s="111">
        <f>((R3-R2)*$B$3+(R2*$D$3-R3*$C$3))/($D$3-$C$3)</f>
        <v>128.58999999999997</v>
      </c>
      <c r="Z2" s="117">
        <f>N2</f>
        <v>-55</v>
      </c>
      <c r="AA2" s="117">
        <f>B2</f>
        <v>0</v>
      </c>
      <c r="AB2" s="117">
        <f>B3</f>
        <v>0</v>
      </c>
      <c r="AC2" s="111">
        <f>((W4-W2)*$B$2+(W2*$D$2-W4*$C$2))/($D$2-$C$2)</f>
        <v>753.40999999999985</v>
      </c>
      <c r="AD2" s="114">
        <f>((X4-X2)*$B$2+(X2*$D$2-X4*$C$2))/($D$2-$C$2)</f>
        <v>127.14999999999918</v>
      </c>
      <c r="AF2" s="56">
        <f>Input!C$7</f>
        <v>0</v>
      </c>
      <c r="AG2" s="53">
        <v>1</v>
      </c>
      <c r="AH2" s="53">
        <f>DSUM(Temperature!A$1:E$301,5,AF$1:AG2)</f>
        <v>0</v>
      </c>
      <c r="AI2" s="53">
        <f>120-AH2</f>
        <v>120</v>
      </c>
      <c r="AJ2" s="53">
        <f>B$2</f>
        <v>0</v>
      </c>
      <c r="AK2" s="7">
        <f>B$3</f>
        <v>0</v>
      </c>
      <c r="AL2" s="15">
        <f>IF($AI2&gt;=95,(AC$22-AC$18)/($N$22-$N$18)*($AI2-$N$22)+AC$22,IF(AND($AI2&gt;=65,$AI2&lt;95),(AC$22-AC$18)/($N$22-$N$18)*($AI2-$N$18)+AC$18,IF(AND($AI2&gt;=35,$AI2&lt;65),(AC$18-AC$14)/($N$18-$N$14)*($AI2-$N$14)+AC$14,IF(AND($AI2&gt;=5,$AI2&lt;35),(AC$14-AC$10)/($N$14-$N$10)*($AI2-$N$10)+AC$10,IF(AND($AI2&gt;=-25,$AI2&lt;5),(AC$10-AC$6)/($N$10-$N$6)*($AI2-$N$6)+AC$6,IF(AND($AI2&gt;=-55,$AI2&lt;-25),(AC$6-AC$2)/($N$6-$N$2)*($AI2-$N$2)+AC$2,IF($AI2&lt;-55,(AC$6-AC$2)/($N$6-$N$2)*($AI2-$N$2)+AC$2)))))))</f>
        <v>753.40999999999985</v>
      </c>
      <c r="AM2" s="15">
        <f>IF($AI2&gt;=95,(AD$22-AD$18)/($N$22-$N$18)*($AI2-$N$22)+AD$22,IF(AND($AI2&gt;=65,$AI2&lt;95),(AD$22-AD$18)/($N$22-$N$18)*($AI2-$N$18)+AD$18,IF(AND($AI2&gt;=35,$AI2&lt;65),(AD$18-AD$14)/($N$18-$N$14)*($AI2-$N$14)+AD$14,IF(AND($AI2&gt;=5,$AI2&lt;35),(AD$14-AD$10)/($N$14-$N$10)*($AI2-$N$10)+AD$10,IF(AND($AI2&gt;=-25,$AI2&lt;5),(AD$10-AD$6)/($N$10-$N$6)*($AI2-$N$6)+AD$6,IF(AND($AI2&gt;=-55,$AI2&lt;-25),(AD$6-AD$2)/($N$6-$N$2)*($AI2-$N$2)+AD$2,IF($AI2&lt;-55,(AD$6-AD$2)/($N$6-$N$2)*($AI2-$N$2)+AD$2)))))))</f>
        <v>231.37500000000009</v>
      </c>
    </row>
    <row r="3" spans="1:39" x14ac:dyDescent="0.2">
      <c r="A3" s="11" t="s">
        <v>46</v>
      </c>
      <c r="B3" s="7">
        <f>Input!F19</f>
        <v>0</v>
      </c>
      <c r="C3" s="53">
        <f>IF(B3&lt;100,50,IF(B3&lt;300,100,IF(B3&lt;500,300,IF(B3&lt;700,500,IF(B3&lt;1000,700,IF(B3&lt;1300,1000,IF(B3&gt;=1300,1300)))))))</f>
        <v>50</v>
      </c>
      <c r="D3" s="53">
        <f>IF(B3&lt;100,100,IF(B3&lt;300,300,IF(B3&lt;500,500,IF(B3&lt;700,700,IF(B3&lt;1000,1000,IF(B3&lt;1300,1300,IF(B3&gt;=1300,1600)))))))</f>
        <v>100</v>
      </c>
      <c r="F3" s="14">
        <f>IF(G3=0,IF(G2=0,F2,F2+1),IF(G2=0,MAX(F$1:F2),MAX(F$1:F2)+1))</f>
        <v>2</v>
      </c>
      <c r="G3" s="14">
        <f>IF(('S-Table'!$B3-$C$2)*('S-Table'!$B3-$D$2)=0,IF(('S-Table'!$C3-$C$3)*('S-Table'!$C3-$D$3)=0,'S-Table'!A3,0),0)</f>
        <v>-55</v>
      </c>
      <c r="H3" s="14">
        <f>IF(('S-Table'!$B3-$C$2)*('S-Table'!$B3-$D$2)=0,IF(('S-Table'!$C3-$C$3)*('S-Table'!$C3-$D$3)=0,'S-Table'!B3,0),0)</f>
        <v>6</v>
      </c>
      <c r="I3" s="14">
        <f>IF(('S-Table'!$B3-$C$2)*('S-Table'!$B3-$D$2)=0,IF(('S-Table'!$C3-$C$3)*('S-Table'!$C3-$D$3)=0,'S-Table'!C3,0),0)</f>
        <v>100</v>
      </c>
      <c r="J3" s="14">
        <f>IF(('S-Table'!$B3-$C$2)*('S-Table'!$B3-$D$2)=0,IF(('S-Table'!$C3-$C$3)*('S-Table'!$C3-$D$3)=0,'S-Table'!D3,0),0)</f>
        <v>424.33</v>
      </c>
      <c r="K3" s="14">
        <f>IF(('S-Table'!$B3-$C$2)*('S-Table'!$B3-$D$2)=0,IF(('S-Table'!$C3-$C$3)*('S-Table'!$C3-$D$3)=0,'S-Table'!E3,0),0)</f>
        <v>128.87</v>
      </c>
      <c r="M3" s="53">
        <v>2</v>
      </c>
      <c r="N3" s="118"/>
      <c r="O3" s="119"/>
      <c r="P3" s="53">
        <f t="shared" ref="P3:P25" si="0">VLOOKUP($M3,$F$2:$K$1009,4)</f>
        <v>100</v>
      </c>
      <c r="Q3" s="15">
        <f t="shared" ref="Q3:Q25" si="1">VLOOKUP($M3,$F$2:$K$1009,5)</f>
        <v>424.33</v>
      </c>
      <c r="R3" s="15">
        <f t="shared" ref="R3:R25" si="2">VLOOKUP($M3,$F$2:$K$1009,6)</f>
        <v>128.87</v>
      </c>
      <c r="T3" s="118"/>
      <c r="U3" s="119"/>
      <c r="V3" s="118"/>
      <c r="W3" s="113"/>
      <c r="X3" s="113"/>
      <c r="Z3" s="118"/>
      <c r="AA3" s="118"/>
      <c r="AB3" s="118"/>
      <c r="AC3" s="112"/>
      <c r="AD3" s="115"/>
      <c r="AF3" s="61">
        <f>Input!C$7</f>
        <v>0</v>
      </c>
      <c r="AG3" s="25">
        <v>2</v>
      </c>
      <c r="AH3" s="53">
        <f>DSUM(Temperature!A$1:E$301,5,AF$1:AG3)-DSUM(Temperature!A$1:E$301,5,AF$1:AG2)</f>
        <v>0</v>
      </c>
      <c r="AI3" s="53">
        <f t="shared" ref="AI3:AI13" si="3">120-AH3</f>
        <v>120</v>
      </c>
      <c r="AJ3" s="53">
        <f t="shared" ref="AJ3:AJ13" si="4">B$2</f>
        <v>0</v>
      </c>
      <c r="AK3" s="7">
        <f t="shared" ref="AK3:AK13" si="5">B$3</f>
        <v>0</v>
      </c>
      <c r="AL3" s="15">
        <f t="shared" ref="AL3:AM13" si="6">IF($AI3&gt;=95,(AC$22-AC$18)/($N$22-$N$18)*($AI3-$N$22)+AC$22,IF(AND($AI3&gt;=65,$AI3&lt;95),(AC$22-AC$18)/($N$22-$N$18)*($AI3-$N$18)+AC$18,IF(AND($AI3&gt;=35,$AI3&lt;65),(AC$18-AC$14)/($N$18-$N$14)*($AI3-$N$14)+AC$14,IF(AND($AI3&gt;=5,$AI3&lt;35),(AC$14-AC$10)/($N$14-$N$10)*($AI3-$N$10)+AC$10,IF(AND($AI3&gt;=-25,$AI3&lt;5),(AC$10-AC$6)/($N$10-$N$6)*($AI3-$N$6)+AC$6,IF(AND($AI3&gt;=-55,$AI3&lt;-25),(AC$6-AC$2)/($N$6-$N$2)*($AI3-$N$2)+AC$2,IF($AI3&lt;-55,(AC$6-AC$2)/($N$6-$N$2)*($AI3-$N$2)+AC$2)))))))</f>
        <v>753.40999999999985</v>
      </c>
      <c r="AM3" s="15">
        <f t="shared" si="6"/>
        <v>231.37500000000009</v>
      </c>
    </row>
    <row r="4" spans="1:39" x14ac:dyDescent="0.2">
      <c r="F4" s="14">
        <f>IF(G4=0,IF(G3=0,F3,F3+1),IF(G3=0,MAX(F$1:F3),MAX(F$1:F3)+1))</f>
        <v>3</v>
      </c>
      <c r="G4" s="14">
        <f>IF(('S-Table'!$B4-$C$2)*('S-Table'!$B4-$D$2)=0,IF(('S-Table'!$C4-$C$3)*('S-Table'!$C4-$D$3)=0,'S-Table'!A4,0),0)</f>
        <v>0</v>
      </c>
      <c r="H4" s="14">
        <f>IF(('S-Table'!$B4-$C$2)*('S-Table'!$B4-$D$2)=0,IF(('S-Table'!$C4-$C$3)*('S-Table'!$C4-$D$3)=0,'S-Table'!B4,0),0)</f>
        <v>0</v>
      </c>
      <c r="I4" s="14">
        <f>IF(('S-Table'!$B4-$C$2)*('S-Table'!$B4-$D$2)=0,IF(('S-Table'!$C4-$C$3)*('S-Table'!$C4-$D$3)=0,'S-Table'!C4,0),0)</f>
        <v>0</v>
      </c>
      <c r="J4" s="14">
        <f>IF(('S-Table'!$B4-$C$2)*('S-Table'!$B4-$D$2)=0,IF(('S-Table'!$C4-$C$3)*('S-Table'!$C4-$D$3)=0,'S-Table'!D4,0),0)</f>
        <v>0</v>
      </c>
      <c r="K4" s="14">
        <f>IF(('S-Table'!$B4-$C$2)*('S-Table'!$B4-$D$2)=0,IF(('S-Table'!$C4-$C$3)*('S-Table'!$C4-$D$3)=0,'S-Table'!E4,0),0)</f>
        <v>0</v>
      </c>
      <c r="M4" s="53">
        <v>3</v>
      </c>
      <c r="N4" s="118"/>
      <c r="O4" s="117">
        <f>VLOOKUP($M4,$F$2:$K$1009,3)</f>
        <v>6.5</v>
      </c>
      <c r="P4" s="53">
        <f t="shared" si="0"/>
        <v>50</v>
      </c>
      <c r="Q4" s="15">
        <f t="shared" si="1"/>
        <v>420.54</v>
      </c>
      <c r="R4" s="15">
        <f t="shared" si="2"/>
        <v>128.86000000000001</v>
      </c>
      <c r="T4" s="118"/>
      <c r="U4" s="117">
        <f>O4</f>
        <v>6.5</v>
      </c>
      <c r="V4" s="118"/>
      <c r="W4" s="111">
        <f>((Q5-Q4)*$B$3+(Q4*$D$3-Q5*$C$3))/($D$3-$C$3)</f>
        <v>440.89</v>
      </c>
      <c r="X4" s="111">
        <f>((R5-R4)*$B$3+(R4*$D$3-R5*$C$3))/($D$3-$C$3)</f>
        <v>128.71000000000004</v>
      </c>
      <c r="Z4" s="118"/>
      <c r="AA4" s="118"/>
      <c r="AB4" s="118"/>
      <c r="AC4" s="112"/>
      <c r="AD4" s="115"/>
      <c r="AF4" s="61">
        <f>Input!C$7</f>
        <v>0</v>
      </c>
      <c r="AG4" s="25">
        <v>3</v>
      </c>
      <c r="AH4" s="53">
        <f>DSUM(Temperature!A$1:E$301,5,AF$1:AG4)-DSUM(Temperature!A$1:E$301,5,AF$1:AG3)</f>
        <v>0</v>
      </c>
      <c r="AI4" s="53">
        <f t="shared" si="3"/>
        <v>120</v>
      </c>
      <c r="AJ4" s="53">
        <f t="shared" si="4"/>
        <v>0</v>
      </c>
      <c r="AK4" s="7">
        <f t="shared" si="5"/>
        <v>0</v>
      </c>
      <c r="AL4" s="15">
        <f t="shared" si="6"/>
        <v>753.40999999999985</v>
      </c>
      <c r="AM4" s="15">
        <f t="shared" si="6"/>
        <v>231.37500000000009</v>
      </c>
    </row>
    <row r="5" spans="1:39" ht="12.75" customHeight="1" x14ac:dyDescent="0.2">
      <c r="A5" s="110" t="s">
        <v>116</v>
      </c>
      <c r="B5" s="110"/>
      <c r="C5" s="110"/>
      <c r="D5" s="110"/>
      <c r="F5" s="14">
        <f>IF(G5=0,IF(G4=0,F4,F4+1),IF(G4=0,MAX(F$1:F4),MAX(F$1:F4)+1))</f>
        <v>3</v>
      </c>
      <c r="G5" s="14">
        <f>IF(('S-Table'!$B5-$C$2)*('S-Table'!$B5-$D$2)=0,IF(('S-Table'!$C5-$C$3)*('S-Table'!$C5-$D$3)=0,'S-Table'!A5,0),0)</f>
        <v>0</v>
      </c>
      <c r="H5" s="14">
        <f>IF(('S-Table'!$B5-$C$2)*('S-Table'!$B5-$D$2)=0,IF(('S-Table'!$C5-$C$3)*('S-Table'!$C5-$D$3)=0,'S-Table'!B5,0),0)</f>
        <v>0</v>
      </c>
      <c r="I5" s="14">
        <f>IF(('S-Table'!$B5-$C$2)*('S-Table'!$B5-$D$2)=0,IF(('S-Table'!$C5-$C$3)*('S-Table'!$C5-$D$3)=0,'S-Table'!C5,0),0)</f>
        <v>0</v>
      </c>
      <c r="J5" s="14">
        <f>IF(('S-Table'!$B5-$C$2)*('S-Table'!$B5-$D$2)=0,IF(('S-Table'!$C5-$C$3)*('S-Table'!$C5-$D$3)=0,'S-Table'!D5,0),0)</f>
        <v>0</v>
      </c>
      <c r="K5" s="14">
        <f>IF(('S-Table'!$B5-$C$2)*('S-Table'!$B5-$D$2)=0,IF(('S-Table'!$C5-$C$3)*('S-Table'!$C5-$D$3)=0,'S-Table'!E5,0),0)</f>
        <v>0</v>
      </c>
      <c r="M5" s="53">
        <v>4</v>
      </c>
      <c r="N5" s="119"/>
      <c r="O5" s="119"/>
      <c r="P5" s="53">
        <f t="shared" si="0"/>
        <v>100</v>
      </c>
      <c r="Q5" s="15">
        <f t="shared" si="1"/>
        <v>400.19</v>
      </c>
      <c r="R5" s="15">
        <f t="shared" si="2"/>
        <v>129.01</v>
      </c>
      <c r="T5" s="119"/>
      <c r="U5" s="119"/>
      <c r="V5" s="118"/>
      <c r="W5" s="113"/>
      <c r="X5" s="113"/>
      <c r="Z5" s="119"/>
      <c r="AA5" s="118"/>
      <c r="AB5" s="118"/>
      <c r="AC5" s="113"/>
      <c r="AD5" s="116"/>
      <c r="AF5" s="61">
        <f>Input!C$7</f>
        <v>0</v>
      </c>
      <c r="AG5" s="25">
        <v>4</v>
      </c>
      <c r="AH5" s="53">
        <f>DSUM(Temperature!A$1:E$301,5,AF$1:AG5)-DSUM(Temperature!A$1:E$301,5,AF$1:AG4)</f>
        <v>0</v>
      </c>
      <c r="AI5" s="53">
        <f t="shared" si="3"/>
        <v>120</v>
      </c>
      <c r="AJ5" s="53">
        <f t="shared" si="4"/>
        <v>0</v>
      </c>
      <c r="AK5" s="7">
        <f t="shared" si="5"/>
        <v>0</v>
      </c>
      <c r="AL5" s="15">
        <f t="shared" si="6"/>
        <v>753.40999999999985</v>
      </c>
      <c r="AM5" s="15">
        <f t="shared" si="6"/>
        <v>231.37500000000009</v>
      </c>
    </row>
    <row r="6" spans="1:39" x14ac:dyDescent="0.2">
      <c r="A6" s="110"/>
      <c r="B6" s="110"/>
      <c r="C6" s="110"/>
      <c r="D6" s="110"/>
      <c r="F6" s="14">
        <f>IF(G6=0,IF(G5=0,F5,F5+1),IF(G5=0,MAX(F$1:F5),MAX(F$1:F5)+1))</f>
        <v>3</v>
      </c>
      <c r="G6" s="14">
        <f>IF(('S-Table'!$B6-$C$2)*('S-Table'!$B6-$D$2)=0,IF(('S-Table'!$C6-$C$3)*('S-Table'!$C6-$D$3)=0,'S-Table'!A6,0),0)</f>
        <v>0</v>
      </c>
      <c r="H6" s="14">
        <f>IF(('S-Table'!$B6-$C$2)*('S-Table'!$B6-$D$2)=0,IF(('S-Table'!$C6-$C$3)*('S-Table'!$C6-$D$3)=0,'S-Table'!B6,0),0)</f>
        <v>0</v>
      </c>
      <c r="I6" s="14">
        <f>IF(('S-Table'!$B6-$C$2)*('S-Table'!$B6-$D$2)=0,IF(('S-Table'!$C6-$C$3)*('S-Table'!$C6-$D$3)=0,'S-Table'!C6,0),0)</f>
        <v>0</v>
      </c>
      <c r="J6" s="14">
        <f>IF(('S-Table'!$B6-$C$2)*('S-Table'!$B6-$D$2)=0,IF(('S-Table'!$C6-$C$3)*('S-Table'!$C6-$D$3)=0,'S-Table'!D6,0),0)</f>
        <v>0</v>
      </c>
      <c r="K6" s="14">
        <f>IF(('S-Table'!$B6-$C$2)*('S-Table'!$B6-$D$2)=0,IF(('S-Table'!$C6-$C$3)*('S-Table'!$C6-$D$3)=0,'S-Table'!E6,0),0)</f>
        <v>0</v>
      </c>
      <c r="M6" s="53">
        <v>5</v>
      </c>
      <c r="N6" s="117">
        <f>VLOOKUP($M6,$F$2:$K$1009,2)</f>
        <v>-25</v>
      </c>
      <c r="O6" s="117">
        <f>VLOOKUP($M6,$F$2:$K$1009,3)</f>
        <v>6</v>
      </c>
      <c r="P6" s="53">
        <f t="shared" si="0"/>
        <v>50</v>
      </c>
      <c r="Q6" s="15">
        <f t="shared" si="1"/>
        <v>444.63</v>
      </c>
      <c r="R6" s="15">
        <f t="shared" si="2"/>
        <v>145.69999999999999</v>
      </c>
      <c r="T6" s="117">
        <f>N6</f>
        <v>-25</v>
      </c>
      <c r="U6" s="117">
        <f>O6</f>
        <v>6</v>
      </c>
      <c r="V6" s="118"/>
      <c r="W6" s="111">
        <f>((Q7-Q6)*$B$3+(Q6*$D$3-Q7*$C$3))/($D$3-$C$3)</f>
        <v>464.93</v>
      </c>
      <c r="X6" s="111">
        <f>((R7-R6)*$B$3+(R6*$D$3-R7*$C$3))/($D$3-$C$3)</f>
        <v>145.61999999999998</v>
      </c>
      <c r="Z6" s="117">
        <f>N6</f>
        <v>-25</v>
      </c>
      <c r="AA6" s="118"/>
      <c r="AB6" s="118"/>
      <c r="AC6" s="111">
        <f>((W8-W6)*$B$2+(W6*$D$2-W8*$C$2))/($D$2-$C$2)</f>
        <v>753.40999999999985</v>
      </c>
      <c r="AD6" s="114">
        <f>((X8-X6)*$B$2+(X6*$D$2-X8*$C$2))/($D$2-$C$2)</f>
        <v>145.01999999999975</v>
      </c>
      <c r="AF6" s="61">
        <f>Input!C$7</f>
        <v>0</v>
      </c>
      <c r="AG6" s="25">
        <v>5</v>
      </c>
      <c r="AH6" s="53">
        <f>DSUM(Temperature!A$1:E$301,5,AF$1:AG6)-DSUM(Temperature!A$1:E$301,5,AF$1:AG5)</f>
        <v>0</v>
      </c>
      <c r="AI6" s="53">
        <f t="shared" si="3"/>
        <v>120</v>
      </c>
      <c r="AJ6" s="53">
        <f t="shared" si="4"/>
        <v>0</v>
      </c>
      <c r="AK6" s="7">
        <f t="shared" si="5"/>
        <v>0</v>
      </c>
      <c r="AL6" s="15">
        <f t="shared" si="6"/>
        <v>753.40999999999985</v>
      </c>
      <c r="AM6" s="15">
        <f t="shared" si="6"/>
        <v>231.37500000000009</v>
      </c>
    </row>
    <row r="7" spans="1:39" x14ac:dyDescent="0.2">
      <c r="A7" s="110"/>
      <c r="B7" s="110"/>
      <c r="C7" s="110"/>
      <c r="D7" s="110"/>
      <c r="F7" s="14">
        <f>IF(G7=0,IF(G6=0,F6,F6+1),IF(G6=0,MAX(F$1:F6),MAX(F$1:F6)+1))</f>
        <v>3</v>
      </c>
      <c r="G7" s="14">
        <f>IF(('S-Table'!$B7-$C$2)*('S-Table'!$B7-$D$2)=0,IF(('S-Table'!$C7-$C$3)*('S-Table'!$C7-$D$3)=0,'S-Table'!A7,0),0)</f>
        <v>0</v>
      </c>
      <c r="H7" s="14">
        <f>IF(('S-Table'!$B7-$C$2)*('S-Table'!$B7-$D$2)=0,IF(('S-Table'!$C7-$C$3)*('S-Table'!$C7-$D$3)=0,'S-Table'!B7,0),0)</f>
        <v>0</v>
      </c>
      <c r="I7" s="14">
        <f>IF(('S-Table'!$B7-$C$2)*('S-Table'!$B7-$D$2)=0,IF(('S-Table'!$C7-$C$3)*('S-Table'!$C7-$D$3)=0,'S-Table'!C7,0),0)</f>
        <v>0</v>
      </c>
      <c r="J7" s="14">
        <f>IF(('S-Table'!$B7-$C$2)*('S-Table'!$B7-$D$2)=0,IF(('S-Table'!$C7-$C$3)*('S-Table'!$C7-$D$3)=0,'S-Table'!D7,0),0)</f>
        <v>0</v>
      </c>
      <c r="K7" s="14">
        <f>IF(('S-Table'!$B7-$C$2)*('S-Table'!$B7-$D$2)=0,IF(('S-Table'!$C7-$C$3)*('S-Table'!$C7-$D$3)=0,'S-Table'!E7,0),0)</f>
        <v>0</v>
      </c>
      <c r="M7" s="53">
        <v>6</v>
      </c>
      <c r="N7" s="118"/>
      <c r="O7" s="119"/>
      <c r="P7" s="53">
        <f t="shared" si="0"/>
        <v>100</v>
      </c>
      <c r="Q7" s="15">
        <f t="shared" si="1"/>
        <v>424.33</v>
      </c>
      <c r="R7" s="15">
        <f t="shared" si="2"/>
        <v>145.78</v>
      </c>
      <c r="T7" s="118"/>
      <c r="U7" s="119"/>
      <c r="V7" s="118"/>
      <c r="W7" s="113"/>
      <c r="X7" s="113"/>
      <c r="Z7" s="118"/>
      <c r="AA7" s="118"/>
      <c r="AB7" s="118"/>
      <c r="AC7" s="112"/>
      <c r="AD7" s="115"/>
      <c r="AF7" s="61">
        <f>Input!C$7</f>
        <v>0</v>
      </c>
      <c r="AG7" s="25">
        <v>6</v>
      </c>
      <c r="AH7" s="53">
        <f>DSUM(Temperature!A$1:E$301,5,AF$1:AG7)-DSUM(Temperature!A$1:E$301,5,AF$1:AG6)</f>
        <v>0</v>
      </c>
      <c r="AI7" s="53">
        <f t="shared" si="3"/>
        <v>120</v>
      </c>
      <c r="AJ7" s="53">
        <f t="shared" si="4"/>
        <v>0</v>
      </c>
      <c r="AK7" s="7">
        <f t="shared" si="5"/>
        <v>0</v>
      </c>
      <c r="AL7" s="15">
        <f t="shared" si="6"/>
        <v>753.40999999999985</v>
      </c>
      <c r="AM7" s="15">
        <f t="shared" si="6"/>
        <v>231.37500000000009</v>
      </c>
    </row>
    <row r="8" spans="1:39" x14ac:dyDescent="0.2">
      <c r="A8" s="110"/>
      <c r="B8" s="110"/>
      <c r="C8" s="110"/>
      <c r="D8" s="110"/>
      <c r="F8" s="14">
        <f>IF(G8=0,IF(G7=0,F7,F7+1),IF(G7=0,MAX(F$1:F7),MAX(F$1:F7)+1))</f>
        <v>3</v>
      </c>
      <c r="G8" s="14">
        <f>IF(('S-Table'!$B8-$C$2)*('S-Table'!$B8-$D$2)=0,IF(('S-Table'!$C8-$C$3)*('S-Table'!$C8-$D$3)=0,'S-Table'!A8,0),0)</f>
        <v>0</v>
      </c>
      <c r="H8" s="14">
        <f>IF(('S-Table'!$B8-$C$2)*('S-Table'!$B8-$D$2)=0,IF(('S-Table'!$C8-$C$3)*('S-Table'!$C8-$D$3)=0,'S-Table'!B8,0),0)</f>
        <v>0</v>
      </c>
      <c r="I8" s="14">
        <f>IF(('S-Table'!$B8-$C$2)*('S-Table'!$B8-$D$2)=0,IF(('S-Table'!$C8-$C$3)*('S-Table'!$C8-$D$3)=0,'S-Table'!C8,0),0)</f>
        <v>0</v>
      </c>
      <c r="J8" s="14">
        <f>IF(('S-Table'!$B8-$C$2)*('S-Table'!$B8-$D$2)=0,IF(('S-Table'!$C8-$C$3)*('S-Table'!$C8-$D$3)=0,'S-Table'!D8,0),0)</f>
        <v>0</v>
      </c>
      <c r="K8" s="14">
        <f>IF(('S-Table'!$B8-$C$2)*('S-Table'!$B8-$D$2)=0,IF(('S-Table'!$C8-$C$3)*('S-Table'!$C8-$D$3)=0,'S-Table'!E8,0),0)</f>
        <v>0</v>
      </c>
      <c r="M8" s="53">
        <v>7</v>
      </c>
      <c r="N8" s="118"/>
      <c r="O8" s="117">
        <f>VLOOKUP($M8,$F$2:$K$1009,3)</f>
        <v>6.5</v>
      </c>
      <c r="P8" s="53">
        <f t="shared" si="0"/>
        <v>50</v>
      </c>
      <c r="Q8" s="15">
        <f t="shared" si="1"/>
        <v>420.54</v>
      </c>
      <c r="R8" s="15">
        <f t="shared" si="2"/>
        <v>145.76</v>
      </c>
      <c r="T8" s="118"/>
      <c r="U8" s="117">
        <f>O8</f>
        <v>6.5</v>
      </c>
      <c r="V8" s="118"/>
      <c r="W8" s="111">
        <f>((Q9-Q8)*$B$3+(Q8*$D$3-Q9*$C$3))/($D$3-$C$3)</f>
        <v>440.89</v>
      </c>
      <c r="X8" s="111">
        <f>((R9-R8)*$B$3+(R8*$D$3-R9*$C$3))/($D$3-$C$3)</f>
        <v>145.66999999999999</v>
      </c>
      <c r="Z8" s="118"/>
      <c r="AA8" s="118"/>
      <c r="AB8" s="118"/>
      <c r="AC8" s="112"/>
      <c r="AD8" s="115"/>
      <c r="AF8" s="61">
        <f>Input!C$7</f>
        <v>0</v>
      </c>
      <c r="AG8" s="25">
        <v>7</v>
      </c>
      <c r="AH8" s="53">
        <f>DSUM(Temperature!A$1:E$301,5,AF$1:AG8)-DSUM(Temperature!A$1:E$301,5,AF$1:AG7)</f>
        <v>0</v>
      </c>
      <c r="AI8" s="53">
        <f t="shared" si="3"/>
        <v>120</v>
      </c>
      <c r="AJ8" s="53">
        <f t="shared" si="4"/>
        <v>0</v>
      </c>
      <c r="AK8" s="7">
        <f t="shared" si="5"/>
        <v>0</v>
      </c>
      <c r="AL8" s="15">
        <f t="shared" si="6"/>
        <v>753.40999999999985</v>
      </c>
      <c r="AM8" s="15">
        <f t="shared" si="6"/>
        <v>231.37500000000009</v>
      </c>
    </row>
    <row r="9" spans="1:39" x14ac:dyDescent="0.2">
      <c r="A9" s="110"/>
      <c r="B9" s="110"/>
      <c r="C9" s="110"/>
      <c r="D9" s="110"/>
      <c r="F9" s="14">
        <f>IF(G9=0,IF(G8=0,F8,F8+1),IF(G8=0,MAX(F$1:F8),MAX(F$1:F8)+1))</f>
        <v>3</v>
      </c>
      <c r="G9" s="14">
        <f>IF(('S-Table'!$B9-$C$2)*('S-Table'!$B9-$D$2)=0,IF(('S-Table'!$C9-$C$3)*('S-Table'!$C9-$D$3)=0,'S-Table'!A9,0),0)</f>
        <v>0</v>
      </c>
      <c r="H9" s="14">
        <f>IF(('S-Table'!$B9-$C$2)*('S-Table'!$B9-$D$2)=0,IF(('S-Table'!$C9-$C$3)*('S-Table'!$C9-$D$3)=0,'S-Table'!B9,0),0)</f>
        <v>0</v>
      </c>
      <c r="I9" s="14">
        <f>IF(('S-Table'!$B9-$C$2)*('S-Table'!$B9-$D$2)=0,IF(('S-Table'!$C9-$C$3)*('S-Table'!$C9-$D$3)=0,'S-Table'!C9,0),0)</f>
        <v>0</v>
      </c>
      <c r="J9" s="14">
        <f>IF(('S-Table'!$B9-$C$2)*('S-Table'!$B9-$D$2)=0,IF(('S-Table'!$C9-$C$3)*('S-Table'!$C9-$D$3)=0,'S-Table'!D9,0),0)</f>
        <v>0</v>
      </c>
      <c r="K9" s="14">
        <f>IF(('S-Table'!$B9-$C$2)*('S-Table'!$B9-$D$2)=0,IF(('S-Table'!$C9-$C$3)*('S-Table'!$C9-$D$3)=0,'S-Table'!E9,0),0)</f>
        <v>0</v>
      </c>
      <c r="M9" s="53">
        <v>8</v>
      </c>
      <c r="N9" s="119"/>
      <c r="O9" s="119"/>
      <c r="P9" s="53">
        <f t="shared" si="0"/>
        <v>100</v>
      </c>
      <c r="Q9" s="15">
        <f t="shared" si="1"/>
        <v>400.19</v>
      </c>
      <c r="R9" s="15">
        <f t="shared" si="2"/>
        <v>145.85</v>
      </c>
      <c r="T9" s="119"/>
      <c r="U9" s="119"/>
      <c r="V9" s="118"/>
      <c r="W9" s="113"/>
      <c r="X9" s="113"/>
      <c r="Z9" s="119"/>
      <c r="AA9" s="118"/>
      <c r="AB9" s="118"/>
      <c r="AC9" s="113"/>
      <c r="AD9" s="116"/>
      <c r="AF9" s="61">
        <f>Input!C$7</f>
        <v>0</v>
      </c>
      <c r="AG9" s="25">
        <v>8</v>
      </c>
      <c r="AH9" s="53">
        <f>DSUM(Temperature!A$1:E$301,5,AF$1:AG9)-DSUM(Temperature!A$1:E$301,5,AF$1:AG8)</f>
        <v>0</v>
      </c>
      <c r="AI9" s="53">
        <f t="shared" si="3"/>
        <v>120</v>
      </c>
      <c r="AJ9" s="53">
        <f t="shared" si="4"/>
        <v>0</v>
      </c>
      <c r="AK9" s="7">
        <f t="shared" si="5"/>
        <v>0</v>
      </c>
      <c r="AL9" s="15">
        <f t="shared" si="6"/>
        <v>753.40999999999985</v>
      </c>
      <c r="AM9" s="15">
        <f t="shared" si="6"/>
        <v>231.37500000000009</v>
      </c>
    </row>
    <row r="10" spans="1:39" x14ac:dyDescent="0.2">
      <c r="A10" s="110"/>
      <c r="B10" s="110"/>
      <c r="C10" s="110"/>
      <c r="D10" s="110"/>
      <c r="F10" s="14">
        <f>IF(G10=0,IF(G9=0,F9,F9+1),IF(G9=0,MAX(F$1:F9),MAX(F$1:F9)+1))</f>
        <v>3</v>
      </c>
      <c r="G10" s="14">
        <f>IF(('S-Table'!$B10-$C$2)*('S-Table'!$B10-$D$2)=0,IF(('S-Table'!$C10-$C$3)*('S-Table'!$C10-$D$3)=0,'S-Table'!A10,0),0)</f>
        <v>-55</v>
      </c>
      <c r="H10" s="14">
        <f>IF(('S-Table'!$B10-$C$2)*('S-Table'!$B10-$D$2)=0,IF(('S-Table'!$C10-$C$3)*('S-Table'!$C10-$D$3)=0,'S-Table'!B10,0),0)</f>
        <v>6.5</v>
      </c>
      <c r="I10" s="14">
        <f>IF(('S-Table'!$B10-$C$2)*('S-Table'!$B10-$D$2)=0,IF(('S-Table'!$C10-$C$3)*('S-Table'!$C10-$D$3)=0,'S-Table'!C10,0),0)</f>
        <v>50</v>
      </c>
      <c r="J10" s="14">
        <f>IF(('S-Table'!$B10-$C$2)*('S-Table'!$B10-$D$2)=0,IF(('S-Table'!$C10-$C$3)*('S-Table'!$C10-$D$3)=0,'S-Table'!D10,0),0)</f>
        <v>420.54</v>
      </c>
      <c r="K10" s="14">
        <f>IF(('S-Table'!$B10-$C$2)*('S-Table'!$B10-$D$2)=0,IF(('S-Table'!$C10-$C$3)*('S-Table'!$C10-$D$3)=0,'S-Table'!E10,0),0)</f>
        <v>128.86000000000001</v>
      </c>
      <c r="M10" s="53">
        <v>9</v>
      </c>
      <c r="N10" s="117">
        <f>VLOOKUP($M10,$F$2:$K$1009,2)</f>
        <v>5</v>
      </c>
      <c r="O10" s="117">
        <f>VLOOKUP($M10,$F$2:$K$1009,3)</f>
        <v>6</v>
      </c>
      <c r="P10" s="53">
        <f t="shared" si="0"/>
        <v>50</v>
      </c>
      <c r="Q10" s="15">
        <f t="shared" si="1"/>
        <v>444.63</v>
      </c>
      <c r="R10" s="15">
        <f t="shared" si="2"/>
        <v>162.91999999999999</v>
      </c>
      <c r="T10" s="117">
        <f>N10</f>
        <v>5</v>
      </c>
      <c r="U10" s="117">
        <f>O10</f>
        <v>6</v>
      </c>
      <c r="V10" s="118"/>
      <c r="W10" s="111">
        <f>((Q11-Q10)*$B$3+(Q10*$D$3-Q11*$C$3))/($D$3-$C$3)</f>
        <v>464.93</v>
      </c>
      <c r="X10" s="111">
        <f>((R11-R10)*$B$3+(R10*$D$3-R11*$C$3))/($D$3-$C$3)</f>
        <v>162.87999999999997</v>
      </c>
      <c r="Z10" s="117">
        <f>N10</f>
        <v>5</v>
      </c>
      <c r="AA10" s="118"/>
      <c r="AB10" s="118"/>
      <c r="AC10" s="111">
        <f>((W12-W10)*$B$2+(W10*$D$2-W12*$C$2))/($D$2-$C$2)</f>
        <v>753.40999999999985</v>
      </c>
      <c r="AD10" s="114">
        <f>((X12-X10)*$B$2+(X10*$D$2-X12*$C$2))/($D$2-$C$2)</f>
        <v>162.63999999999942</v>
      </c>
      <c r="AF10" s="61">
        <f>Input!C$7</f>
        <v>0</v>
      </c>
      <c r="AG10" s="25">
        <v>9</v>
      </c>
      <c r="AH10" s="53">
        <f>DSUM(Temperature!A$1:E$301,5,AF$1:AG10)-DSUM(Temperature!A$1:E$301,5,AF$1:AG9)</f>
        <v>0</v>
      </c>
      <c r="AI10" s="53">
        <f t="shared" si="3"/>
        <v>120</v>
      </c>
      <c r="AJ10" s="53">
        <f t="shared" si="4"/>
        <v>0</v>
      </c>
      <c r="AK10" s="7">
        <f t="shared" si="5"/>
        <v>0</v>
      </c>
      <c r="AL10" s="15">
        <f t="shared" si="6"/>
        <v>753.40999999999985</v>
      </c>
      <c r="AM10" s="15">
        <f t="shared" si="6"/>
        <v>231.37500000000009</v>
      </c>
    </row>
    <row r="11" spans="1:39" x14ac:dyDescent="0.2">
      <c r="F11" s="14">
        <f>IF(G11=0,IF(G10=0,F10,F10+1),IF(G10=0,MAX(F$1:F10),MAX(F$1:F10)+1))</f>
        <v>4</v>
      </c>
      <c r="G11" s="14">
        <f>IF(('S-Table'!$B11-$C$2)*('S-Table'!$B11-$D$2)=0,IF(('S-Table'!$C11-$C$3)*('S-Table'!$C11-$D$3)=0,'S-Table'!A11,0),0)</f>
        <v>-55</v>
      </c>
      <c r="H11" s="14">
        <f>IF(('S-Table'!$B11-$C$2)*('S-Table'!$B11-$D$2)=0,IF(('S-Table'!$C11-$C$3)*('S-Table'!$C11-$D$3)=0,'S-Table'!B11,0),0)</f>
        <v>6.5</v>
      </c>
      <c r="I11" s="14">
        <f>IF(('S-Table'!$B11-$C$2)*('S-Table'!$B11-$D$2)=0,IF(('S-Table'!$C11-$C$3)*('S-Table'!$C11-$D$3)=0,'S-Table'!C11,0),0)</f>
        <v>100</v>
      </c>
      <c r="J11" s="14">
        <f>IF(('S-Table'!$B11-$C$2)*('S-Table'!$B11-$D$2)=0,IF(('S-Table'!$C11-$C$3)*('S-Table'!$C11-$D$3)=0,'S-Table'!D11,0),0)</f>
        <v>400.19</v>
      </c>
      <c r="K11" s="14">
        <f>IF(('S-Table'!$B11-$C$2)*('S-Table'!$B11-$D$2)=0,IF(('S-Table'!$C11-$C$3)*('S-Table'!$C11-$D$3)=0,'S-Table'!E11,0),0)</f>
        <v>129.01</v>
      </c>
      <c r="M11" s="53">
        <v>10</v>
      </c>
      <c r="N11" s="118"/>
      <c r="O11" s="119"/>
      <c r="P11" s="53">
        <f t="shared" si="0"/>
        <v>100</v>
      </c>
      <c r="Q11" s="15">
        <f t="shared" si="1"/>
        <v>424.33</v>
      </c>
      <c r="R11" s="15">
        <f t="shared" si="2"/>
        <v>162.96</v>
      </c>
      <c r="T11" s="118"/>
      <c r="U11" s="119"/>
      <c r="V11" s="118"/>
      <c r="W11" s="113"/>
      <c r="X11" s="113"/>
      <c r="Z11" s="118"/>
      <c r="AA11" s="118"/>
      <c r="AB11" s="118"/>
      <c r="AC11" s="112"/>
      <c r="AD11" s="115"/>
      <c r="AF11" s="61">
        <f>Input!C$7</f>
        <v>0</v>
      </c>
      <c r="AG11" s="25">
        <v>10</v>
      </c>
      <c r="AH11" s="53">
        <f>DSUM(Temperature!A$1:E$301,5,AF$1:AG11)-DSUM(Temperature!A$1:E$301,5,AF$1:AG10)</f>
        <v>0</v>
      </c>
      <c r="AI11" s="53">
        <f t="shared" si="3"/>
        <v>120</v>
      </c>
      <c r="AJ11" s="53">
        <f t="shared" si="4"/>
        <v>0</v>
      </c>
      <c r="AK11" s="7">
        <f t="shared" si="5"/>
        <v>0</v>
      </c>
      <c r="AL11" s="15">
        <f t="shared" si="6"/>
        <v>753.40999999999985</v>
      </c>
      <c r="AM11" s="15">
        <f t="shared" si="6"/>
        <v>231.37500000000009</v>
      </c>
    </row>
    <row r="12" spans="1:39" x14ac:dyDescent="0.2">
      <c r="F12" s="14">
        <f>IF(G12=0,IF(G11=0,F11,F11+1),IF(G11=0,MAX(F$1:F11),MAX(F$1:F11)+1))</f>
        <v>5</v>
      </c>
      <c r="G12" s="14">
        <f>IF(('S-Table'!$B12-$C$2)*('S-Table'!$B12-$D$2)=0,IF(('S-Table'!$C12-$C$3)*('S-Table'!$C12-$D$3)=0,'S-Table'!A12,0),0)</f>
        <v>0</v>
      </c>
      <c r="H12" s="14">
        <f>IF(('S-Table'!$B12-$C$2)*('S-Table'!$B12-$D$2)=0,IF(('S-Table'!$C12-$C$3)*('S-Table'!$C12-$D$3)=0,'S-Table'!B12,0),0)</f>
        <v>0</v>
      </c>
      <c r="I12" s="14">
        <f>IF(('S-Table'!$B12-$C$2)*('S-Table'!$B12-$D$2)=0,IF(('S-Table'!$C12-$C$3)*('S-Table'!$C12-$D$3)=0,'S-Table'!C12,0),0)</f>
        <v>0</v>
      </c>
      <c r="J12" s="14">
        <f>IF(('S-Table'!$B12-$C$2)*('S-Table'!$B12-$D$2)=0,IF(('S-Table'!$C12-$C$3)*('S-Table'!$C12-$D$3)=0,'S-Table'!D12,0),0)</f>
        <v>0</v>
      </c>
      <c r="K12" s="14">
        <f>IF(('S-Table'!$B12-$C$2)*('S-Table'!$B12-$D$2)=0,IF(('S-Table'!$C12-$C$3)*('S-Table'!$C12-$D$3)=0,'S-Table'!E12,0),0)</f>
        <v>0</v>
      </c>
      <c r="M12" s="53">
        <v>11</v>
      </c>
      <c r="N12" s="118"/>
      <c r="O12" s="117">
        <f>VLOOKUP($M12,$F$2:$K$1009,3)</f>
        <v>6.5</v>
      </c>
      <c r="P12" s="53">
        <f t="shared" si="0"/>
        <v>50</v>
      </c>
      <c r="Q12" s="15">
        <f t="shared" si="1"/>
        <v>420.54</v>
      </c>
      <c r="R12" s="15">
        <f t="shared" si="2"/>
        <v>162.94</v>
      </c>
      <c r="T12" s="118"/>
      <c r="U12" s="117">
        <f>O12</f>
        <v>6.5</v>
      </c>
      <c r="V12" s="118"/>
      <c r="W12" s="111">
        <f>((Q13-Q12)*$B$3+(Q12*$D$3-Q13*$C$3))/($D$3-$C$3)</f>
        <v>440.89</v>
      </c>
      <c r="X12" s="111">
        <f>((R13-R12)*$B$3+(R12*$D$3-R13*$C$3))/($D$3-$C$3)</f>
        <v>162.9</v>
      </c>
      <c r="Z12" s="118"/>
      <c r="AA12" s="118"/>
      <c r="AB12" s="118"/>
      <c r="AC12" s="112"/>
      <c r="AD12" s="115"/>
      <c r="AF12" s="61">
        <f>Input!C$7</f>
        <v>0</v>
      </c>
      <c r="AG12" s="25">
        <v>11</v>
      </c>
      <c r="AH12" s="53">
        <f>DSUM(Temperature!A$1:E$301,5,AF$1:AG12)-DSUM(Temperature!A$1:E$301,5,AF$1:AG11)</f>
        <v>0</v>
      </c>
      <c r="AI12" s="53">
        <f t="shared" si="3"/>
        <v>120</v>
      </c>
      <c r="AJ12" s="53">
        <f t="shared" si="4"/>
        <v>0</v>
      </c>
      <c r="AK12" s="7">
        <f t="shared" si="5"/>
        <v>0</v>
      </c>
      <c r="AL12" s="15">
        <f t="shared" si="6"/>
        <v>753.40999999999985</v>
      </c>
      <c r="AM12" s="15">
        <f t="shared" si="6"/>
        <v>231.37500000000009</v>
      </c>
    </row>
    <row r="13" spans="1:39" x14ac:dyDescent="0.2">
      <c r="F13" s="14">
        <f>IF(G13=0,IF(G12=0,F12,F12+1),IF(G12=0,MAX(F$1:F12),MAX(F$1:F12)+1))</f>
        <v>5</v>
      </c>
      <c r="G13" s="14">
        <f>IF(('S-Table'!$B13-$C$2)*('S-Table'!$B13-$D$2)=0,IF(('S-Table'!$C13-$C$3)*('S-Table'!$C13-$D$3)=0,'S-Table'!A13,0),0)</f>
        <v>0</v>
      </c>
      <c r="H13" s="14">
        <f>IF(('S-Table'!$B13-$C$2)*('S-Table'!$B13-$D$2)=0,IF(('S-Table'!$C13-$C$3)*('S-Table'!$C13-$D$3)=0,'S-Table'!B13,0),0)</f>
        <v>0</v>
      </c>
      <c r="I13" s="14">
        <f>IF(('S-Table'!$B13-$C$2)*('S-Table'!$B13-$D$2)=0,IF(('S-Table'!$C13-$C$3)*('S-Table'!$C13-$D$3)=0,'S-Table'!C13,0),0)</f>
        <v>0</v>
      </c>
      <c r="J13" s="14">
        <f>IF(('S-Table'!$B13-$C$2)*('S-Table'!$B13-$D$2)=0,IF(('S-Table'!$C13-$C$3)*('S-Table'!$C13-$D$3)=0,'S-Table'!D13,0),0)</f>
        <v>0</v>
      </c>
      <c r="K13" s="14">
        <f>IF(('S-Table'!$B13-$C$2)*('S-Table'!$B13-$D$2)=0,IF(('S-Table'!$C13-$C$3)*('S-Table'!$C13-$D$3)=0,'S-Table'!E13,0),0)</f>
        <v>0</v>
      </c>
      <c r="M13" s="53">
        <v>12</v>
      </c>
      <c r="N13" s="119"/>
      <c r="O13" s="119"/>
      <c r="P13" s="53">
        <f t="shared" si="0"/>
        <v>100</v>
      </c>
      <c r="Q13" s="15">
        <f t="shared" si="1"/>
        <v>400.19</v>
      </c>
      <c r="R13" s="15">
        <f t="shared" si="2"/>
        <v>162.97999999999999</v>
      </c>
      <c r="T13" s="119"/>
      <c r="U13" s="119"/>
      <c r="V13" s="118"/>
      <c r="W13" s="113"/>
      <c r="X13" s="113"/>
      <c r="Z13" s="119"/>
      <c r="AA13" s="118"/>
      <c r="AB13" s="118"/>
      <c r="AC13" s="113"/>
      <c r="AD13" s="116"/>
      <c r="AF13" s="53">
        <f>Input!C$7</f>
        <v>0</v>
      </c>
      <c r="AG13" s="25">
        <v>12</v>
      </c>
      <c r="AH13" s="53">
        <f>DSUM(Temperature!A$1:E$301,5,AF$1:AG13)-DSUM(Temperature!A$1:E$301,5,AF$1:AG12)</f>
        <v>0</v>
      </c>
      <c r="AI13" s="53">
        <f t="shared" si="3"/>
        <v>120</v>
      </c>
      <c r="AJ13" s="53">
        <f t="shared" si="4"/>
        <v>0</v>
      </c>
      <c r="AK13" s="7">
        <f t="shared" si="5"/>
        <v>0</v>
      </c>
      <c r="AL13" s="15">
        <f t="shared" si="6"/>
        <v>753.40999999999985</v>
      </c>
      <c r="AM13" s="15">
        <f t="shared" si="6"/>
        <v>231.37500000000009</v>
      </c>
    </row>
    <row r="14" spans="1:39" x14ac:dyDescent="0.2">
      <c r="F14" s="14">
        <f>IF(G14=0,IF(G13=0,F13,F13+1),IF(G13=0,MAX(F$1:F13),MAX(F$1:F13)+1))</f>
        <v>5</v>
      </c>
      <c r="G14" s="14">
        <f>IF(('S-Table'!$B14-$C$2)*('S-Table'!$B14-$D$2)=0,IF(('S-Table'!$C14-$C$3)*('S-Table'!$C14-$D$3)=0,'S-Table'!A14,0),0)</f>
        <v>0</v>
      </c>
      <c r="H14" s="14">
        <f>IF(('S-Table'!$B14-$C$2)*('S-Table'!$B14-$D$2)=0,IF(('S-Table'!$C14-$C$3)*('S-Table'!$C14-$D$3)=0,'S-Table'!B14,0),0)</f>
        <v>0</v>
      </c>
      <c r="I14" s="14">
        <f>IF(('S-Table'!$B14-$C$2)*('S-Table'!$B14-$D$2)=0,IF(('S-Table'!$C14-$C$3)*('S-Table'!$C14-$D$3)=0,'S-Table'!C14,0),0)</f>
        <v>0</v>
      </c>
      <c r="J14" s="14">
        <f>IF(('S-Table'!$B14-$C$2)*('S-Table'!$B14-$D$2)=0,IF(('S-Table'!$C14-$C$3)*('S-Table'!$C14-$D$3)=0,'S-Table'!D14,0),0)</f>
        <v>0</v>
      </c>
      <c r="K14" s="14">
        <f>IF(('S-Table'!$B14-$C$2)*('S-Table'!$B14-$D$2)=0,IF(('S-Table'!$C14-$C$3)*('S-Table'!$C14-$D$3)=0,'S-Table'!E14,0),0)</f>
        <v>0</v>
      </c>
      <c r="M14" s="53">
        <v>13</v>
      </c>
      <c r="N14" s="117">
        <f>VLOOKUP($M14,$F$2:$K$1009,2)</f>
        <v>35</v>
      </c>
      <c r="O14" s="117">
        <f>VLOOKUP($M14,$F$2:$K$1009,3)</f>
        <v>6</v>
      </c>
      <c r="P14" s="53">
        <f t="shared" si="0"/>
        <v>50</v>
      </c>
      <c r="Q14" s="15">
        <f t="shared" si="1"/>
        <v>444.63</v>
      </c>
      <c r="R14" s="15">
        <f t="shared" si="2"/>
        <v>180.38</v>
      </c>
      <c r="T14" s="117">
        <f>N14</f>
        <v>35</v>
      </c>
      <c r="U14" s="117">
        <f>O14</f>
        <v>6</v>
      </c>
      <c r="V14" s="118"/>
      <c r="W14" s="111">
        <f>((Q15-Q14)*$B$3+(Q14*$D$3-Q15*$C$3))/($D$3-$C$3)</f>
        <v>464.93</v>
      </c>
      <c r="X14" s="111">
        <f>((R15-R14)*$B$3+(R14*$D$3-R15*$C$3))/($D$3-$C$3)</f>
        <v>180.37</v>
      </c>
      <c r="Z14" s="117">
        <f>N14</f>
        <v>35</v>
      </c>
      <c r="AA14" s="118"/>
      <c r="AB14" s="118"/>
      <c r="AC14" s="111">
        <f>((W16-W14)*$B$2+(W14*$D$2-W16*$C$2))/($D$2-$C$2)</f>
        <v>753.40999999999985</v>
      </c>
      <c r="AD14" s="114">
        <f>((X16-X14)*$B$2+(X14*$D$2-X16*$C$2))/($D$2-$C$2)</f>
        <v>180.61000000000013</v>
      </c>
    </row>
    <row r="15" spans="1:39" x14ac:dyDescent="0.2">
      <c r="F15" s="14">
        <f>IF(G15=0,IF(G14=0,F14,F14+1),IF(G14=0,MAX(F$1:F14),MAX(F$1:F14)+1))</f>
        <v>5</v>
      </c>
      <c r="G15" s="14">
        <f>IF(('S-Table'!$B15-$C$2)*('S-Table'!$B15-$D$2)=0,IF(('S-Table'!$C15-$C$3)*('S-Table'!$C15-$D$3)=0,'S-Table'!A15,0),0)</f>
        <v>0</v>
      </c>
      <c r="H15" s="14">
        <f>IF(('S-Table'!$B15-$C$2)*('S-Table'!$B15-$D$2)=0,IF(('S-Table'!$C15-$C$3)*('S-Table'!$C15-$D$3)=0,'S-Table'!B15,0),0)</f>
        <v>0</v>
      </c>
      <c r="I15" s="14">
        <f>IF(('S-Table'!$B15-$C$2)*('S-Table'!$B15-$D$2)=0,IF(('S-Table'!$C15-$C$3)*('S-Table'!$C15-$D$3)=0,'S-Table'!C15,0),0)</f>
        <v>0</v>
      </c>
      <c r="J15" s="14">
        <f>IF(('S-Table'!$B15-$C$2)*('S-Table'!$B15-$D$2)=0,IF(('S-Table'!$C15-$C$3)*('S-Table'!$C15-$D$3)=0,'S-Table'!D15,0),0)</f>
        <v>0</v>
      </c>
      <c r="K15" s="14">
        <f>IF(('S-Table'!$B15-$C$2)*('S-Table'!$B15-$D$2)=0,IF(('S-Table'!$C15-$C$3)*('S-Table'!$C15-$D$3)=0,'S-Table'!E15,0),0)</f>
        <v>0</v>
      </c>
      <c r="M15" s="53">
        <v>14</v>
      </c>
      <c r="N15" s="118"/>
      <c r="O15" s="119"/>
      <c r="P15" s="53">
        <f t="shared" si="0"/>
        <v>100</v>
      </c>
      <c r="Q15" s="15">
        <f t="shared" si="1"/>
        <v>424.33</v>
      </c>
      <c r="R15" s="15">
        <f t="shared" si="2"/>
        <v>180.39</v>
      </c>
      <c r="T15" s="118"/>
      <c r="U15" s="119"/>
      <c r="V15" s="118"/>
      <c r="W15" s="113"/>
      <c r="X15" s="113"/>
      <c r="Z15" s="118"/>
      <c r="AA15" s="118"/>
      <c r="AB15" s="118"/>
      <c r="AC15" s="112"/>
      <c r="AD15" s="115"/>
    </row>
    <row r="16" spans="1:39" x14ac:dyDescent="0.2">
      <c r="F16" s="14">
        <f>IF(G16=0,IF(G15=0,F15,F15+1),IF(G15=0,MAX(F$1:F15),MAX(F$1:F15)+1))</f>
        <v>5</v>
      </c>
      <c r="G16" s="14">
        <f>IF(('S-Table'!$B16-$C$2)*('S-Table'!$B16-$D$2)=0,IF(('S-Table'!$C16-$C$3)*('S-Table'!$C16-$D$3)=0,'S-Table'!A16,0),0)</f>
        <v>0</v>
      </c>
      <c r="H16" s="14">
        <f>IF(('S-Table'!$B16-$C$2)*('S-Table'!$B16-$D$2)=0,IF(('S-Table'!$C16-$C$3)*('S-Table'!$C16-$D$3)=0,'S-Table'!B16,0),0)</f>
        <v>0</v>
      </c>
      <c r="I16" s="14">
        <f>IF(('S-Table'!$B16-$C$2)*('S-Table'!$B16-$D$2)=0,IF(('S-Table'!$C16-$C$3)*('S-Table'!$C16-$D$3)=0,'S-Table'!C16,0),0)</f>
        <v>0</v>
      </c>
      <c r="J16" s="14">
        <f>IF(('S-Table'!$B16-$C$2)*('S-Table'!$B16-$D$2)=0,IF(('S-Table'!$C16-$C$3)*('S-Table'!$C16-$D$3)=0,'S-Table'!D16,0),0)</f>
        <v>0</v>
      </c>
      <c r="K16" s="14">
        <f>IF(('S-Table'!$B16-$C$2)*('S-Table'!$B16-$D$2)=0,IF(('S-Table'!$C16-$C$3)*('S-Table'!$C16-$D$3)=0,'S-Table'!E16,0),0)</f>
        <v>0</v>
      </c>
      <c r="M16" s="53">
        <v>15</v>
      </c>
      <c r="N16" s="118"/>
      <c r="O16" s="117">
        <f>VLOOKUP($M16,$F$2:$K$1009,3)</f>
        <v>6.5</v>
      </c>
      <c r="P16" s="53">
        <f t="shared" si="0"/>
        <v>50</v>
      </c>
      <c r="Q16" s="15">
        <f t="shared" si="1"/>
        <v>420.54</v>
      </c>
      <c r="R16" s="15">
        <f t="shared" si="2"/>
        <v>180.36</v>
      </c>
      <c r="T16" s="118"/>
      <c r="U16" s="117">
        <f>O16</f>
        <v>6.5</v>
      </c>
      <c r="V16" s="118"/>
      <c r="W16" s="111">
        <f>((Q17-Q16)*$B$3+(Q16*$D$3-Q17*$C$3))/($D$3-$C$3)</f>
        <v>440.89</v>
      </c>
      <c r="X16" s="111">
        <f>((R17-R16)*$B$3+(R16*$D$3-R17*$C$3))/($D$3-$C$3)</f>
        <v>180.35</v>
      </c>
      <c r="Z16" s="118"/>
      <c r="AA16" s="118"/>
      <c r="AB16" s="118"/>
      <c r="AC16" s="112"/>
      <c r="AD16" s="115"/>
      <c r="AH16" s="55"/>
    </row>
    <row r="17" spans="6:34" x14ac:dyDescent="0.2">
      <c r="F17" s="14">
        <f>IF(G17=0,IF(G16=0,F16,F16+1),IF(G16=0,MAX(F$1:F16),MAX(F$1:F16)+1))</f>
        <v>5</v>
      </c>
      <c r="G17" s="14">
        <f>IF(('S-Table'!$B17-$C$2)*('S-Table'!$B17-$D$2)=0,IF(('S-Table'!$C17-$C$3)*('S-Table'!$C17-$D$3)=0,'S-Table'!A17,0),0)</f>
        <v>0</v>
      </c>
      <c r="H17" s="14">
        <f>IF(('S-Table'!$B17-$C$2)*('S-Table'!$B17-$D$2)=0,IF(('S-Table'!$C17-$C$3)*('S-Table'!$C17-$D$3)=0,'S-Table'!B17,0),0)</f>
        <v>0</v>
      </c>
      <c r="I17" s="14">
        <f>IF(('S-Table'!$B17-$C$2)*('S-Table'!$B17-$D$2)=0,IF(('S-Table'!$C17-$C$3)*('S-Table'!$C17-$D$3)=0,'S-Table'!C17,0),0)</f>
        <v>0</v>
      </c>
      <c r="J17" s="14">
        <f>IF(('S-Table'!$B17-$C$2)*('S-Table'!$B17-$D$2)=0,IF(('S-Table'!$C17-$C$3)*('S-Table'!$C17-$D$3)=0,'S-Table'!D17,0),0)</f>
        <v>0</v>
      </c>
      <c r="K17" s="14">
        <f>IF(('S-Table'!$B17-$C$2)*('S-Table'!$B17-$D$2)=0,IF(('S-Table'!$C17-$C$3)*('S-Table'!$C17-$D$3)=0,'S-Table'!E17,0),0)</f>
        <v>0</v>
      </c>
      <c r="M17" s="53">
        <v>16</v>
      </c>
      <c r="N17" s="119"/>
      <c r="O17" s="119"/>
      <c r="P17" s="53">
        <f t="shared" si="0"/>
        <v>100</v>
      </c>
      <c r="Q17" s="15">
        <f t="shared" si="1"/>
        <v>400.19</v>
      </c>
      <c r="R17" s="15">
        <f t="shared" si="2"/>
        <v>180.37</v>
      </c>
      <c r="T17" s="119"/>
      <c r="U17" s="119"/>
      <c r="V17" s="118"/>
      <c r="W17" s="113"/>
      <c r="X17" s="113"/>
      <c r="Z17" s="119"/>
      <c r="AA17" s="118"/>
      <c r="AB17" s="118"/>
      <c r="AC17" s="113"/>
      <c r="AD17" s="116"/>
      <c r="AH17" s="55"/>
    </row>
    <row r="18" spans="6:34" x14ac:dyDescent="0.2">
      <c r="F18" s="14">
        <f>IF(G18=0,IF(G17=0,F17,F17+1),IF(G17=0,MAX(F$1:F17),MAX(F$1:F17)+1))</f>
        <v>5</v>
      </c>
      <c r="G18" s="14">
        <f>IF(('S-Table'!$B18-$C$2)*('S-Table'!$B18-$D$2)=0,IF(('S-Table'!$C18-$C$3)*('S-Table'!$C18-$D$3)=0,'S-Table'!A18,0),0)</f>
        <v>0</v>
      </c>
      <c r="H18" s="14">
        <f>IF(('S-Table'!$B18-$C$2)*('S-Table'!$B18-$D$2)=0,IF(('S-Table'!$C18-$C$3)*('S-Table'!$C18-$D$3)=0,'S-Table'!B18,0),0)</f>
        <v>0</v>
      </c>
      <c r="I18" s="14">
        <f>IF(('S-Table'!$B18-$C$2)*('S-Table'!$B18-$D$2)=0,IF(('S-Table'!$C18-$C$3)*('S-Table'!$C18-$D$3)=0,'S-Table'!C18,0),0)</f>
        <v>0</v>
      </c>
      <c r="J18" s="14">
        <f>IF(('S-Table'!$B18-$C$2)*('S-Table'!$B18-$D$2)=0,IF(('S-Table'!$C18-$C$3)*('S-Table'!$C18-$D$3)=0,'S-Table'!D18,0),0)</f>
        <v>0</v>
      </c>
      <c r="K18" s="14">
        <f>IF(('S-Table'!$B18-$C$2)*('S-Table'!$B18-$D$2)=0,IF(('S-Table'!$C18-$C$3)*('S-Table'!$C18-$D$3)=0,'S-Table'!E18,0),0)</f>
        <v>0</v>
      </c>
      <c r="M18" s="53">
        <v>17</v>
      </c>
      <c r="N18" s="117">
        <f>VLOOKUP($M18,$F$2:$K$1009,2)</f>
        <v>65</v>
      </c>
      <c r="O18" s="117">
        <f>VLOOKUP($M18,$F$2:$K$1009,3)</f>
        <v>6</v>
      </c>
      <c r="P18" s="53">
        <f t="shared" si="0"/>
        <v>50</v>
      </c>
      <c r="Q18" s="15">
        <f t="shared" si="1"/>
        <v>444.63</v>
      </c>
      <c r="R18" s="15">
        <f t="shared" si="2"/>
        <v>198.07</v>
      </c>
      <c r="T18" s="117">
        <f>N18</f>
        <v>65</v>
      </c>
      <c r="U18" s="117">
        <f>O18</f>
        <v>6</v>
      </c>
      <c r="V18" s="118"/>
      <c r="W18" s="111">
        <f>((Q19-Q18)*$B$3+(Q18*$D$3-Q19*$C$3))/($D$3-$C$3)</f>
        <v>464.93</v>
      </c>
      <c r="X18" s="111">
        <f>((R19-R18)*$B$3+(R18*$D$3-R19*$C$3))/($D$3-$C$3)</f>
        <v>198.08</v>
      </c>
      <c r="Z18" s="117">
        <f>N18</f>
        <v>65</v>
      </c>
      <c r="AA18" s="118"/>
      <c r="AB18" s="118"/>
      <c r="AC18" s="111">
        <f>((W20-W18)*$B$2+(W18*$D$2-W20*$C$2))/($D$2-$C$2)</f>
        <v>753.40999999999985</v>
      </c>
      <c r="AD18" s="114">
        <f>((X20-X18)*$B$2+(X18*$D$2-X20*$C$2))/($D$2-$C$2)</f>
        <v>198.31999999999971</v>
      </c>
      <c r="AH18" s="55"/>
    </row>
    <row r="19" spans="6:34" x14ac:dyDescent="0.2">
      <c r="F19" s="14">
        <f>IF(G19=0,IF(G18=0,F18,F18+1),IF(G18=0,MAX(F$1:F18),MAX(F$1:F18)+1))</f>
        <v>5</v>
      </c>
      <c r="G19" s="14">
        <f>IF(('S-Table'!$B19-$C$2)*('S-Table'!$B19-$D$2)=0,IF(('S-Table'!$C19-$C$3)*('S-Table'!$C19-$D$3)=0,'S-Table'!A19,0),0)</f>
        <v>0</v>
      </c>
      <c r="H19" s="14">
        <f>IF(('S-Table'!$B19-$C$2)*('S-Table'!$B19-$D$2)=0,IF(('S-Table'!$C19-$C$3)*('S-Table'!$C19-$D$3)=0,'S-Table'!B19,0),0)</f>
        <v>0</v>
      </c>
      <c r="I19" s="14">
        <f>IF(('S-Table'!$B19-$C$2)*('S-Table'!$B19-$D$2)=0,IF(('S-Table'!$C19-$C$3)*('S-Table'!$C19-$D$3)=0,'S-Table'!C19,0),0)</f>
        <v>0</v>
      </c>
      <c r="J19" s="14">
        <f>IF(('S-Table'!$B19-$C$2)*('S-Table'!$B19-$D$2)=0,IF(('S-Table'!$C19-$C$3)*('S-Table'!$C19-$D$3)=0,'S-Table'!D19,0),0)</f>
        <v>0</v>
      </c>
      <c r="K19" s="14">
        <f>IF(('S-Table'!$B19-$C$2)*('S-Table'!$B19-$D$2)=0,IF(('S-Table'!$C19-$C$3)*('S-Table'!$C19-$D$3)=0,'S-Table'!E19,0),0)</f>
        <v>0</v>
      </c>
      <c r="M19" s="53">
        <v>18</v>
      </c>
      <c r="N19" s="118"/>
      <c r="O19" s="119"/>
      <c r="P19" s="53">
        <f t="shared" si="0"/>
        <v>100</v>
      </c>
      <c r="Q19" s="15">
        <f t="shared" si="1"/>
        <v>424.33</v>
      </c>
      <c r="R19" s="15">
        <f t="shared" si="2"/>
        <v>198.06</v>
      </c>
      <c r="T19" s="118"/>
      <c r="U19" s="119"/>
      <c r="V19" s="118"/>
      <c r="W19" s="113"/>
      <c r="X19" s="113"/>
      <c r="Z19" s="118"/>
      <c r="AA19" s="118"/>
      <c r="AB19" s="118"/>
      <c r="AC19" s="112"/>
      <c r="AD19" s="115"/>
      <c r="AH19" s="55"/>
    </row>
    <row r="20" spans="6:34" x14ac:dyDescent="0.2">
      <c r="F20" s="14">
        <f>IF(G20=0,IF(G19=0,F19,F19+1),IF(G19=0,MAX(F$1:F19),MAX(F$1:F19)+1))</f>
        <v>5</v>
      </c>
      <c r="G20" s="14">
        <f>IF(('S-Table'!$B20-$C$2)*('S-Table'!$B20-$D$2)=0,IF(('S-Table'!$C20-$C$3)*('S-Table'!$C20-$D$3)=0,'S-Table'!A20,0),0)</f>
        <v>0</v>
      </c>
      <c r="H20" s="14">
        <f>IF(('S-Table'!$B20-$C$2)*('S-Table'!$B20-$D$2)=0,IF(('S-Table'!$C20-$C$3)*('S-Table'!$C20-$D$3)=0,'S-Table'!B20,0),0)</f>
        <v>0</v>
      </c>
      <c r="I20" s="14">
        <f>IF(('S-Table'!$B20-$C$2)*('S-Table'!$B20-$D$2)=0,IF(('S-Table'!$C20-$C$3)*('S-Table'!$C20-$D$3)=0,'S-Table'!C20,0),0)</f>
        <v>0</v>
      </c>
      <c r="J20" s="14">
        <f>IF(('S-Table'!$B20-$C$2)*('S-Table'!$B20-$D$2)=0,IF(('S-Table'!$C20-$C$3)*('S-Table'!$C20-$D$3)=0,'S-Table'!D20,0),0)</f>
        <v>0</v>
      </c>
      <c r="K20" s="14">
        <f>IF(('S-Table'!$B20-$C$2)*('S-Table'!$B20-$D$2)=0,IF(('S-Table'!$C20-$C$3)*('S-Table'!$C20-$D$3)=0,'S-Table'!E20,0),0)</f>
        <v>0</v>
      </c>
      <c r="M20" s="53">
        <v>19</v>
      </c>
      <c r="N20" s="118"/>
      <c r="O20" s="117">
        <f>VLOOKUP($M20,$F$2:$K$1009,3)</f>
        <v>6.5</v>
      </c>
      <c r="P20" s="53">
        <f t="shared" si="0"/>
        <v>50</v>
      </c>
      <c r="Q20" s="15">
        <f t="shared" si="1"/>
        <v>420.54</v>
      </c>
      <c r="R20" s="15">
        <f t="shared" si="2"/>
        <v>198.04</v>
      </c>
      <c r="T20" s="118"/>
      <c r="U20" s="117">
        <f>O20</f>
        <v>6.5</v>
      </c>
      <c r="V20" s="118"/>
      <c r="W20" s="111">
        <f>((Q21-Q20)*$B$3+(Q20*$D$3-Q21*$C$3))/($D$3-$C$3)</f>
        <v>440.89</v>
      </c>
      <c r="X20" s="111">
        <f>((R21-R20)*$B$3+(R20*$D$3-R21*$C$3))/($D$3-$C$3)</f>
        <v>198.06</v>
      </c>
      <c r="Z20" s="118"/>
      <c r="AA20" s="118"/>
      <c r="AB20" s="118"/>
      <c r="AC20" s="112"/>
      <c r="AD20" s="115"/>
      <c r="AH20" s="55"/>
    </row>
    <row r="21" spans="6:34" x14ac:dyDescent="0.2">
      <c r="F21" s="14">
        <f>IF(G21=0,IF(G20=0,F20,F20+1),IF(G20=0,MAX(F$1:F20),MAX(F$1:F20)+1))</f>
        <v>5</v>
      </c>
      <c r="G21" s="14">
        <f>IF(('S-Table'!$B21-$C$2)*('S-Table'!$B21-$D$2)=0,IF(('S-Table'!$C21-$C$3)*('S-Table'!$C21-$D$3)=0,'S-Table'!A21,0),0)</f>
        <v>0</v>
      </c>
      <c r="H21" s="14">
        <f>IF(('S-Table'!$B21-$C$2)*('S-Table'!$B21-$D$2)=0,IF(('S-Table'!$C21-$C$3)*('S-Table'!$C21-$D$3)=0,'S-Table'!B21,0),0)</f>
        <v>0</v>
      </c>
      <c r="I21" s="14">
        <f>IF(('S-Table'!$B21-$C$2)*('S-Table'!$B21-$D$2)=0,IF(('S-Table'!$C21-$C$3)*('S-Table'!$C21-$D$3)=0,'S-Table'!C21,0),0)</f>
        <v>0</v>
      </c>
      <c r="J21" s="14">
        <f>IF(('S-Table'!$B21-$C$2)*('S-Table'!$B21-$D$2)=0,IF(('S-Table'!$C21-$C$3)*('S-Table'!$C21-$D$3)=0,'S-Table'!D21,0),0)</f>
        <v>0</v>
      </c>
      <c r="K21" s="14">
        <f>IF(('S-Table'!$B21-$C$2)*('S-Table'!$B21-$D$2)=0,IF(('S-Table'!$C21-$C$3)*('S-Table'!$C21-$D$3)=0,'S-Table'!E21,0),0)</f>
        <v>0</v>
      </c>
      <c r="M21" s="53">
        <v>20</v>
      </c>
      <c r="N21" s="119"/>
      <c r="O21" s="119"/>
      <c r="P21" s="53">
        <f t="shared" si="0"/>
        <v>100</v>
      </c>
      <c r="Q21" s="15">
        <f t="shared" si="1"/>
        <v>400.19</v>
      </c>
      <c r="R21" s="15">
        <f t="shared" si="2"/>
        <v>198.02</v>
      </c>
      <c r="T21" s="119"/>
      <c r="U21" s="119"/>
      <c r="V21" s="118"/>
      <c r="W21" s="113"/>
      <c r="X21" s="113"/>
      <c r="Z21" s="119"/>
      <c r="AA21" s="118"/>
      <c r="AB21" s="118"/>
      <c r="AC21" s="113"/>
      <c r="AD21" s="116"/>
      <c r="AH21" s="55"/>
    </row>
    <row r="22" spans="6:34" x14ac:dyDescent="0.2">
      <c r="F22" s="14">
        <f>IF(G22=0,IF(G21=0,F21,F21+1),IF(G21=0,MAX(F$1:F21),MAX(F$1:F21)+1))</f>
        <v>5</v>
      </c>
      <c r="G22" s="14">
        <f>IF(('S-Table'!$B22-$C$2)*('S-Table'!$B22-$D$2)=0,IF(('S-Table'!$C22-$C$3)*('S-Table'!$C22-$D$3)=0,'S-Table'!A22,0),0)</f>
        <v>0</v>
      </c>
      <c r="H22" s="14">
        <f>IF(('S-Table'!$B22-$C$2)*('S-Table'!$B22-$D$2)=0,IF(('S-Table'!$C22-$C$3)*('S-Table'!$C22-$D$3)=0,'S-Table'!B22,0),0)</f>
        <v>0</v>
      </c>
      <c r="I22" s="14">
        <f>IF(('S-Table'!$B22-$C$2)*('S-Table'!$B22-$D$2)=0,IF(('S-Table'!$C22-$C$3)*('S-Table'!$C22-$D$3)=0,'S-Table'!C22,0),0)</f>
        <v>0</v>
      </c>
      <c r="J22" s="14">
        <f>IF(('S-Table'!$B22-$C$2)*('S-Table'!$B22-$D$2)=0,IF(('S-Table'!$C22-$C$3)*('S-Table'!$C22-$D$3)=0,'S-Table'!D22,0),0)</f>
        <v>0</v>
      </c>
      <c r="K22" s="14">
        <f>IF(('S-Table'!$B22-$C$2)*('S-Table'!$B22-$D$2)=0,IF(('S-Table'!$C22-$C$3)*('S-Table'!$C22-$D$3)=0,'S-Table'!E22,0),0)</f>
        <v>0</v>
      </c>
      <c r="M22" s="53">
        <v>21</v>
      </c>
      <c r="N22" s="117">
        <f>VLOOKUP($M22,$F$2:$K$1009,2)</f>
        <v>95</v>
      </c>
      <c r="O22" s="117">
        <f>VLOOKUP($M22,$F$2:$K$1009,3)</f>
        <v>6</v>
      </c>
      <c r="P22" s="53">
        <f t="shared" si="0"/>
        <v>50</v>
      </c>
      <c r="Q22" s="15">
        <f t="shared" si="1"/>
        <v>444.63</v>
      </c>
      <c r="R22" s="15">
        <f t="shared" si="2"/>
        <v>215.97</v>
      </c>
      <c r="T22" s="117">
        <f>N22</f>
        <v>95</v>
      </c>
      <c r="U22" s="117">
        <f>O22</f>
        <v>6</v>
      </c>
      <c r="V22" s="118"/>
      <c r="W22" s="111">
        <f>((Q23-Q22)*$B$3+(Q22*$D$3-Q23*$C$3))/($D$3-$C$3)</f>
        <v>464.93</v>
      </c>
      <c r="X22" s="111">
        <f>((R23-R22)*$B$3+(R22*$D$3-R23*$C$3))/($D$3-$C$3)</f>
        <v>215.99</v>
      </c>
      <c r="Z22" s="117">
        <f>N22</f>
        <v>95</v>
      </c>
      <c r="AA22" s="118"/>
      <c r="AB22" s="118"/>
      <c r="AC22" s="111">
        <f>((W24-W22)*$B$2+(W22*$D$2-W24*$C$2))/($D$2-$C$2)</f>
        <v>753.40999999999985</v>
      </c>
      <c r="AD22" s="114">
        <f>((X24-X22)*$B$2+(X22*$D$2-X24*$C$2))/($D$2-$C$2)</f>
        <v>216.34999999999991</v>
      </c>
      <c r="AH22" s="55"/>
    </row>
    <row r="23" spans="6:34" x14ac:dyDescent="0.2">
      <c r="F23" s="14">
        <f>IF(G23=0,IF(G22=0,F22,F22+1),IF(G22=0,MAX(F$1:F22),MAX(F$1:F22)+1))</f>
        <v>5</v>
      </c>
      <c r="G23" s="14">
        <f>IF(('S-Table'!$B23-$C$2)*('S-Table'!$B23-$D$2)=0,IF(('S-Table'!$C23-$C$3)*('S-Table'!$C23-$D$3)=0,'S-Table'!A23,0),0)</f>
        <v>0</v>
      </c>
      <c r="H23" s="14">
        <f>IF(('S-Table'!$B23-$C$2)*('S-Table'!$B23-$D$2)=0,IF(('S-Table'!$C23-$C$3)*('S-Table'!$C23-$D$3)=0,'S-Table'!B23,0),0)</f>
        <v>0</v>
      </c>
      <c r="I23" s="14">
        <f>IF(('S-Table'!$B23-$C$2)*('S-Table'!$B23-$D$2)=0,IF(('S-Table'!$C23-$C$3)*('S-Table'!$C23-$D$3)=0,'S-Table'!C23,0),0)</f>
        <v>0</v>
      </c>
      <c r="J23" s="14">
        <f>IF(('S-Table'!$B23-$C$2)*('S-Table'!$B23-$D$2)=0,IF(('S-Table'!$C23-$C$3)*('S-Table'!$C23-$D$3)=0,'S-Table'!D23,0),0)</f>
        <v>0</v>
      </c>
      <c r="K23" s="14">
        <f>IF(('S-Table'!$B23-$C$2)*('S-Table'!$B23-$D$2)=0,IF(('S-Table'!$C23-$C$3)*('S-Table'!$C23-$D$3)=0,'S-Table'!E23,0),0)</f>
        <v>0</v>
      </c>
      <c r="M23" s="53">
        <v>22</v>
      </c>
      <c r="N23" s="118"/>
      <c r="O23" s="119"/>
      <c r="P23" s="53">
        <f t="shared" si="0"/>
        <v>100</v>
      </c>
      <c r="Q23" s="15">
        <f t="shared" si="1"/>
        <v>424.33</v>
      </c>
      <c r="R23" s="15">
        <f t="shared" si="2"/>
        <v>215.95</v>
      </c>
      <c r="T23" s="118"/>
      <c r="U23" s="119"/>
      <c r="V23" s="118"/>
      <c r="W23" s="113"/>
      <c r="X23" s="113"/>
      <c r="Z23" s="118"/>
      <c r="AA23" s="118"/>
      <c r="AB23" s="118"/>
      <c r="AC23" s="112"/>
      <c r="AD23" s="115"/>
      <c r="AH23" s="55"/>
    </row>
    <row r="24" spans="6:34" x14ac:dyDescent="0.2">
      <c r="F24" s="14">
        <f>IF(G24=0,IF(G23=0,F23,F23+1),IF(G23=0,MAX(F$1:F23),MAX(F$1:F23)+1))</f>
        <v>5</v>
      </c>
      <c r="G24" s="14">
        <f>IF(('S-Table'!$B24-$C$2)*('S-Table'!$B24-$D$2)=0,IF(('S-Table'!$C24-$C$3)*('S-Table'!$C24-$D$3)=0,'S-Table'!A24,0),0)</f>
        <v>0</v>
      </c>
      <c r="H24" s="14">
        <f>IF(('S-Table'!$B24-$C$2)*('S-Table'!$B24-$D$2)=0,IF(('S-Table'!$C24-$C$3)*('S-Table'!$C24-$D$3)=0,'S-Table'!B24,0),0)</f>
        <v>0</v>
      </c>
      <c r="I24" s="14">
        <f>IF(('S-Table'!$B24-$C$2)*('S-Table'!$B24-$D$2)=0,IF(('S-Table'!$C24-$C$3)*('S-Table'!$C24-$D$3)=0,'S-Table'!C24,0),0)</f>
        <v>0</v>
      </c>
      <c r="J24" s="14">
        <f>IF(('S-Table'!$B24-$C$2)*('S-Table'!$B24-$D$2)=0,IF(('S-Table'!$C24-$C$3)*('S-Table'!$C24-$D$3)=0,'S-Table'!D24,0),0)</f>
        <v>0</v>
      </c>
      <c r="K24" s="14">
        <f>IF(('S-Table'!$B24-$C$2)*('S-Table'!$B24-$D$2)=0,IF(('S-Table'!$C24-$C$3)*('S-Table'!$C24-$D$3)=0,'S-Table'!E24,0),0)</f>
        <v>0</v>
      </c>
      <c r="M24" s="53">
        <v>23</v>
      </c>
      <c r="N24" s="118"/>
      <c r="O24" s="117">
        <f>VLOOKUP($M24,$F$2:$K$1009,3)</f>
        <v>6.5</v>
      </c>
      <c r="P24" s="53">
        <f t="shared" si="0"/>
        <v>50</v>
      </c>
      <c r="Q24" s="15">
        <f t="shared" si="1"/>
        <v>420.54</v>
      </c>
      <c r="R24" s="15">
        <f t="shared" si="2"/>
        <v>215.93</v>
      </c>
      <c r="T24" s="118"/>
      <c r="U24" s="117">
        <f>O24</f>
        <v>6.5</v>
      </c>
      <c r="V24" s="118"/>
      <c r="W24" s="111">
        <f>((Q25-Q24)*$B$3+(Q24*$D$3-Q25*$C$3))/($D$3-$C$3)</f>
        <v>440.89</v>
      </c>
      <c r="X24" s="111">
        <f>((R25-R24)*$B$3+(R24*$D$3-R25*$C$3))/($D$3-$C$3)</f>
        <v>215.96</v>
      </c>
      <c r="Z24" s="118"/>
      <c r="AA24" s="118"/>
      <c r="AB24" s="118"/>
      <c r="AC24" s="112"/>
      <c r="AD24" s="115"/>
      <c r="AH24" s="55"/>
    </row>
    <row r="25" spans="6:34" x14ac:dyDescent="0.2">
      <c r="F25" s="14">
        <f>IF(G25=0,IF(G24=0,F24,F24+1),IF(G24=0,MAX(F$1:F24),MAX(F$1:F24)+1))</f>
        <v>5</v>
      </c>
      <c r="G25" s="14">
        <f>IF(('S-Table'!$B25-$C$2)*('S-Table'!$B25-$D$2)=0,IF(('S-Table'!$C25-$C$3)*('S-Table'!$C25-$D$3)=0,'S-Table'!A25,0),0)</f>
        <v>0</v>
      </c>
      <c r="H25" s="14">
        <f>IF(('S-Table'!$B25-$C$2)*('S-Table'!$B25-$D$2)=0,IF(('S-Table'!$C25-$C$3)*('S-Table'!$C25-$D$3)=0,'S-Table'!B25,0),0)</f>
        <v>0</v>
      </c>
      <c r="I25" s="14">
        <f>IF(('S-Table'!$B25-$C$2)*('S-Table'!$B25-$D$2)=0,IF(('S-Table'!$C25-$C$3)*('S-Table'!$C25-$D$3)=0,'S-Table'!C25,0),0)</f>
        <v>0</v>
      </c>
      <c r="J25" s="14">
        <f>IF(('S-Table'!$B25-$C$2)*('S-Table'!$B25-$D$2)=0,IF(('S-Table'!$C25-$C$3)*('S-Table'!$C25-$D$3)=0,'S-Table'!D25,0),0)</f>
        <v>0</v>
      </c>
      <c r="K25" s="14">
        <f>IF(('S-Table'!$B25-$C$2)*('S-Table'!$B25-$D$2)=0,IF(('S-Table'!$C25-$C$3)*('S-Table'!$C25-$D$3)=0,'S-Table'!E25,0),0)</f>
        <v>0</v>
      </c>
      <c r="M25" s="53">
        <v>24</v>
      </c>
      <c r="N25" s="119"/>
      <c r="O25" s="119"/>
      <c r="P25" s="53">
        <f t="shared" si="0"/>
        <v>100</v>
      </c>
      <c r="Q25" s="15">
        <f t="shared" si="1"/>
        <v>400.19</v>
      </c>
      <c r="R25" s="15">
        <f t="shared" si="2"/>
        <v>215.9</v>
      </c>
      <c r="T25" s="119"/>
      <c r="U25" s="119"/>
      <c r="V25" s="119"/>
      <c r="W25" s="113"/>
      <c r="X25" s="113"/>
      <c r="Z25" s="119"/>
      <c r="AA25" s="119"/>
      <c r="AB25" s="119"/>
      <c r="AC25" s="113"/>
      <c r="AD25" s="116"/>
      <c r="AH25" s="55"/>
    </row>
    <row r="26" spans="6:34" x14ac:dyDescent="0.2">
      <c r="F26" s="14">
        <f>IF(G26=0,IF(G25=0,F25,F25+1),IF(G25=0,MAX(F$1:F25),MAX(F$1:F25)+1))</f>
        <v>5</v>
      </c>
      <c r="G26" s="14">
        <f>IF(('S-Table'!$B26-$C$2)*('S-Table'!$B26-$D$2)=0,IF(('S-Table'!$C26-$C$3)*('S-Table'!$C26-$D$3)=0,'S-Table'!A26,0),0)</f>
        <v>0</v>
      </c>
      <c r="H26" s="14">
        <f>IF(('S-Table'!$B26-$C$2)*('S-Table'!$B26-$D$2)=0,IF(('S-Table'!$C26-$C$3)*('S-Table'!$C26-$D$3)=0,'S-Table'!B26,0),0)</f>
        <v>0</v>
      </c>
      <c r="I26" s="14">
        <f>IF(('S-Table'!$B26-$C$2)*('S-Table'!$B26-$D$2)=0,IF(('S-Table'!$C26-$C$3)*('S-Table'!$C26-$D$3)=0,'S-Table'!C26,0),0)</f>
        <v>0</v>
      </c>
      <c r="J26" s="14">
        <f>IF(('S-Table'!$B26-$C$2)*('S-Table'!$B26-$D$2)=0,IF(('S-Table'!$C26-$C$3)*('S-Table'!$C26-$D$3)=0,'S-Table'!D26,0),0)</f>
        <v>0</v>
      </c>
      <c r="K26" s="14">
        <f>IF(('S-Table'!$B26-$C$2)*('S-Table'!$B26-$D$2)=0,IF(('S-Table'!$C26-$C$3)*('S-Table'!$C26-$D$3)=0,'S-Table'!E26,0),0)</f>
        <v>0</v>
      </c>
      <c r="AH26" s="55"/>
    </row>
    <row r="27" spans="6:34" x14ac:dyDescent="0.2">
      <c r="F27" s="14">
        <f>IF(G27=0,IF(G26=0,F26,F26+1),IF(G26=0,MAX(F$1:F26),MAX(F$1:F26)+1))</f>
        <v>5</v>
      </c>
      <c r="G27" s="14">
        <f>IF(('S-Table'!$B27-$C$2)*('S-Table'!$B27-$D$2)=0,IF(('S-Table'!$C27-$C$3)*('S-Table'!$C27-$D$3)=0,'S-Table'!A27,0),0)</f>
        <v>0</v>
      </c>
      <c r="H27" s="14">
        <f>IF(('S-Table'!$B27-$C$2)*('S-Table'!$B27-$D$2)=0,IF(('S-Table'!$C27-$C$3)*('S-Table'!$C27-$D$3)=0,'S-Table'!B27,0),0)</f>
        <v>0</v>
      </c>
      <c r="I27" s="14">
        <f>IF(('S-Table'!$B27-$C$2)*('S-Table'!$B27-$D$2)=0,IF(('S-Table'!$C27-$C$3)*('S-Table'!$C27-$D$3)=0,'S-Table'!C27,0),0)</f>
        <v>0</v>
      </c>
      <c r="J27" s="14">
        <f>IF(('S-Table'!$B27-$C$2)*('S-Table'!$B27-$D$2)=0,IF(('S-Table'!$C27-$C$3)*('S-Table'!$C27-$D$3)=0,'S-Table'!D27,0),0)</f>
        <v>0</v>
      </c>
      <c r="K27" s="14">
        <f>IF(('S-Table'!$B27-$C$2)*('S-Table'!$B27-$D$2)=0,IF(('S-Table'!$C27-$C$3)*('S-Table'!$C27-$D$3)=0,'S-Table'!E27,0),0)</f>
        <v>0</v>
      </c>
      <c r="AH27" s="55"/>
    </row>
    <row r="28" spans="6:34" x14ac:dyDescent="0.2">
      <c r="F28" s="14">
        <f>IF(G28=0,IF(G27=0,F27,F27+1),IF(G27=0,MAX(F$1:F27),MAX(F$1:F27)+1))</f>
        <v>5</v>
      </c>
      <c r="G28" s="14">
        <f>IF(('S-Table'!$B28-$C$2)*('S-Table'!$B28-$D$2)=0,IF(('S-Table'!$C28-$C$3)*('S-Table'!$C28-$D$3)=0,'S-Table'!A28,0),0)</f>
        <v>0</v>
      </c>
      <c r="H28" s="14">
        <f>IF(('S-Table'!$B28-$C$2)*('S-Table'!$B28-$D$2)=0,IF(('S-Table'!$C28-$C$3)*('S-Table'!$C28-$D$3)=0,'S-Table'!B28,0),0)</f>
        <v>0</v>
      </c>
      <c r="I28" s="14">
        <f>IF(('S-Table'!$B28-$C$2)*('S-Table'!$B28-$D$2)=0,IF(('S-Table'!$C28-$C$3)*('S-Table'!$C28-$D$3)=0,'S-Table'!C28,0),0)</f>
        <v>0</v>
      </c>
      <c r="J28" s="14">
        <f>IF(('S-Table'!$B28-$C$2)*('S-Table'!$B28-$D$2)=0,IF(('S-Table'!$C28-$C$3)*('S-Table'!$C28-$D$3)=0,'S-Table'!D28,0),0)</f>
        <v>0</v>
      </c>
      <c r="K28" s="14">
        <f>IF(('S-Table'!$B28-$C$2)*('S-Table'!$B28-$D$2)=0,IF(('S-Table'!$C28-$C$3)*('S-Table'!$C28-$D$3)=0,'S-Table'!E28,0),0)</f>
        <v>0</v>
      </c>
    </row>
    <row r="29" spans="6:34" x14ac:dyDescent="0.2">
      <c r="F29" s="14">
        <f>IF(G29=0,IF(G28=0,F28,F28+1),IF(G28=0,MAX(F$1:F28),MAX(F$1:F28)+1))</f>
        <v>5</v>
      </c>
      <c r="G29" s="14">
        <f>IF(('S-Table'!$B29-$C$2)*('S-Table'!$B29-$D$2)=0,IF(('S-Table'!$C29-$C$3)*('S-Table'!$C29-$D$3)=0,'S-Table'!A29,0),0)</f>
        <v>0</v>
      </c>
      <c r="H29" s="14">
        <f>IF(('S-Table'!$B29-$C$2)*('S-Table'!$B29-$D$2)=0,IF(('S-Table'!$C29-$C$3)*('S-Table'!$C29-$D$3)=0,'S-Table'!B29,0),0)</f>
        <v>0</v>
      </c>
      <c r="I29" s="14">
        <f>IF(('S-Table'!$B29-$C$2)*('S-Table'!$B29-$D$2)=0,IF(('S-Table'!$C29-$C$3)*('S-Table'!$C29-$D$3)=0,'S-Table'!C29,0),0)</f>
        <v>0</v>
      </c>
      <c r="J29" s="14">
        <f>IF(('S-Table'!$B29-$C$2)*('S-Table'!$B29-$D$2)=0,IF(('S-Table'!$C29-$C$3)*('S-Table'!$C29-$D$3)=0,'S-Table'!D29,0),0)</f>
        <v>0</v>
      </c>
      <c r="K29" s="14">
        <f>IF(('S-Table'!$B29-$C$2)*('S-Table'!$B29-$D$2)=0,IF(('S-Table'!$C29-$C$3)*('S-Table'!$C29-$D$3)=0,'S-Table'!E29,0),0)</f>
        <v>0</v>
      </c>
    </row>
    <row r="30" spans="6:34" x14ac:dyDescent="0.2">
      <c r="F30" s="14">
        <f>IF(G30=0,IF(G29=0,F29,F29+1),IF(G29=0,MAX(F$1:F29),MAX(F$1:F29)+1))</f>
        <v>5</v>
      </c>
      <c r="G30" s="14">
        <f>IF(('S-Table'!$B30-$C$2)*('S-Table'!$B30-$D$2)=0,IF(('S-Table'!$C30-$C$3)*('S-Table'!$C30-$D$3)=0,'S-Table'!A30,0),0)</f>
        <v>0</v>
      </c>
      <c r="H30" s="14">
        <f>IF(('S-Table'!$B30-$C$2)*('S-Table'!$B30-$D$2)=0,IF(('S-Table'!$C30-$C$3)*('S-Table'!$C30-$D$3)=0,'S-Table'!B30,0),0)</f>
        <v>0</v>
      </c>
      <c r="I30" s="14">
        <f>IF(('S-Table'!$B30-$C$2)*('S-Table'!$B30-$D$2)=0,IF(('S-Table'!$C30-$C$3)*('S-Table'!$C30-$D$3)=0,'S-Table'!C30,0),0)</f>
        <v>0</v>
      </c>
      <c r="J30" s="14">
        <f>IF(('S-Table'!$B30-$C$2)*('S-Table'!$B30-$D$2)=0,IF(('S-Table'!$C30-$C$3)*('S-Table'!$C30-$D$3)=0,'S-Table'!D30,0),0)</f>
        <v>0</v>
      </c>
      <c r="K30" s="14">
        <f>IF(('S-Table'!$B30-$C$2)*('S-Table'!$B30-$D$2)=0,IF(('S-Table'!$C30-$C$3)*('S-Table'!$C30-$D$3)=0,'S-Table'!E30,0),0)</f>
        <v>0</v>
      </c>
    </row>
    <row r="31" spans="6:34" x14ac:dyDescent="0.2">
      <c r="F31" s="14">
        <f>IF(G31=0,IF(G30=0,F30,F30+1),IF(G30=0,MAX(F$1:F30),MAX(F$1:F30)+1))</f>
        <v>5</v>
      </c>
      <c r="G31" s="14">
        <f>IF(('S-Table'!$B31-$C$2)*('S-Table'!$B31-$D$2)=0,IF(('S-Table'!$C31-$C$3)*('S-Table'!$C31-$D$3)=0,'S-Table'!A31,0),0)</f>
        <v>0</v>
      </c>
      <c r="H31" s="14">
        <f>IF(('S-Table'!$B31-$C$2)*('S-Table'!$B31-$D$2)=0,IF(('S-Table'!$C31-$C$3)*('S-Table'!$C31-$D$3)=0,'S-Table'!B31,0),0)</f>
        <v>0</v>
      </c>
      <c r="I31" s="14">
        <f>IF(('S-Table'!$B31-$C$2)*('S-Table'!$B31-$D$2)=0,IF(('S-Table'!$C31-$C$3)*('S-Table'!$C31-$D$3)=0,'S-Table'!C31,0),0)</f>
        <v>0</v>
      </c>
      <c r="J31" s="14">
        <f>IF(('S-Table'!$B31-$C$2)*('S-Table'!$B31-$D$2)=0,IF(('S-Table'!$C31-$C$3)*('S-Table'!$C31-$D$3)=0,'S-Table'!D31,0),0)</f>
        <v>0</v>
      </c>
      <c r="K31" s="14">
        <f>IF(('S-Table'!$B31-$C$2)*('S-Table'!$B31-$D$2)=0,IF(('S-Table'!$C31-$C$3)*('S-Table'!$C31-$D$3)=0,'S-Table'!E31,0),0)</f>
        <v>0</v>
      </c>
    </row>
    <row r="32" spans="6:34" x14ac:dyDescent="0.2">
      <c r="F32" s="14">
        <f>IF(G32=0,IF(G31=0,F31,F31+1),IF(G31=0,MAX(F$1:F31),MAX(F$1:F31)+1))</f>
        <v>5</v>
      </c>
      <c r="G32" s="14">
        <f>IF(('S-Table'!$B32-$C$2)*('S-Table'!$B32-$D$2)=0,IF(('S-Table'!$C32-$C$3)*('S-Table'!$C32-$D$3)=0,'S-Table'!A32,0),0)</f>
        <v>0</v>
      </c>
      <c r="H32" s="14">
        <f>IF(('S-Table'!$B32-$C$2)*('S-Table'!$B32-$D$2)=0,IF(('S-Table'!$C32-$C$3)*('S-Table'!$C32-$D$3)=0,'S-Table'!B32,0),0)</f>
        <v>0</v>
      </c>
      <c r="I32" s="14">
        <f>IF(('S-Table'!$B32-$C$2)*('S-Table'!$B32-$D$2)=0,IF(('S-Table'!$C32-$C$3)*('S-Table'!$C32-$D$3)=0,'S-Table'!C32,0),0)</f>
        <v>0</v>
      </c>
      <c r="J32" s="14">
        <f>IF(('S-Table'!$B32-$C$2)*('S-Table'!$B32-$D$2)=0,IF(('S-Table'!$C32-$C$3)*('S-Table'!$C32-$D$3)=0,'S-Table'!D32,0),0)</f>
        <v>0</v>
      </c>
      <c r="K32" s="14">
        <f>IF(('S-Table'!$B32-$C$2)*('S-Table'!$B32-$D$2)=0,IF(('S-Table'!$C32-$C$3)*('S-Table'!$C32-$D$3)=0,'S-Table'!E32,0),0)</f>
        <v>0</v>
      </c>
    </row>
    <row r="33" spans="6:11" x14ac:dyDescent="0.2">
      <c r="F33" s="14">
        <f>IF(G33=0,IF(G32=0,F32,F32+1),IF(G32=0,MAX(F$1:F32),MAX(F$1:F32)+1))</f>
        <v>5</v>
      </c>
      <c r="G33" s="14">
        <f>IF(('S-Table'!$B33-$C$2)*('S-Table'!$B33-$D$2)=0,IF(('S-Table'!$C33-$C$3)*('S-Table'!$C33-$D$3)=0,'S-Table'!A33,0),0)</f>
        <v>0</v>
      </c>
      <c r="H33" s="14">
        <f>IF(('S-Table'!$B33-$C$2)*('S-Table'!$B33-$D$2)=0,IF(('S-Table'!$C33-$C$3)*('S-Table'!$C33-$D$3)=0,'S-Table'!B33,0),0)</f>
        <v>0</v>
      </c>
      <c r="I33" s="14">
        <f>IF(('S-Table'!$B33-$C$2)*('S-Table'!$B33-$D$2)=0,IF(('S-Table'!$C33-$C$3)*('S-Table'!$C33-$D$3)=0,'S-Table'!C33,0),0)</f>
        <v>0</v>
      </c>
      <c r="J33" s="14">
        <f>IF(('S-Table'!$B33-$C$2)*('S-Table'!$B33-$D$2)=0,IF(('S-Table'!$C33-$C$3)*('S-Table'!$C33-$D$3)=0,'S-Table'!D33,0),0)</f>
        <v>0</v>
      </c>
      <c r="K33" s="14">
        <f>IF(('S-Table'!$B33-$C$2)*('S-Table'!$B33-$D$2)=0,IF(('S-Table'!$C33-$C$3)*('S-Table'!$C33-$D$3)=0,'S-Table'!E33,0),0)</f>
        <v>0</v>
      </c>
    </row>
    <row r="34" spans="6:11" x14ac:dyDescent="0.2">
      <c r="F34" s="14">
        <f>IF(G34=0,IF(G33=0,F33,F33+1),IF(G33=0,MAX(F$1:F33),MAX(F$1:F33)+1))</f>
        <v>5</v>
      </c>
      <c r="G34" s="14">
        <f>IF(('S-Table'!$B34-$C$2)*('S-Table'!$B34-$D$2)=0,IF(('S-Table'!$C34-$C$3)*('S-Table'!$C34-$D$3)=0,'S-Table'!A34,0),0)</f>
        <v>0</v>
      </c>
      <c r="H34" s="14">
        <f>IF(('S-Table'!$B34-$C$2)*('S-Table'!$B34-$D$2)=0,IF(('S-Table'!$C34-$C$3)*('S-Table'!$C34-$D$3)=0,'S-Table'!B34,0),0)</f>
        <v>0</v>
      </c>
      <c r="I34" s="14">
        <f>IF(('S-Table'!$B34-$C$2)*('S-Table'!$B34-$D$2)=0,IF(('S-Table'!$C34-$C$3)*('S-Table'!$C34-$D$3)=0,'S-Table'!C34,0),0)</f>
        <v>0</v>
      </c>
      <c r="J34" s="14">
        <f>IF(('S-Table'!$B34-$C$2)*('S-Table'!$B34-$D$2)=0,IF(('S-Table'!$C34-$C$3)*('S-Table'!$C34-$D$3)=0,'S-Table'!D34,0),0)</f>
        <v>0</v>
      </c>
      <c r="K34" s="14">
        <f>IF(('S-Table'!$B34-$C$2)*('S-Table'!$B34-$D$2)=0,IF(('S-Table'!$C34-$C$3)*('S-Table'!$C34-$D$3)=0,'S-Table'!E34,0),0)</f>
        <v>0</v>
      </c>
    </row>
    <row r="35" spans="6:11" x14ac:dyDescent="0.2">
      <c r="F35" s="14">
        <f>IF(G35=0,IF(G34=0,F34,F34+1),IF(G34=0,MAX(F$1:F34),MAX(F$1:F34)+1))</f>
        <v>5</v>
      </c>
      <c r="G35" s="14">
        <f>IF(('S-Table'!$B35-$C$2)*('S-Table'!$B35-$D$2)=0,IF(('S-Table'!$C35-$C$3)*('S-Table'!$C35-$D$3)=0,'S-Table'!A35,0),0)</f>
        <v>0</v>
      </c>
      <c r="H35" s="14">
        <f>IF(('S-Table'!$B35-$C$2)*('S-Table'!$B35-$D$2)=0,IF(('S-Table'!$C35-$C$3)*('S-Table'!$C35-$D$3)=0,'S-Table'!B35,0),0)</f>
        <v>0</v>
      </c>
      <c r="I35" s="14">
        <f>IF(('S-Table'!$B35-$C$2)*('S-Table'!$B35-$D$2)=0,IF(('S-Table'!$C35-$C$3)*('S-Table'!$C35-$D$3)=0,'S-Table'!C35,0),0)</f>
        <v>0</v>
      </c>
      <c r="J35" s="14">
        <f>IF(('S-Table'!$B35-$C$2)*('S-Table'!$B35-$D$2)=0,IF(('S-Table'!$C35-$C$3)*('S-Table'!$C35-$D$3)=0,'S-Table'!D35,0),0)</f>
        <v>0</v>
      </c>
      <c r="K35" s="14">
        <f>IF(('S-Table'!$B35-$C$2)*('S-Table'!$B35-$D$2)=0,IF(('S-Table'!$C35-$C$3)*('S-Table'!$C35-$D$3)=0,'S-Table'!E35,0),0)</f>
        <v>0</v>
      </c>
    </row>
    <row r="36" spans="6:11" x14ac:dyDescent="0.2">
      <c r="F36" s="14">
        <f>IF(G36=0,IF(G35=0,F35,F35+1),IF(G35=0,MAX(F$1:F35),MAX(F$1:F35)+1))</f>
        <v>5</v>
      </c>
      <c r="G36" s="14">
        <f>IF(('S-Table'!$B36-$C$2)*('S-Table'!$B36-$D$2)=0,IF(('S-Table'!$C36-$C$3)*('S-Table'!$C36-$D$3)=0,'S-Table'!A36,0),0)</f>
        <v>0</v>
      </c>
      <c r="H36" s="14">
        <f>IF(('S-Table'!$B36-$C$2)*('S-Table'!$B36-$D$2)=0,IF(('S-Table'!$C36-$C$3)*('S-Table'!$C36-$D$3)=0,'S-Table'!B36,0),0)</f>
        <v>0</v>
      </c>
      <c r="I36" s="14">
        <f>IF(('S-Table'!$B36-$C$2)*('S-Table'!$B36-$D$2)=0,IF(('S-Table'!$C36-$C$3)*('S-Table'!$C36-$D$3)=0,'S-Table'!C36,0),0)</f>
        <v>0</v>
      </c>
      <c r="J36" s="14">
        <f>IF(('S-Table'!$B36-$C$2)*('S-Table'!$B36-$D$2)=0,IF(('S-Table'!$C36-$C$3)*('S-Table'!$C36-$D$3)=0,'S-Table'!D36,0),0)</f>
        <v>0</v>
      </c>
      <c r="K36" s="14">
        <f>IF(('S-Table'!$B36-$C$2)*('S-Table'!$B36-$D$2)=0,IF(('S-Table'!$C36-$C$3)*('S-Table'!$C36-$D$3)=0,'S-Table'!E36,0),0)</f>
        <v>0</v>
      </c>
    </row>
    <row r="37" spans="6:11" x14ac:dyDescent="0.2">
      <c r="F37" s="14">
        <f>IF(G37=0,IF(G36=0,F36,F36+1),IF(G36=0,MAX(F$1:F36),MAX(F$1:F36)+1))</f>
        <v>5</v>
      </c>
      <c r="G37" s="14">
        <f>IF(('S-Table'!$B37-$C$2)*('S-Table'!$B37-$D$2)=0,IF(('S-Table'!$C37-$C$3)*('S-Table'!$C37-$D$3)=0,'S-Table'!A37,0),0)</f>
        <v>0</v>
      </c>
      <c r="H37" s="14">
        <f>IF(('S-Table'!$B37-$C$2)*('S-Table'!$B37-$D$2)=0,IF(('S-Table'!$C37-$C$3)*('S-Table'!$C37-$D$3)=0,'S-Table'!B37,0),0)</f>
        <v>0</v>
      </c>
      <c r="I37" s="14">
        <f>IF(('S-Table'!$B37-$C$2)*('S-Table'!$B37-$D$2)=0,IF(('S-Table'!$C37-$C$3)*('S-Table'!$C37-$D$3)=0,'S-Table'!C37,0),0)</f>
        <v>0</v>
      </c>
      <c r="J37" s="14">
        <f>IF(('S-Table'!$B37-$C$2)*('S-Table'!$B37-$D$2)=0,IF(('S-Table'!$C37-$C$3)*('S-Table'!$C37-$D$3)=0,'S-Table'!D37,0),0)</f>
        <v>0</v>
      </c>
      <c r="K37" s="14">
        <f>IF(('S-Table'!$B37-$C$2)*('S-Table'!$B37-$D$2)=0,IF(('S-Table'!$C37-$C$3)*('S-Table'!$C37-$D$3)=0,'S-Table'!E37,0),0)</f>
        <v>0</v>
      </c>
    </row>
    <row r="38" spans="6:11" x14ac:dyDescent="0.2">
      <c r="F38" s="14">
        <f>IF(G38=0,IF(G37=0,F37,F37+1),IF(G37=0,MAX(F$1:F37),MAX(F$1:F37)+1))</f>
        <v>5</v>
      </c>
      <c r="G38" s="14">
        <f>IF(('S-Table'!$B38-$C$2)*('S-Table'!$B38-$D$2)=0,IF(('S-Table'!$C38-$C$3)*('S-Table'!$C38-$D$3)=0,'S-Table'!A38,0),0)</f>
        <v>0</v>
      </c>
      <c r="H38" s="14">
        <f>IF(('S-Table'!$B38-$C$2)*('S-Table'!$B38-$D$2)=0,IF(('S-Table'!$C38-$C$3)*('S-Table'!$C38-$D$3)=0,'S-Table'!B38,0),0)</f>
        <v>0</v>
      </c>
      <c r="I38" s="14">
        <f>IF(('S-Table'!$B38-$C$2)*('S-Table'!$B38-$D$2)=0,IF(('S-Table'!$C38-$C$3)*('S-Table'!$C38-$D$3)=0,'S-Table'!C38,0),0)</f>
        <v>0</v>
      </c>
      <c r="J38" s="14">
        <f>IF(('S-Table'!$B38-$C$2)*('S-Table'!$B38-$D$2)=0,IF(('S-Table'!$C38-$C$3)*('S-Table'!$C38-$D$3)=0,'S-Table'!D38,0),0)</f>
        <v>0</v>
      </c>
      <c r="K38" s="14">
        <f>IF(('S-Table'!$B38-$C$2)*('S-Table'!$B38-$D$2)=0,IF(('S-Table'!$C38-$C$3)*('S-Table'!$C38-$D$3)=0,'S-Table'!E38,0),0)</f>
        <v>0</v>
      </c>
    </row>
    <row r="39" spans="6:11" x14ac:dyDescent="0.2">
      <c r="F39" s="14">
        <f>IF(G39=0,IF(G38=0,F38,F38+1),IF(G38=0,MAX(F$1:F38),MAX(F$1:F38)+1))</f>
        <v>5</v>
      </c>
      <c r="G39" s="14">
        <f>IF(('S-Table'!$B39-$C$2)*('S-Table'!$B39-$D$2)=0,IF(('S-Table'!$C39-$C$3)*('S-Table'!$C39-$D$3)=0,'S-Table'!A39,0),0)</f>
        <v>0</v>
      </c>
      <c r="H39" s="14">
        <f>IF(('S-Table'!$B39-$C$2)*('S-Table'!$B39-$D$2)=0,IF(('S-Table'!$C39-$C$3)*('S-Table'!$C39-$D$3)=0,'S-Table'!B39,0),0)</f>
        <v>0</v>
      </c>
      <c r="I39" s="14">
        <f>IF(('S-Table'!$B39-$C$2)*('S-Table'!$B39-$D$2)=0,IF(('S-Table'!$C39-$C$3)*('S-Table'!$C39-$D$3)=0,'S-Table'!C39,0),0)</f>
        <v>0</v>
      </c>
      <c r="J39" s="14">
        <f>IF(('S-Table'!$B39-$C$2)*('S-Table'!$B39-$D$2)=0,IF(('S-Table'!$C39-$C$3)*('S-Table'!$C39-$D$3)=0,'S-Table'!D39,0),0)</f>
        <v>0</v>
      </c>
      <c r="K39" s="14">
        <f>IF(('S-Table'!$B39-$C$2)*('S-Table'!$B39-$D$2)=0,IF(('S-Table'!$C39-$C$3)*('S-Table'!$C39-$D$3)=0,'S-Table'!E39,0),0)</f>
        <v>0</v>
      </c>
    </row>
    <row r="40" spans="6:11" x14ac:dyDescent="0.2">
      <c r="F40" s="14">
        <f>IF(G40=0,IF(G39=0,F39,F39+1),IF(G39=0,MAX(F$1:F39),MAX(F$1:F39)+1))</f>
        <v>5</v>
      </c>
      <c r="G40" s="14">
        <f>IF(('S-Table'!$B40-$C$2)*('S-Table'!$B40-$D$2)=0,IF(('S-Table'!$C40-$C$3)*('S-Table'!$C40-$D$3)=0,'S-Table'!A40,0),0)</f>
        <v>0</v>
      </c>
      <c r="H40" s="14">
        <f>IF(('S-Table'!$B40-$C$2)*('S-Table'!$B40-$D$2)=0,IF(('S-Table'!$C40-$C$3)*('S-Table'!$C40-$D$3)=0,'S-Table'!B40,0),0)</f>
        <v>0</v>
      </c>
      <c r="I40" s="14">
        <f>IF(('S-Table'!$B40-$C$2)*('S-Table'!$B40-$D$2)=0,IF(('S-Table'!$C40-$C$3)*('S-Table'!$C40-$D$3)=0,'S-Table'!C40,0),0)</f>
        <v>0</v>
      </c>
      <c r="J40" s="14">
        <f>IF(('S-Table'!$B40-$C$2)*('S-Table'!$B40-$D$2)=0,IF(('S-Table'!$C40-$C$3)*('S-Table'!$C40-$D$3)=0,'S-Table'!D40,0),0)</f>
        <v>0</v>
      </c>
      <c r="K40" s="14">
        <f>IF(('S-Table'!$B40-$C$2)*('S-Table'!$B40-$D$2)=0,IF(('S-Table'!$C40-$C$3)*('S-Table'!$C40-$D$3)=0,'S-Table'!E40,0),0)</f>
        <v>0</v>
      </c>
    </row>
    <row r="41" spans="6:11" x14ac:dyDescent="0.2">
      <c r="F41" s="14">
        <f>IF(G41=0,IF(G40=0,F40,F40+1),IF(G40=0,MAX(F$1:F40),MAX(F$1:F40)+1))</f>
        <v>5</v>
      </c>
      <c r="G41" s="14">
        <f>IF(('S-Table'!$B41-$C$2)*('S-Table'!$B41-$D$2)=0,IF(('S-Table'!$C41-$C$3)*('S-Table'!$C41-$D$3)=0,'S-Table'!A41,0),0)</f>
        <v>0</v>
      </c>
      <c r="H41" s="14">
        <f>IF(('S-Table'!$B41-$C$2)*('S-Table'!$B41-$D$2)=0,IF(('S-Table'!$C41-$C$3)*('S-Table'!$C41-$D$3)=0,'S-Table'!B41,0),0)</f>
        <v>0</v>
      </c>
      <c r="I41" s="14">
        <f>IF(('S-Table'!$B41-$C$2)*('S-Table'!$B41-$D$2)=0,IF(('S-Table'!$C41-$C$3)*('S-Table'!$C41-$D$3)=0,'S-Table'!C41,0),0)</f>
        <v>0</v>
      </c>
      <c r="J41" s="14">
        <f>IF(('S-Table'!$B41-$C$2)*('S-Table'!$B41-$D$2)=0,IF(('S-Table'!$C41-$C$3)*('S-Table'!$C41-$D$3)=0,'S-Table'!D41,0),0)</f>
        <v>0</v>
      </c>
      <c r="K41" s="14">
        <f>IF(('S-Table'!$B41-$C$2)*('S-Table'!$B41-$D$2)=0,IF(('S-Table'!$C41-$C$3)*('S-Table'!$C41-$D$3)=0,'S-Table'!E41,0),0)</f>
        <v>0</v>
      </c>
    </row>
    <row r="42" spans="6:11" x14ac:dyDescent="0.2">
      <c r="F42" s="14">
        <f>IF(G42=0,IF(G41=0,F41,F41+1),IF(G41=0,MAX(F$1:F41),MAX(F$1:F41)+1))</f>
        <v>5</v>
      </c>
      <c r="G42" s="14">
        <f>IF(('S-Table'!$B42-$C$2)*('S-Table'!$B42-$D$2)=0,IF(('S-Table'!$C42-$C$3)*('S-Table'!$C42-$D$3)=0,'S-Table'!A42,0),0)</f>
        <v>0</v>
      </c>
      <c r="H42" s="14">
        <f>IF(('S-Table'!$B42-$C$2)*('S-Table'!$B42-$D$2)=0,IF(('S-Table'!$C42-$C$3)*('S-Table'!$C42-$D$3)=0,'S-Table'!B42,0),0)</f>
        <v>0</v>
      </c>
      <c r="I42" s="14">
        <f>IF(('S-Table'!$B42-$C$2)*('S-Table'!$B42-$D$2)=0,IF(('S-Table'!$C42-$C$3)*('S-Table'!$C42-$D$3)=0,'S-Table'!C42,0),0)</f>
        <v>0</v>
      </c>
      <c r="J42" s="14">
        <f>IF(('S-Table'!$B42-$C$2)*('S-Table'!$B42-$D$2)=0,IF(('S-Table'!$C42-$C$3)*('S-Table'!$C42-$D$3)=0,'S-Table'!D42,0),0)</f>
        <v>0</v>
      </c>
      <c r="K42" s="14">
        <f>IF(('S-Table'!$B42-$C$2)*('S-Table'!$B42-$D$2)=0,IF(('S-Table'!$C42-$C$3)*('S-Table'!$C42-$D$3)=0,'S-Table'!E42,0),0)</f>
        <v>0</v>
      </c>
    </row>
    <row r="43" spans="6:11" x14ac:dyDescent="0.2">
      <c r="F43" s="14">
        <f>IF(G43=0,IF(G42=0,F42,F42+1),IF(G42=0,MAX(F$1:F42),MAX(F$1:F42)+1))</f>
        <v>5</v>
      </c>
      <c r="G43" s="14">
        <f>IF(('S-Table'!$B43-$C$2)*('S-Table'!$B43-$D$2)=0,IF(('S-Table'!$C43-$C$3)*('S-Table'!$C43-$D$3)=0,'S-Table'!A43,0),0)</f>
        <v>0</v>
      </c>
      <c r="H43" s="14">
        <f>IF(('S-Table'!$B43-$C$2)*('S-Table'!$B43-$D$2)=0,IF(('S-Table'!$C43-$C$3)*('S-Table'!$C43-$D$3)=0,'S-Table'!B43,0),0)</f>
        <v>0</v>
      </c>
      <c r="I43" s="14">
        <f>IF(('S-Table'!$B43-$C$2)*('S-Table'!$B43-$D$2)=0,IF(('S-Table'!$C43-$C$3)*('S-Table'!$C43-$D$3)=0,'S-Table'!C43,0),0)</f>
        <v>0</v>
      </c>
      <c r="J43" s="14">
        <f>IF(('S-Table'!$B43-$C$2)*('S-Table'!$B43-$D$2)=0,IF(('S-Table'!$C43-$C$3)*('S-Table'!$C43-$D$3)=0,'S-Table'!D43,0),0)</f>
        <v>0</v>
      </c>
      <c r="K43" s="14">
        <f>IF(('S-Table'!$B43-$C$2)*('S-Table'!$B43-$D$2)=0,IF(('S-Table'!$C43-$C$3)*('S-Table'!$C43-$D$3)=0,'S-Table'!E43,0),0)</f>
        <v>0</v>
      </c>
    </row>
    <row r="44" spans="6:11" x14ac:dyDescent="0.2">
      <c r="F44" s="14">
        <f>IF(G44=0,IF(G43=0,F43,F43+1),IF(G43=0,MAX(F$1:F43),MAX(F$1:F43)+1))</f>
        <v>5</v>
      </c>
      <c r="G44" s="14">
        <f>IF(('S-Table'!$B44-$C$2)*('S-Table'!$B44-$D$2)=0,IF(('S-Table'!$C44-$C$3)*('S-Table'!$C44-$D$3)=0,'S-Table'!A44,0),0)</f>
        <v>0</v>
      </c>
      <c r="H44" s="14">
        <f>IF(('S-Table'!$B44-$C$2)*('S-Table'!$B44-$D$2)=0,IF(('S-Table'!$C44-$C$3)*('S-Table'!$C44-$D$3)=0,'S-Table'!B44,0),0)</f>
        <v>0</v>
      </c>
      <c r="I44" s="14">
        <f>IF(('S-Table'!$B44-$C$2)*('S-Table'!$B44-$D$2)=0,IF(('S-Table'!$C44-$C$3)*('S-Table'!$C44-$D$3)=0,'S-Table'!C44,0),0)</f>
        <v>0</v>
      </c>
      <c r="J44" s="14">
        <f>IF(('S-Table'!$B44-$C$2)*('S-Table'!$B44-$D$2)=0,IF(('S-Table'!$C44-$C$3)*('S-Table'!$C44-$D$3)=0,'S-Table'!D44,0),0)</f>
        <v>0</v>
      </c>
      <c r="K44" s="14">
        <f>IF(('S-Table'!$B44-$C$2)*('S-Table'!$B44-$D$2)=0,IF(('S-Table'!$C44-$C$3)*('S-Table'!$C44-$D$3)=0,'S-Table'!E44,0),0)</f>
        <v>0</v>
      </c>
    </row>
    <row r="45" spans="6:11" x14ac:dyDescent="0.2">
      <c r="F45" s="14">
        <f>IF(G45=0,IF(G44=0,F44,F44+1),IF(G44=0,MAX(F$1:F44),MAX(F$1:F44)+1))</f>
        <v>5</v>
      </c>
      <c r="G45" s="14">
        <f>IF(('S-Table'!$B45-$C$2)*('S-Table'!$B45-$D$2)=0,IF(('S-Table'!$C45-$C$3)*('S-Table'!$C45-$D$3)=0,'S-Table'!A45,0),0)</f>
        <v>0</v>
      </c>
      <c r="H45" s="14">
        <f>IF(('S-Table'!$B45-$C$2)*('S-Table'!$B45-$D$2)=0,IF(('S-Table'!$C45-$C$3)*('S-Table'!$C45-$D$3)=0,'S-Table'!B45,0),0)</f>
        <v>0</v>
      </c>
      <c r="I45" s="14">
        <f>IF(('S-Table'!$B45-$C$2)*('S-Table'!$B45-$D$2)=0,IF(('S-Table'!$C45-$C$3)*('S-Table'!$C45-$D$3)=0,'S-Table'!C45,0),0)</f>
        <v>0</v>
      </c>
      <c r="J45" s="14">
        <f>IF(('S-Table'!$B45-$C$2)*('S-Table'!$B45-$D$2)=0,IF(('S-Table'!$C45-$C$3)*('S-Table'!$C45-$D$3)=0,'S-Table'!D45,0),0)</f>
        <v>0</v>
      </c>
      <c r="K45" s="14">
        <f>IF(('S-Table'!$B45-$C$2)*('S-Table'!$B45-$D$2)=0,IF(('S-Table'!$C45-$C$3)*('S-Table'!$C45-$D$3)=0,'S-Table'!E45,0),0)</f>
        <v>0</v>
      </c>
    </row>
    <row r="46" spans="6:11" x14ac:dyDescent="0.2">
      <c r="F46" s="14">
        <f>IF(G46=0,IF(G45=0,F45,F45+1),IF(G45=0,MAX(F$1:F45),MAX(F$1:F45)+1))</f>
        <v>5</v>
      </c>
      <c r="G46" s="14">
        <f>IF(('S-Table'!$B46-$C$2)*('S-Table'!$B46-$D$2)=0,IF(('S-Table'!$C46-$C$3)*('S-Table'!$C46-$D$3)=0,'S-Table'!A46,0),0)</f>
        <v>0</v>
      </c>
      <c r="H46" s="14">
        <f>IF(('S-Table'!$B46-$C$2)*('S-Table'!$B46-$D$2)=0,IF(('S-Table'!$C46-$C$3)*('S-Table'!$C46-$D$3)=0,'S-Table'!B46,0),0)</f>
        <v>0</v>
      </c>
      <c r="I46" s="14">
        <f>IF(('S-Table'!$B46-$C$2)*('S-Table'!$B46-$D$2)=0,IF(('S-Table'!$C46-$C$3)*('S-Table'!$C46-$D$3)=0,'S-Table'!C46,0),0)</f>
        <v>0</v>
      </c>
      <c r="J46" s="14">
        <f>IF(('S-Table'!$B46-$C$2)*('S-Table'!$B46-$D$2)=0,IF(('S-Table'!$C46-$C$3)*('S-Table'!$C46-$D$3)=0,'S-Table'!D46,0),0)</f>
        <v>0</v>
      </c>
      <c r="K46" s="14">
        <f>IF(('S-Table'!$B46-$C$2)*('S-Table'!$B46-$D$2)=0,IF(('S-Table'!$C46-$C$3)*('S-Table'!$C46-$D$3)=0,'S-Table'!E46,0),0)</f>
        <v>0</v>
      </c>
    </row>
    <row r="47" spans="6:11" x14ac:dyDescent="0.2">
      <c r="F47" s="14">
        <f>IF(G47=0,IF(G46=0,F46,F46+1),IF(G46=0,MAX(F$1:F46),MAX(F$1:F46)+1))</f>
        <v>5</v>
      </c>
      <c r="G47" s="14">
        <f>IF(('S-Table'!$B47-$C$2)*('S-Table'!$B47-$D$2)=0,IF(('S-Table'!$C47-$C$3)*('S-Table'!$C47-$D$3)=0,'S-Table'!A47,0),0)</f>
        <v>0</v>
      </c>
      <c r="H47" s="14">
        <f>IF(('S-Table'!$B47-$C$2)*('S-Table'!$B47-$D$2)=0,IF(('S-Table'!$C47-$C$3)*('S-Table'!$C47-$D$3)=0,'S-Table'!B47,0),0)</f>
        <v>0</v>
      </c>
      <c r="I47" s="14">
        <f>IF(('S-Table'!$B47-$C$2)*('S-Table'!$B47-$D$2)=0,IF(('S-Table'!$C47-$C$3)*('S-Table'!$C47-$D$3)=0,'S-Table'!C47,0),0)</f>
        <v>0</v>
      </c>
      <c r="J47" s="14">
        <f>IF(('S-Table'!$B47-$C$2)*('S-Table'!$B47-$D$2)=0,IF(('S-Table'!$C47-$C$3)*('S-Table'!$C47-$D$3)=0,'S-Table'!D47,0),0)</f>
        <v>0</v>
      </c>
      <c r="K47" s="14">
        <f>IF(('S-Table'!$B47-$C$2)*('S-Table'!$B47-$D$2)=0,IF(('S-Table'!$C47-$C$3)*('S-Table'!$C47-$D$3)=0,'S-Table'!E47,0),0)</f>
        <v>0</v>
      </c>
    </row>
    <row r="48" spans="6:11" x14ac:dyDescent="0.2">
      <c r="F48" s="14">
        <f>IF(G48=0,IF(G47=0,F47,F47+1),IF(G47=0,MAX(F$1:F47),MAX(F$1:F47)+1))</f>
        <v>5</v>
      </c>
      <c r="G48" s="14">
        <f>IF(('S-Table'!$B48-$C$2)*('S-Table'!$B48-$D$2)=0,IF(('S-Table'!$C48-$C$3)*('S-Table'!$C48-$D$3)=0,'S-Table'!A48,0),0)</f>
        <v>0</v>
      </c>
      <c r="H48" s="14">
        <f>IF(('S-Table'!$B48-$C$2)*('S-Table'!$B48-$D$2)=0,IF(('S-Table'!$C48-$C$3)*('S-Table'!$C48-$D$3)=0,'S-Table'!B48,0),0)</f>
        <v>0</v>
      </c>
      <c r="I48" s="14">
        <f>IF(('S-Table'!$B48-$C$2)*('S-Table'!$B48-$D$2)=0,IF(('S-Table'!$C48-$C$3)*('S-Table'!$C48-$D$3)=0,'S-Table'!C48,0),0)</f>
        <v>0</v>
      </c>
      <c r="J48" s="14">
        <f>IF(('S-Table'!$B48-$C$2)*('S-Table'!$B48-$D$2)=0,IF(('S-Table'!$C48-$C$3)*('S-Table'!$C48-$D$3)=0,'S-Table'!D48,0),0)</f>
        <v>0</v>
      </c>
      <c r="K48" s="14">
        <f>IF(('S-Table'!$B48-$C$2)*('S-Table'!$B48-$D$2)=0,IF(('S-Table'!$C48-$C$3)*('S-Table'!$C48-$D$3)=0,'S-Table'!E48,0),0)</f>
        <v>0</v>
      </c>
    </row>
    <row r="49" spans="6:11" x14ac:dyDescent="0.2">
      <c r="F49" s="14">
        <f>IF(G49=0,IF(G48=0,F48,F48+1),IF(G48=0,MAX(F$1:F48),MAX(F$1:F48)+1))</f>
        <v>5</v>
      </c>
      <c r="G49" s="14">
        <f>IF(('S-Table'!$B49-$C$2)*('S-Table'!$B49-$D$2)=0,IF(('S-Table'!$C49-$C$3)*('S-Table'!$C49-$D$3)=0,'S-Table'!A49,0),0)</f>
        <v>0</v>
      </c>
      <c r="H49" s="14">
        <f>IF(('S-Table'!$B49-$C$2)*('S-Table'!$B49-$D$2)=0,IF(('S-Table'!$C49-$C$3)*('S-Table'!$C49-$D$3)=0,'S-Table'!B49,0),0)</f>
        <v>0</v>
      </c>
      <c r="I49" s="14">
        <f>IF(('S-Table'!$B49-$C$2)*('S-Table'!$B49-$D$2)=0,IF(('S-Table'!$C49-$C$3)*('S-Table'!$C49-$D$3)=0,'S-Table'!C49,0),0)</f>
        <v>0</v>
      </c>
      <c r="J49" s="14">
        <f>IF(('S-Table'!$B49-$C$2)*('S-Table'!$B49-$D$2)=0,IF(('S-Table'!$C49-$C$3)*('S-Table'!$C49-$D$3)=0,'S-Table'!D49,0),0)</f>
        <v>0</v>
      </c>
      <c r="K49" s="14">
        <f>IF(('S-Table'!$B49-$C$2)*('S-Table'!$B49-$D$2)=0,IF(('S-Table'!$C49-$C$3)*('S-Table'!$C49-$D$3)=0,'S-Table'!E49,0),0)</f>
        <v>0</v>
      </c>
    </row>
    <row r="50" spans="6:11" x14ac:dyDescent="0.2">
      <c r="F50" s="14">
        <f>IF(G50=0,IF(G49=0,F49,F49+1),IF(G49=0,MAX(F$1:F49),MAX(F$1:F49)+1))</f>
        <v>5</v>
      </c>
      <c r="G50" s="14">
        <f>IF(('S-Table'!$B50-$C$2)*('S-Table'!$B50-$D$2)=0,IF(('S-Table'!$C50-$C$3)*('S-Table'!$C50-$D$3)=0,'S-Table'!A50,0),0)</f>
        <v>0</v>
      </c>
      <c r="H50" s="14">
        <f>IF(('S-Table'!$B50-$C$2)*('S-Table'!$B50-$D$2)=0,IF(('S-Table'!$C50-$C$3)*('S-Table'!$C50-$D$3)=0,'S-Table'!B50,0),0)</f>
        <v>0</v>
      </c>
      <c r="I50" s="14">
        <f>IF(('S-Table'!$B50-$C$2)*('S-Table'!$B50-$D$2)=0,IF(('S-Table'!$C50-$C$3)*('S-Table'!$C50-$D$3)=0,'S-Table'!C50,0),0)</f>
        <v>0</v>
      </c>
      <c r="J50" s="14">
        <f>IF(('S-Table'!$B50-$C$2)*('S-Table'!$B50-$D$2)=0,IF(('S-Table'!$C50-$C$3)*('S-Table'!$C50-$D$3)=0,'S-Table'!D50,0),0)</f>
        <v>0</v>
      </c>
      <c r="K50" s="14">
        <f>IF(('S-Table'!$B50-$C$2)*('S-Table'!$B50-$D$2)=0,IF(('S-Table'!$C50-$C$3)*('S-Table'!$C50-$D$3)=0,'S-Table'!E50,0),0)</f>
        <v>0</v>
      </c>
    </row>
    <row r="51" spans="6:11" x14ac:dyDescent="0.2">
      <c r="F51" s="14">
        <f>IF(G51=0,IF(G50=0,F50,F50+1),IF(G50=0,MAX(F$1:F50),MAX(F$1:F50)+1))</f>
        <v>5</v>
      </c>
      <c r="G51" s="14">
        <f>IF(('S-Table'!$B51-$C$2)*('S-Table'!$B51-$D$2)=0,IF(('S-Table'!$C51-$C$3)*('S-Table'!$C51-$D$3)=0,'S-Table'!A51,0),0)</f>
        <v>0</v>
      </c>
      <c r="H51" s="14">
        <f>IF(('S-Table'!$B51-$C$2)*('S-Table'!$B51-$D$2)=0,IF(('S-Table'!$C51-$C$3)*('S-Table'!$C51-$D$3)=0,'S-Table'!B51,0),0)</f>
        <v>0</v>
      </c>
      <c r="I51" s="14">
        <f>IF(('S-Table'!$B51-$C$2)*('S-Table'!$B51-$D$2)=0,IF(('S-Table'!$C51-$C$3)*('S-Table'!$C51-$D$3)=0,'S-Table'!C51,0),0)</f>
        <v>0</v>
      </c>
      <c r="J51" s="14">
        <f>IF(('S-Table'!$B51-$C$2)*('S-Table'!$B51-$D$2)=0,IF(('S-Table'!$C51-$C$3)*('S-Table'!$C51-$D$3)=0,'S-Table'!D51,0),0)</f>
        <v>0</v>
      </c>
      <c r="K51" s="14">
        <f>IF(('S-Table'!$B51-$C$2)*('S-Table'!$B51-$D$2)=0,IF(('S-Table'!$C51-$C$3)*('S-Table'!$C51-$D$3)=0,'S-Table'!E51,0),0)</f>
        <v>0</v>
      </c>
    </row>
    <row r="52" spans="6:11" x14ac:dyDescent="0.2">
      <c r="F52" s="14">
        <f>IF(G52=0,IF(G51=0,F51,F51+1),IF(G51=0,MAX(F$1:F51),MAX(F$1:F51)+1))</f>
        <v>5</v>
      </c>
      <c r="G52" s="14">
        <f>IF(('S-Table'!$B52-$C$2)*('S-Table'!$B52-$D$2)=0,IF(('S-Table'!$C52-$C$3)*('S-Table'!$C52-$D$3)=0,'S-Table'!A52,0),0)</f>
        <v>0</v>
      </c>
      <c r="H52" s="14">
        <f>IF(('S-Table'!$B52-$C$2)*('S-Table'!$B52-$D$2)=0,IF(('S-Table'!$C52-$C$3)*('S-Table'!$C52-$D$3)=0,'S-Table'!B52,0),0)</f>
        <v>0</v>
      </c>
      <c r="I52" s="14">
        <f>IF(('S-Table'!$B52-$C$2)*('S-Table'!$B52-$D$2)=0,IF(('S-Table'!$C52-$C$3)*('S-Table'!$C52-$D$3)=0,'S-Table'!C52,0),0)</f>
        <v>0</v>
      </c>
      <c r="J52" s="14">
        <f>IF(('S-Table'!$B52-$C$2)*('S-Table'!$B52-$D$2)=0,IF(('S-Table'!$C52-$C$3)*('S-Table'!$C52-$D$3)=0,'S-Table'!D52,0),0)</f>
        <v>0</v>
      </c>
      <c r="K52" s="14">
        <f>IF(('S-Table'!$B52-$C$2)*('S-Table'!$B52-$D$2)=0,IF(('S-Table'!$C52-$C$3)*('S-Table'!$C52-$D$3)=0,'S-Table'!E52,0),0)</f>
        <v>0</v>
      </c>
    </row>
    <row r="53" spans="6:11" x14ac:dyDescent="0.2">
      <c r="F53" s="14">
        <f>IF(G53=0,IF(G52=0,F52,F52+1),IF(G52=0,MAX(F$1:F52),MAX(F$1:F52)+1))</f>
        <v>5</v>
      </c>
      <c r="G53" s="14">
        <f>IF(('S-Table'!$B53-$C$2)*('S-Table'!$B53-$D$2)=0,IF(('S-Table'!$C53-$C$3)*('S-Table'!$C53-$D$3)=0,'S-Table'!A53,0),0)</f>
        <v>0</v>
      </c>
      <c r="H53" s="14">
        <f>IF(('S-Table'!$B53-$C$2)*('S-Table'!$B53-$D$2)=0,IF(('S-Table'!$C53-$C$3)*('S-Table'!$C53-$D$3)=0,'S-Table'!B53,0),0)</f>
        <v>0</v>
      </c>
      <c r="I53" s="14">
        <f>IF(('S-Table'!$B53-$C$2)*('S-Table'!$B53-$D$2)=0,IF(('S-Table'!$C53-$C$3)*('S-Table'!$C53-$D$3)=0,'S-Table'!C53,0),0)</f>
        <v>0</v>
      </c>
      <c r="J53" s="14">
        <f>IF(('S-Table'!$B53-$C$2)*('S-Table'!$B53-$D$2)=0,IF(('S-Table'!$C53-$C$3)*('S-Table'!$C53-$D$3)=0,'S-Table'!D53,0),0)</f>
        <v>0</v>
      </c>
      <c r="K53" s="14">
        <f>IF(('S-Table'!$B53-$C$2)*('S-Table'!$B53-$D$2)=0,IF(('S-Table'!$C53-$C$3)*('S-Table'!$C53-$D$3)=0,'S-Table'!E53,0),0)</f>
        <v>0</v>
      </c>
    </row>
    <row r="54" spans="6:11" x14ac:dyDescent="0.2">
      <c r="F54" s="14">
        <f>IF(G54=0,IF(G53=0,F53,F53+1),IF(G53=0,MAX(F$1:F53),MAX(F$1:F53)+1))</f>
        <v>5</v>
      </c>
      <c r="G54" s="14">
        <f>IF(('S-Table'!$B54-$C$2)*('S-Table'!$B54-$D$2)=0,IF(('S-Table'!$C54-$C$3)*('S-Table'!$C54-$D$3)=0,'S-Table'!A54,0),0)</f>
        <v>0</v>
      </c>
      <c r="H54" s="14">
        <f>IF(('S-Table'!$B54-$C$2)*('S-Table'!$B54-$D$2)=0,IF(('S-Table'!$C54-$C$3)*('S-Table'!$C54-$D$3)=0,'S-Table'!B54,0),0)</f>
        <v>0</v>
      </c>
      <c r="I54" s="14">
        <f>IF(('S-Table'!$B54-$C$2)*('S-Table'!$B54-$D$2)=0,IF(('S-Table'!$C54-$C$3)*('S-Table'!$C54-$D$3)=0,'S-Table'!C54,0),0)</f>
        <v>0</v>
      </c>
      <c r="J54" s="14">
        <f>IF(('S-Table'!$B54-$C$2)*('S-Table'!$B54-$D$2)=0,IF(('S-Table'!$C54-$C$3)*('S-Table'!$C54-$D$3)=0,'S-Table'!D54,0),0)</f>
        <v>0</v>
      </c>
      <c r="K54" s="14">
        <f>IF(('S-Table'!$B54-$C$2)*('S-Table'!$B54-$D$2)=0,IF(('S-Table'!$C54-$C$3)*('S-Table'!$C54-$D$3)=0,'S-Table'!E54,0),0)</f>
        <v>0</v>
      </c>
    </row>
    <row r="55" spans="6:11" x14ac:dyDescent="0.2">
      <c r="F55" s="14">
        <f>IF(G55=0,IF(G54=0,F54,F54+1),IF(G54=0,MAX(F$1:F54),MAX(F$1:F54)+1))</f>
        <v>5</v>
      </c>
      <c r="G55" s="14">
        <f>IF(('S-Table'!$B55-$C$2)*('S-Table'!$B55-$D$2)=0,IF(('S-Table'!$C55-$C$3)*('S-Table'!$C55-$D$3)=0,'S-Table'!A55,0),0)</f>
        <v>0</v>
      </c>
      <c r="H55" s="14">
        <f>IF(('S-Table'!$B55-$C$2)*('S-Table'!$B55-$D$2)=0,IF(('S-Table'!$C55-$C$3)*('S-Table'!$C55-$D$3)=0,'S-Table'!B55,0),0)</f>
        <v>0</v>
      </c>
      <c r="I55" s="14">
        <f>IF(('S-Table'!$B55-$C$2)*('S-Table'!$B55-$D$2)=0,IF(('S-Table'!$C55-$C$3)*('S-Table'!$C55-$D$3)=0,'S-Table'!C55,0),0)</f>
        <v>0</v>
      </c>
      <c r="J55" s="14">
        <f>IF(('S-Table'!$B55-$C$2)*('S-Table'!$B55-$D$2)=0,IF(('S-Table'!$C55-$C$3)*('S-Table'!$C55-$D$3)=0,'S-Table'!D55,0),0)</f>
        <v>0</v>
      </c>
      <c r="K55" s="14">
        <f>IF(('S-Table'!$B55-$C$2)*('S-Table'!$B55-$D$2)=0,IF(('S-Table'!$C55-$C$3)*('S-Table'!$C55-$D$3)=0,'S-Table'!E55,0),0)</f>
        <v>0</v>
      </c>
    </row>
    <row r="56" spans="6:11" x14ac:dyDescent="0.2">
      <c r="F56" s="14">
        <f>IF(G56=0,IF(G55=0,F55,F55+1),IF(G55=0,MAX(F$1:F55),MAX(F$1:F55)+1))</f>
        <v>5</v>
      </c>
      <c r="G56" s="14">
        <f>IF(('S-Table'!$B56-$C$2)*('S-Table'!$B56-$D$2)=0,IF(('S-Table'!$C56-$C$3)*('S-Table'!$C56-$D$3)=0,'S-Table'!A56,0),0)</f>
        <v>0</v>
      </c>
      <c r="H56" s="14">
        <f>IF(('S-Table'!$B56-$C$2)*('S-Table'!$B56-$D$2)=0,IF(('S-Table'!$C56-$C$3)*('S-Table'!$C56-$D$3)=0,'S-Table'!B56,0),0)</f>
        <v>0</v>
      </c>
      <c r="I56" s="14">
        <f>IF(('S-Table'!$B56-$C$2)*('S-Table'!$B56-$D$2)=0,IF(('S-Table'!$C56-$C$3)*('S-Table'!$C56-$D$3)=0,'S-Table'!C56,0),0)</f>
        <v>0</v>
      </c>
      <c r="J56" s="14">
        <f>IF(('S-Table'!$B56-$C$2)*('S-Table'!$B56-$D$2)=0,IF(('S-Table'!$C56-$C$3)*('S-Table'!$C56-$D$3)=0,'S-Table'!D56,0),0)</f>
        <v>0</v>
      </c>
      <c r="K56" s="14">
        <f>IF(('S-Table'!$B56-$C$2)*('S-Table'!$B56-$D$2)=0,IF(('S-Table'!$C56-$C$3)*('S-Table'!$C56-$D$3)=0,'S-Table'!E56,0),0)</f>
        <v>0</v>
      </c>
    </row>
    <row r="57" spans="6:11" x14ac:dyDescent="0.2">
      <c r="F57" s="14">
        <f>IF(G57=0,IF(G56=0,F56,F56+1),IF(G56=0,MAX(F$1:F56),MAX(F$1:F56)+1))</f>
        <v>5</v>
      </c>
      <c r="G57" s="14">
        <f>IF(('S-Table'!$B57-$C$2)*('S-Table'!$B57-$D$2)=0,IF(('S-Table'!$C57-$C$3)*('S-Table'!$C57-$D$3)=0,'S-Table'!A57,0),0)</f>
        <v>0</v>
      </c>
      <c r="H57" s="14">
        <f>IF(('S-Table'!$B57-$C$2)*('S-Table'!$B57-$D$2)=0,IF(('S-Table'!$C57-$C$3)*('S-Table'!$C57-$D$3)=0,'S-Table'!B57,0),0)</f>
        <v>0</v>
      </c>
      <c r="I57" s="14">
        <f>IF(('S-Table'!$B57-$C$2)*('S-Table'!$B57-$D$2)=0,IF(('S-Table'!$C57-$C$3)*('S-Table'!$C57-$D$3)=0,'S-Table'!C57,0),0)</f>
        <v>0</v>
      </c>
      <c r="J57" s="14">
        <f>IF(('S-Table'!$B57-$C$2)*('S-Table'!$B57-$D$2)=0,IF(('S-Table'!$C57-$C$3)*('S-Table'!$C57-$D$3)=0,'S-Table'!D57,0),0)</f>
        <v>0</v>
      </c>
      <c r="K57" s="14">
        <f>IF(('S-Table'!$B57-$C$2)*('S-Table'!$B57-$D$2)=0,IF(('S-Table'!$C57-$C$3)*('S-Table'!$C57-$D$3)=0,'S-Table'!E57,0),0)</f>
        <v>0</v>
      </c>
    </row>
    <row r="58" spans="6:11" x14ac:dyDescent="0.2">
      <c r="F58" s="14">
        <f>IF(G58=0,IF(G57=0,F57,F57+1),IF(G57=0,MAX(F$1:F57),MAX(F$1:F57)+1))</f>
        <v>5</v>
      </c>
      <c r="G58" s="14">
        <f>IF(('S-Table'!$B58-$C$2)*('S-Table'!$B58-$D$2)=0,IF(('S-Table'!$C58-$C$3)*('S-Table'!$C58-$D$3)=0,'S-Table'!A58,0),0)</f>
        <v>0</v>
      </c>
      <c r="H58" s="14">
        <f>IF(('S-Table'!$B58-$C$2)*('S-Table'!$B58-$D$2)=0,IF(('S-Table'!$C58-$C$3)*('S-Table'!$C58-$D$3)=0,'S-Table'!B58,0),0)</f>
        <v>0</v>
      </c>
      <c r="I58" s="14">
        <f>IF(('S-Table'!$B58-$C$2)*('S-Table'!$B58-$D$2)=0,IF(('S-Table'!$C58-$C$3)*('S-Table'!$C58-$D$3)=0,'S-Table'!C58,0),0)</f>
        <v>0</v>
      </c>
      <c r="J58" s="14">
        <f>IF(('S-Table'!$B58-$C$2)*('S-Table'!$B58-$D$2)=0,IF(('S-Table'!$C58-$C$3)*('S-Table'!$C58-$D$3)=0,'S-Table'!D58,0),0)</f>
        <v>0</v>
      </c>
      <c r="K58" s="14">
        <f>IF(('S-Table'!$B58-$C$2)*('S-Table'!$B58-$D$2)=0,IF(('S-Table'!$C58-$C$3)*('S-Table'!$C58-$D$3)=0,'S-Table'!E58,0),0)</f>
        <v>0</v>
      </c>
    </row>
    <row r="59" spans="6:11" x14ac:dyDescent="0.2">
      <c r="F59" s="14">
        <f>IF(G59=0,IF(G58=0,F58,F58+1),IF(G58=0,MAX(F$1:F58),MAX(F$1:F58)+1))</f>
        <v>5</v>
      </c>
      <c r="G59" s="14">
        <f>IF(('S-Table'!$B59-$C$2)*('S-Table'!$B59-$D$2)=0,IF(('S-Table'!$C59-$C$3)*('S-Table'!$C59-$D$3)=0,'S-Table'!A59,0),0)</f>
        <v>0</v>
      </c>
      <c r="H59" s="14">
        <f>IF(('S-Table'!$B59-$C$2)*('S-Table'!$B59-$D$2)=0,IF(('S-Table'!$C59-$C$3)*('S-Table'!$C59-$D$3)=0,'S-Table'!B59,0),0)</f>
        <v>0</v>
      </c>
      <c r="I59" s="14">
        <f>IF(('S-Table'!$B59-$C$2)*('S-Table'!$B59-$D$2)=0,IF(('S-Table'!$C59-$C$3)*('S-Table'!$C59-$D$3)=0,'S-Table'!C59,0),0)</f>
        <v>0</v>
      </c>
      <c r="J59" s="14">
        <f>IF(('S-Table'!$B59-$C$2)*('S-Table'!$B59-$D$2)=0,IF(('S-Table'!$C59-$C$3)*('S-Table'!$C59-$D$3)=0,'S-Table'!D59,0),0)</f>
        <v>0</v>
      </c>
      <c r="K59" s="14">
        <f>IF(('S-Table'!$B59-$C$2)*('S-Table'!$B59-$D$2)=0,IF(('S-Table'!$C59-$C$3)*('S-Table'!$C59-$D$3)=0,'S-Table'!E59,0),0)</f>
        <v>0</v>
      </c>
    </row>
    <row r="60" spans="6:11" x14ac:dyDescent="0.2">
      <c r="F60" s="14">
        <f>IF(G60=0,IF(G59=0,F59,F59+1),IF(G59=0,MAX(F$1:F59),MAX(F$1:F59)+1))</f>
        <v>5</v>
      </c>
      <c r="G60" s="14">
        <f>IF(('S-Table'!$B60-$C$2)*('S-Table'!$B60-$D$2)=0,IF(('S-Table'!$C60-$C$3)*('S-Table'!$C60-$D$3)=0,'S-Table'!A60,0),0)</f>
        <v>0</v>
      </c>
      <c r="H60" s="14">
        <f>IF(('S-Table'!$B60-$C$2)*('S-Table'!$B60-$D$2)=0,IF(('S-Table'!$C60-$C$3)*('S-Table'!$C60-$D$3)=0,'S-Table'!B60,0),0)</f>
        <v>0</v>
      </c>
      <c r="I60" s="14">
        <f>IF(('S-Table'!$B60-$C$2)*('S-Table'!$B60-$D$2)=0,IF(('S-Table'!$C60-$C$3)*('S-Table'!$C60-$D$3)=0,'S-Table'!C60,0),0)</f>
        <v>0</v>
      </c>
      <c r="J60" s="14">
        <f>IF(('S-Table'!$B60-$C$2)*('S-Table'!$B60-$D$2)=0,IF(('S-Table'!$C60-$C$3)*('S-Table'!$C60-$D$3)=0,'S-Table'!D60,0),0)</f>
        <v>0</v>
      </c>
      <c r="K60" s="14">
        <f>IF(('S-Table'!$B60-$C$2)*('S-Table'!$B60-$D$2)=0,IF(('S-Table'!$C60-$C$3)*('S-Table'!$C60-$D$3)=0,'S-Table'!E60,0),0)</f>
        <v>0</v>
      </c>
    </row>
    <row r="61" spans="6:11" x14ac:dyDescent="0.2">
      <c r="F61" s="14">
        <f>IF(G61=0,IF(G60=0,F60,F60+1),IF(G60=0,MAX(F$1:F60),MAX(F$1:F60)+1))</f>
        <v>5</v>
      </c>
      <c r="G61" s="14">
        <f>IF(('S-Table'!$B61-$C$2)*('S-Table'!$B61-$D$2)=0,IF(('S-Table'!$C61-$C$3)*('S-Table'!$C61-$D$3)=0,'S-Table'!A61,0),0)</f>
        <v>0</v>
      </c>
      <c r="H61" s="14">
        <f>IF(('S-Table'!$B61-$C$2)*('S-Table'!$B61-$D$2)=0,IF(('S-Table'!$C61-$C$3)*('S-Table'!$C61-$D$3)=0,'S-Table'!B61,0),0)</f>
        <v>0</v>
      </c>
      <c r="I61" s="14">
        <f>IF(('S-Table'!$B61-$C$2)*('S-Table'!$B61-$D$2)=0,IF(('S-Table'!$C61-$C$3)*('S-Table'!$C61-$D$3)=0,'S-Table'!C61,0),0)</f>
        <v>0</v>
      </c>
      <c r="J61" s="14">
        <f>IF(('S-Table'!$B61-$C$2)*('S-Table'!$B61-$D$2)=0,IF(('S-Table'!$C61-$C$3)*('S-Table'!$C61-$D$3)=0,'S-Table'!D61,0),0)</f>
        <v>0</v>
      </c>
      <c r="K61" s="14">
        <f>IF(('S-Table'!$B61-$C$2)*('S-Table'!$B61-$D$2)=0,IF(('S-Table'!$C61-$C$3)*('S-Table'!$C61-$D$3)=0,'S-Table'!E61,0),0)</f>
        <v>0</v>
      </c>
    </row>
    <row r="62" spans="6:11" x14ac:dyDescent="0.2">
      <c r="F62" s="14">
        <f>IF(G62=0,IF(G61=0,F61,F61+1),IF(G61=0,MAX(F$1:F61),MAX(F$1:F61)+1))</f>
        <v>5</v>
      </c>
      <c r="G62" s="14">
        <f>IF(('S-Table'!$B62-$C$2)*('S-Table'!$B62-$D$2)=0,IF(('S-Table'!$C62-$C$3)*('S-Table'!$C62-$D$3)=0,'S-Table'!A62,0),0)</f>
        <v>0</v>
      </c>
      <c r="H62" s="14">
        <f>IF(('S-Table'!$B62-$C$2)*('S-Table'!$B62-$D$2)=0,IF(('S-Table'!$C62-$C$3)*('S-Table'!$C62-$D$3)=0,'S-Table'!B62,0),0)</f>
        <v>0</v>
      </c>
      <c r="I62" s="14">
        <f>IF(('S-Table'!$B62-$C$2)*('S-Table'!$B62-$D$2)=0,IF(('S-Table'!$C62-$C$3)*('S-Table'!$C62-$D$3)=0,'S-Table'!C62,0),0)</f>
        <v>0</v>
      </c>
      <c r="J62" s="14">
        <f>IF(('S-Table'!$B62-$C$2)*('S-Table'!$B62-$D$2)=0,IF(('S-Table'!$C62-$C$3)*('S-Table'!$C62-$D$3)=0,'S-Table'!D62,0),0)</f>
        <v>0</v>
      </c>
      <c r="K62" s="14">
        <f>IF(('S-Table'!$B62-$C$2)*('S-Table'!$B62-$D$2)=0,IF(('S-Table'!$C62-$C$3)*('S-Table'!$C62-$D$3)=0,'S-Table'!E62,0),0)</f>
        <v>0</v>
      </c>
    </row>
    <row r="63" spans="6:11" x14ac:dyDescent="0.2">
      <c r="F63" s="14">
        <f>IF(G63=0,IF(G62=0,F62,F62+1),IF(G62=0,MAX(F$1:F62),MAX(F$1:F62)+1))</f>
        <v>5</v>
      </c>
      <c r="G63" s="14">
        <f>IF(('S-Table'!$B63-$C$2)*('S-Table'!$B63-$D$2)=0,IF(('S-Table'!$C63-$C$3)*('S-Table'!$C63-$D$3)=0,'S-Table'!A63,0),0)</f>
        <v>0</v>
      </c>
      <c r="H63" s="14">
        <f>IF(('S-Table'!$B63-$C$2)*('S-Table'!$B63-$D$2)=0,IF(('S-Table'!$C63-$C$3)*('S-Table'!$C63-$D$3)=0,'S-Table'!B63,0),0)</f>
        <v>0</v>
      </c>
      <c r="I63" s="14">
        <f>IF(('S-Table'!$B63-$C$2)*('S-Table'!$B63-$D$2)=0,IF(('S-Table'!$C63-$C$3)*('S-Table'!$C63-$D$3)=0,'S-Table'!C63,0),0)</f>
        <v>0</v>
      </c>
      <c r="J63" s="14">
        <f>IF(('S-Table'!$B63-$C$2)*('S-Table'!$B63-$D$2)=0,IF(('S-Table'!$C63-$C$3)*('S-Table'!$C63-$D$3)=0,'S-Table'!D63,0),0)</f>
        <v>0</v>
      </c>
      <c r="K63" s="14">
        <f>IF(('S-Table'!$B63-$C$2)*('S-Table'!$B63-$D$2)=0,IF(('S-Table'!$C63-$C$3)*('S-Table'!$C63-$D$3)=0,'S-Table'!E63,0),0)</f>
        <v>0</v>
      </c>
    </row>
    <row r="64" spans="6:11" x14ac:dyDescent="0.2">
      <c r="F64" s="14">
        <f>IF(G64=0,IF(G63=0,F63,F63+1),IF(G63=0,MAX(F$1:F63),MAX(F$1:F63)+1))</f>
        <v>5</v>
      </c>
      <c r="G64" s="14">
        <f>IF(('S-Table'!$B64-$C$2)*('S-Table'!$B64-$D$2)=0,IF(('S-Table'!$C64-$C$3)*('S-Table'!$C64-$D$3)=0,'S-Table'!A64,0),0)</f>
        <v>0</v>
      </c>
      <c r="H64" s="14">
        <f>IF(('S-Table'!$B64-$C$2)*('S-Table'!$B64-$D$2)=0,IF(('S-Table'!$C64-$C$3)*('S-Table'!$C64-$D$3)=0,'S-Table'!B64,0),0)</f>
        <v>0</v>
      </c>
      <c r="I64" s="14">
        <f>IF(('S-Table'!$B64-$C$2)*('S-Table'!$B64-$D$2)=0,IF(('S-Table'!$C64-$C$3)*('S-Table'!$C64-$D$3)=0,'S-Table'!C64,0),0)</f>
        <v>0</v>
      </c>
      <c r="J64" s="14">
        <f>IF(('S-Table'!$B64-$C$2)*('S-Table'!$B64-$D$2)=0,IF(('S-Table'!$C64-$C$3)*('S-Table'!$C64-$D$3)=0,'S-Table'!D64,0),0)</f>
        <v>0</v>
      </c>
      <c r="K64" s="14">
        <f>IF(('S-Table'!$B64-$C$2)*('S-Table'!$B64-$D$2)=0,IF(('S-Table'!$C64-$C$3)*('S-Table'!$C64-$D$3)=0,'S-Table'!E64,0),0)</f>
        <v>0</v>
      </c>
    </row>
    <row r="65" spans="6:11" x14ac:dyDescent="0.2">
      <c r="F65" s="14">
        <f>IF(G65=0,IF(G64=0,F64,F64+1),IF(G64=0,MAX(F$1:F64),MAX(F$1:F64)+1))</f>
        <v>5</v>
      </c>
      <c r="G65" s="14">
        <f>IF(('S-Table'!$B65-$C$2)*('S-Table'!$B65-$D$2)=0,IF(('S-Table'!$C65-$C$3)*('S-Table'!$C65-$D$3)=0,'S-Table'!A65,0),0)</f>
        <v>0</v>
      </c>
      <c r="H65" s="14">
        <f>IF(('S-Table'!$B65-$C$2)*('S-Table'!$B65-$D$2)=0,IF(('S-Table'!$C65-$C$3)*('S-Table'!$C65-$D$3)=0,'S-Table'!B65,0),0)</f>
        <v>0</v>
      </c>
      <c r="I65" s="14">
        <f>IF(('S-Table'!$B65-$C$2)*('S-Table'!$B65-$D$2)=0,IF(('S-Table'!$C65-$C$3)*('S-Table'!$C65-$D$3)=0,'S-Table'!C65,0),0)</f>
        <v>0</v>
      </c>
      <c r="J65" s="14">
        <f>IF(('S-Table'!$B65-$C$2)*('S-Table'!$B65-$D$2)=0,IF(('S-Table'!$C65-$C$3)*('S-Table'!$C65-$D$3)=0,'S-Table'!D65,0),0)</f>
        <v>0</v>
      </c>
      <c r="K65" s="14">
        <f>IF(('S-Table'!$B65-$C$2)*('S-Table'!$B65-$D$2)=0,IF(('S-Table'!$C65-$C$3)*('S-Table'!$C65-$D$3)=0,'S-Table'!E65,0),0)</f>
        <v>0</v>
      </c>
    </row>
    <row r="66" spans="6:11" x14ac:dyDescent="0.2">
      <c r="F66" s="14">
        <f>IF(G66=0,IF(G65=0,F65,F65+1),IF(G65=0,MAX(F$1:F65),MAX(F$1:F65)+1))</f>
        <v>5</v>
      </c>
      <c r="G66" s="14">
        <f>IF(('S-Table'!$B66-$C$2)*('S-Table'!$B66-$D$2)=0,IF(('S-Table'!$C66-$C$3)*('S-Table'!$C66-$D$3)=0,'S-Table'!A66,0),0)</f>
        <v>0</v>
      </c>
      <c r="H66" s="14">
        <f>IF(('S-Table'!$B66-$C$2)*('S-Table'!$B66-$D$2)=0,IF(('S-Table'!$C66-$C$3)*('S-Table'!$C66-$D$3)=0,'S-Table'!B66,0),0)</f>
        <v>0</v>
      </c>
      <c r="I66" s="14">
        <f>IF(('S-Table'!$B66-$C$2)*('S-Table'!$B66-$D$2)=0,IF(('S-Table'!$C66-$C$3)*('S-Table'!$C66-$D$3)=0,'S-Table'!C66,0),0)</f>
        <v>0</v>
      </c>
      <c r="J66" s="14">
        <f>IF(('S-Table'!$B66-$C$2)*('S-Table'!$B66-$D$2)=0,IF(('S-Table'!$C66-$C$3)*('S-Table'!$C66-$D$3)=0,'S-Table'!D66,0),0)</f>
        <v>0</v>
      </c>
      <c r="K66" s="14">
        <f>IF(('S-Table'!$B66-$C$2)*('S-Table'!$B66-$D$2)=0,IF(('S-Table'!$C66-$C$3)*('S-Table'!$C66-$D$3)=0,'S-Table'!E66,0),0)</f>
        <v>0</v>
      </c>
    </row>
    <row r="67" spans="6:11" x14ac:dyDescent="0.2">
      <c r="F67" s="14">
        <f>IF(G67=0,IF(G66=0,F66,F66+1),IF(G66=0,MAX(F$1:F66),MAX(F$1:F66)+1))</f>
        <v>5</v>
      </c>
      <c r="G67" s="14">
        <f>IF(('S-Table'!$B67-$C$2)*('S-Table'!$B67-$D$2)=0,IF(('S-Table'!$C67-$C$3)*('S-Table'!$C67-$D$3)=0,'S-Table'!A67,0),0)</f>
        <v>0</v>
      </c>
      <c r="H67" s="14">
        <f>IF(('S-Table'!$B67-$C$2)*('S-Table'!$B67-$D$2)=0,IF(('S-Table'!$C67-$C$3)*('S-Table'!$C67-$D$3)=0,'S-Table'!B67,0),0)</f>
        <v>0</v>
      </c>
      <c r="I67" s="14">
        <f>IF(('S-Table'!$B67-$C$2)*('S-Table'!$B67-$D$2)=0,IF(('S-Table'!$C67-$C$3)*('S-Table'!$C67-$D$3)=0,'S-Table'!C67,0),0)</f>
        <v>0</v>
      </c>
      <c r="J67" s="14">
        <f>IF(('S-Table'!$B67-$C$2)*('S-Table'!$B67-$D$2)=0,IF(('S-Table'!$C67-$C$3)*('S-Table'!$C67-$D$3)=0,'S-Table'!D67,0),0)</f>
        <v>0</v>
      </c>
      <c r="K67" s="14">
        <f>IF(('S-Table'!$B67-$C$2)*('S-Table'!$B67-$D$2)=0,IF(('S-Table'!$C67-$C$3)*('S-Table'!$C67-$D$3)=0,'S-Table'!E67,0),0)</f>
        <v>0</v>
      </c>
    </row>
    <row r="68" spans="6:11" x14ac:dyDescent="0.2">
      <c r="F68" s="14">
        <f>IF(G68=0,IF(G67=0,F67,F67+1),IF(G67=0,MAX(F$1:F67),MAX(F$1:F67)+1))</f>
        <v>5</v>
      </c>
      <c r="G68" s="14">
        <f>IF(('S-Table'!$B68-$C$2)*('S-Table'!$B68-$D$2)=0,IF(('S-Table'!$C68-$C$3)*('S-Table'!$C68-$D$3)=0,'S-Table'!A68,0),0)</f>
        <v>0</v>
      </c>
      <c r="H68" s="14">
        <f>IF(('S-Table'!$B68-$C$2)*('S-Table'!$B68-$D$2)=0,IF(('S-Table'!$C68-$C$3)*('S-Table'!$C68-$D$3)=0,'S-Table'!B68,0),0)</f>
        <v>0</v>
      </c>
      <c r="I68" s="14">
        <f>IF(('S-Table'!$B68-$C$2)*('S-Table'!$B68-$D$2)=0,IF(('S-Table'!$C68-$C$3)*('S-Table'!$C68-$D$3)=0,'S-Table'!C68,0),0)</f>
        <v>0</v>
      </c>
      <c r="J68" s="14">
        <f>IF(('S-Table'!$B68-$C$2)*('S-Table'!$B68-$D$2)=0,IF(('S-Table'!$C68-$C$3)*('S-Table'!$C68-$D$3)=0,'S-Table'!D68,0),0)</f>
        <v>0</v>
      </c>
      <c r="K68" s="14">
        <f>IF(('S-Table'!$B68-$C$2)*('S-Table'!$B68-$D$2)=0,IF(('S-Table'!$C68-$C$3)*('S-Table'!$C68-$D$3)=0,'S-Table'!E68,0),0)</f>
        <v>0</v>
      </c>
    </row>
    <row r="69" spans="6:11" x14ac:dyDescent="0.2">
      <c r="F69" s="14">
        <f>IF(G69=0,IF(G68=0,F68,F68+1),IF(G68=0,MAX(F$1:F68),MAX(F$1:F68)+1))</f>
        <v>5</v>
      </c>
      <c r="G69" s="14">
        <f>IF(('S-Table'!$B69-$C$2)*('S-Table'!$B69-$D$2)=0,IF(('S-Table'!$C69-$C$3)*('S-Table'!$C69-$D$3)=0,'S-Table'!A69,0),0)</f>
        <v>0</v>
      </c>
      <c r="H69" s="14">
        <f>IF(('S-Table'!$B69-$C$2)*('S-Table'!$B69-$D$2)=0,IF(('S-Table'!$C69-$C$3)*('S-Table'!$C69-$D$3)=0,'S-Table'!B69,0),0)</f>
        <v>0</v>
      </c>
      <c r="I69" s="14">
        <f>IF(('S-Table'!$B69-$C$2)*('S-Table'!$B69-$D$2)=0,IF(('S-Table'!$C69-$C$3)*('S-Table'!$C69-$D$3)=0,'S-Table'!C69,0),0)</f>
        <v>0</v>
      </c>
      <c r="J69" s="14">
        <f>IF(('S-Table'!$B69-$C$2)*('S-Table'!$B69-$D$2)=0,IF(('S-Table'!$C69-$C$3)*('S-Table'!$C69-$D$3)=0,'S-Table'!D69,0),0)</f>
        <v>0</v>
      </c>
      <c r="K69" s="14">
        <f>IF(('S-Table'!$B69-$C$2)*('S-Table'!$B69-$D$2)=0,IF(('S-Table'!$C69-$C$3)*('S-Table'!$C69-$D$3)=0,'S-Table'!E69,0),0)</f>
        <v>0</v>
      </c>
    </row>
    <row r="70" spans="6:11" x14ac:dyDescent="0.2">
      <c r="F70" s="14">
        <f>IF(G70=0,IF(G69=0,F69,F69+1),IF(G69=0,MAX(F$1:F69),MAX(F$1:F69)+1))</f>
        <v>5</v>
      </c>
      <c r="G70" s="14">
        <f>IF(('S-Table'!$B70-$C$2)*('S-Table'!$B70-$D$2)=0,IF(('S-Table'!$C70-$C$3)*('S-Table'!$C70-$D$3)=0,'S-Table'!A70,0),0)</f>
        <v>0</v>
      </c>
      <c r="H70" s="14">
        <f>IF(('S-Table'!$B70-$C$2)*('S-Table'!$B70-$D$2)=0,IF(('S-Table'!$C70-$C$3)*('S-Table'!$C70-$D$3)=0,'S-Table'!B70,0),0)</f>
        <v>0</v>
      </c>
      <c r="I70" s="14">
        <f>IF(('S-Table'!$B70-$C$2)*('S-Table'!$B70-$D$2)=0,IF(('S-Table'!$C70-$C$3)*('S-Table'!$C70-$D$3)=0,'S-Table'!C70,0),0)</f>
        <v>0</v>
      </c>
      <c r="J70" s="14">
        <f>IF(('S-Table'!$B70-$C$2)*('S-Table'!$B70-$D$2)=0,IF(('S-Table'!$C70-$C$3)*('S-Table'!$C70-$D$3)=0,'S-Table'!D70,0),0)</f>
        <v>0</v>
      </c>
      <c r="K70" s="14">
        <f>IF(('S-Table'!$B70-$C$2)*('S-Table'!$B70-$D$2)=0,IF(('S-Table'!$C70-$C$3)*('S-Table'!$C70-$D$3)=0,'S-Table'!E70,0),0)</f>
        <v>0</v>
      </c>
    </row>
    <row r="71" spans="6:11" x14ac:dyDescent="0.2">
      <c r="F71" s="14">
        <f>IF(G71=0,IF(G70=0,F70,F70+1),IF(G70=0,MAX(F$1:F70),MAX(F$1:F70)+1))</f>
        <v>5</v>
      </c>
      <c r="G71" s="14">
        <f>IF(('S-Table'!$B71-$C$2)*('S-Table'!$B71-$D$2)=0,IF(('S-Table'!$C71-$C$3)*('S-Table'!$C71-$D$3)=0,'S-Table'!A71,0),0)</f>
        <v>0</v>
      </c>
      <c r="H71" s="14">
        <f>IF(('S-Table'!$B71-$C$2)*('S-Table'!$B71-$D$2)=0,IF(('S-Table'!$C71-$C$3)*('S-Table'!$C71-$D$3)=0,'S-Table'!B71,0),0)</f>
        <v>0</v>
      </c>
      <c r="I71" s="14">
        <f>IF(('S-Table'!$B71-$C$2)*('S-Table'!$B71-$D$2)=0,IF(('S-Table'!$C71-$C$3)*('S-Table'!$C71-$D$3)=0,'S-Table'!C71,0),0)</f>
        <v>0</v>
      </c>
      <c r="J71" s="14">
        <f>IF(('S-Table'!$B71-$C$2)*('S-Table'!$B71-$D$2)=0,IF(('S-Table'!$C71-$C$3)*('S-Table'!$C71-$D$3)=0,'S-Table'!D71,0),0)</f>
        <v>0</v>
      </c>
      <c r="K71" s="14">
        <f>IF(('S-Table'!$B71-$C$2)*('S-Table'!$B71-$D$2)=0,IF(('S-Table'!$C71-$C$3)*('S-Table'!$C71-$D$3)=0,'S-Table'!E71,0),0)</f>
        <v>0</v>
      </c>
    </row>
    <row r="72" spans="6:11" x14ac:dyDescent="0.2">
      <c r="F72" s="14">
        <f>IF(G72=0,IF(G71=0,F71,F71+1),IF(G71=0,MAX(F$1:F71),MAX(F$1:F71)+1))</f>
        <v>5</v>
      </c>
      <c r="G72" s="14">
        <f>IF(('S-Table'!$B72-$C$2)*('S-Table'!$B72-$D$2)=0,IF(('S-Table'!$C72-$C$3)*('S-Table'!$C72-$D$3)=0,'S-Table'!A72,0),0)</f>
        <v>0</v>
      </c>
      <c r="H72" s="14">
        <f>IF(('S-Table'!$B72-$C$2)*('S-Table'!$B72-$D$2)=0,IF(('S-Table'!$C72-$C$3)*('S-Table'!$C72-$D$3)=0,'S-Table'!B72,0),0)</f>
        <v>0</v>
      </c>
      <c r="I72" s="14">
        <f>IF(('S-Table'!$B72-$C$2)*('S-Table'!$B72-$D$2)=0,IF(('S-Table'!$C72-$C$3)*('S-Table'!$C72-$D$3)=0,'S-Table'!C72,0),0)</f>
        <v>0</v>
      </c>
      <c r="J72" s="14">
        <f>IF(('S-Table'!$B72-$C$2)*('S-Table'!$B72-$D$2)=0,IF(('S-Table'!$C72-$C$3)*('S-Table'!$C72-$D$3)=0,'S-Table'!D72,0),0)</f>
        <v>0</v>
      </c>
      <c r="K72" s="14">
        <f>IF(('S-Table'!$B72-$C$2)*('S-Table'!$B72-$D$2)=0,IF(('S-Table'!$C72-$C$3)*('S-Table'!$C72-$D$3)=0,'S-Table'!E72,0),0)</f>
        <v>0</v>
      </c>
    </row>
    <row r="73" spans="6:11" x14ac:dyDescent="0.2">
      <c r="F73" s="14">
        <f>IF(G73=0,IF(G72=0,F72,F72+1),IF(G72=0,MAX(F$1:F72),MAX(F$1:F72)+1))</f>
        <v>5</v>
      </c>
      <c r="G73" s="14">
        <f>IF(('S-Table'!$B73-$C$2)*('S-Table'!$B73-$D$2)=0,IF(('S-Table'!$C73-$C$3)*('S-Table'!$C73-$D$3)=0,'S-Table'!A73,0),0)</f>
        <v>0</v>
      </c>
      <c r="H73" s="14">
        <f>IF(('S-Table'!$B73-$C$2)*('S-Table'!$B73-$D$2)=0,IF(('S-Table'!$C73-$C$3)*('S-Table'!$C73-$D$3)=0,'S-Table'!B73,0),0)</f>
        <v>0</v>
      </c>
      <c r="I73" s="14">
        <f>IF(('S-Table'!$B73-$C$2)*('S-Table'!$B73-$D$2)=0,IF(('S-Table'!$C73-$C$3)*('S-Table'!$C73-$D$3)=0,'S-Table'!C73,0),0)</f>
        <v>0</v>
      </c>
      <c r="J73" s="14">
        <f>IF(('S-Table'!$B73-$C$2)*('S-Table'!$B73-$D$2)=0,IF(('S-Table'!$C73-$C$3)*('S-Table'!$C73-$D$3)=0,'S-Table'!D73,0),0)</f>
        <v>0</v>
      </c>
      <c r="K73" s="14">
        <f>IF(('S-Table'!$B73-$C$2)*('S-Table'!$B73-$D$2)=0,IF(('S-Table'!$C73-$C$3)*('S-Table'!$C73-$D$3)=0,'S-Table'!E73,0),0)</f>
        <v>0</v>
      </c>
    </row>
    <row r="74" spans="6:11" x14ac:dyDescent="0.2">
      <c r="F74" s="14">
        <f>IF(G74=0,IF(G73=0,F73,F73+1),IF(G73=0,MAX(F$1:F73),MAX(F$1:F73)+1))</f>
        <v>5</v>
      </c>
      <c r="G74" s="14">
        <f>IF(('S-Table'!$B74-$C$2)*('S-Table'!$B74-$D$2)=0,IF(('S-Table'!$C74-$C$3)*('S-Table'!$C74-$D$3)=0,'S-Table'!A74,0),0)</f>
        <v>0</v>
      </c>
      <c r="H74" s="14">
        <f>IF(('S-Table'!$B74-$C$2)*('S-Table'!$B74-$D$2)=0,IF(('S-Table'!$C74-$C$3)*('S-Table'!$C74-$D$3)=0,'S-Table'!B74,0),0)</f>
        <v>0</v>
      </c>
      <c r="I74" s="14">
        <f>IF(('S-Table'!$B74-$C$2)*('S-Table'!$B74-$D$2)=0,IF(('S-Table'!$C74-$C$3)*('S-Table'!$C74-$D$3)=0,'S-Table'!C74,0),0)</f>
        <v>0</v>
      </c>
      <c r="J74" s="14">
        <f>IF(('S-Table'!$B74-$C$2)*('S-Table'!$B74-$D$2)=0,IF(('S-Table'!$C74-$C$3)*('S-Table'!$C74-$D$3)=0,'S-Table'!D74,0),0)</f>
        <v>0</v>
      </c>
      <c r="K74" s="14">
        <f>IF(('S-Table'!$B74-$C$2)*('S-Table'!$B74-$D$2)=0,IF(('S-Table'!$C74-$C$3)*('S-Table'!$C74-$D$3)=0,'S-Table'!E74,0),0)</f>
        <v>0</v>
      </c>
    </row>
    <row r="75" spans="6:11" x14ac:dyDescent="0.2">
      <c r="F75" s="14">
        <f>IF(G75=0,IF(G74=0,F74,F74+1),IF(G74=0,MAX(F$1:F74),MAX(F$1:F74)+1))</f>
        <v>5</v>
      </c>
      <c r="G75" s="14">
        <f>IF(('S-Table'!$B75-$C$2)*('S-Table'!$B75-$D$2)=0,IF(('S-Table'!$C75-$C$3)*('S-Table'!$C75-$D$3)=0,'S-Table'!A75,0),0)</f>
        <v>0</v>
      </c>
      <c r="H75" s="14">
        <f>IF(('S-Table'!$B75-$C$2)*('S-Table'!$B75-$D$2)=0,IF(('S-Table'!$C75-$C$3)*('S-Table'!$C75-$D$3)=0,'S-Table'!B75,0),0)</f>
        <v>0</v>
      </c>
      <c r="I75" s="14">
        <f>IF(('S-Table'!$B75-$C$2)*('S-Table'!$B75-$D$2)=0,IF(('S-Table'!$C75-$C$3)*('S-Table'!$C75-$D$3)=0,'S-Table'!C75,0),0)</f>
        <v>0</v>
      </c>
      <c r="J75" s="14">
        <f>IF(('S-Table'!$B75-$C$2)*('S-Table'!$B75-$D$2)=0,IF(('S-Table'!$C75-$C$3)*('S-Table'!$C75-$D$3)=0,'S-Table'!D75,0),0)</f>
        <v>0</v>
      </c>
      <c r="K75" s="14">
        <f>IF(('S-Table'!$B75-$C$2)*('S-Table'!$B75-$D$2)=0,IF(('S-Table'!$C75-$C$3)*('S-Table'!$C75-$D$3)=0,'S-Table'!E75,0),0)</f>
        <v>0</v>
      </c>
    </row>
    <row r="76" spans="6:11" x14ac:dyDescent="0.2">
      <c r="F76" s="14">
        <f>IF(G76=0,IF(G75=0,F75,F75+1),IF(G75=0,MAX(F$1:F75),MAX(F$1:F75)+1))</f>
        <v>5</v>
      </c>
      <c r="G76" s="14">
        <f>IF(('S-Table'!$B76-$C$2)*('S-Table'!$B76-$D$2)=0,IF(('S-Table'!$C76-$C$3)*('S-Table'!$C76-$D$3)=0,'S-Table'!A76,0),0)</f>
        <v>0</v>
      </c>
      <c r="H76" s="14">
        <f>IF(('S-Table'!$B76-$C$2)*('S-Table'!$B76-$D$2)=0,IF(('S-Table'!$C76-$C$3)*('S-Table'!$C76-$D$3)=0,'S-Table'!B76,0),0)</f>
        <v>0</v>
      </c>
      <c r="I76" s="14">
        <f>IF(('S-Table'!$B76-$C$2)*('S-Table'!$B76-$D$2)=0,IF(('S-Table'!$C76-$C$3)*('S-Table'!$C76-$D$3)=0,'S-Table'!C76,0),0)</f>
        <v>0</v>
      </c>
      <c r="J76" s="14">
        <f>IF(('S-Table'!$B76-$C$2)*('S-Table'!$B76-$D$2)=0,IF(('S-Table'!$C76-$C$3)*('S-Table'!$C76-$D$3)=0,'S-Table'!D76,0),0)</f>
        <v>0</v>
      </c>
      <c r="K76" s="14">
        <f>IF(('S-Table'!$B76-$C$2)*('S-Table'!$B76-$D$2)=0,IF(('S-Table'!$C76-$C$3)*('S-Table'!$C76-$D$3)=0,'S-Table'!E76,0),0)</f>
        <v>0</v>
      </c>
    </row>
    <row r="77" spans="6:11" x14ac:dyDescent="0.2">
      <c r="F77" s="14">
        <f>IF(G77=0,IF(G76=0,F76,F76+1),IF(G76=0,MAX(F$1:F76),MAX(F$1:F76)+1))</f>
        <v>5</v>
      </c>
      <c r="G77" s="14">
        <f>IF(('S-Table'!$B77-$C$2)*('S-Table'!$B77-$D$2)=0,IF(('S-Table'!$C77-$C$3)*('S-Table'!$C77-$D$3)=0,'S-Table'!A77,0),0)</f>
        <v>0</v>
      </c>
      <c r="H77" s="14">
        <f>IF(('S-Table'!$B77-$C$2)*('S-Table'!$B77-$D$2)=0,IF(('S-Table'!$C77-$C$3)*('S-Table'!$C77-$D$3)=0,'S-Table'!B77,0),0)</f>
        <v>0</v>
      </c>
      <c r="I77" s="14">
        <f>IF(('S-Table'!$B77-$C$2)*('S-Table'!$B77-$D$2)=0,IF(('S-Table'!$C77-$C$3)*('S-Table'!$C77-$D$3)=0,'S-Table'!C77,0),0)</f>
        <v>0</v>
      </c>
      <c r="J77" s="14">
        <f>IF(('S-Table'!$B77-$C$2)*('S-Table'!$B77-$D$2)=0,IF(('S-Table'!$C77-$C$3)*('S-Table'!$C77-$D$3)=0,'S-Table'!D77,0),0)</f>
        <v>0</v>
      </c>
      <c r="K77" s="14">
        <f>IF(('S-Table'!$B77-$C$2)*('S-Table'!$B77-$D$2)=0,IF(('S-Table'!$C77-$C$3)*('S-Table'!$C77-$D$3)=0,'S-Table'!E77,0),0)</f>
        <v>0</v>
      </c>
    </row>
    <row r="78" spans="6:11" x14ac:dyDescent="0.2">
      <c r="F78" s="14">
        <f>IF(G78=0,IF(G77=0,F77,F77+1),IF(G77=0,MAX(F$1:F77),MAX(F$1:F77)+1))</f>
        <v>5</v>
      </c>
      <c r="G78" s="14">
        <f>IF(('S-Table'!$B78-$C$2)*('S-Table'!$B78-$D$2)=0,IF(('S-Table'!$C78-$C$3)*('S-Table'!$C78-$D$3)=0,'S-Table'!A78,0),0)</f>
        <v>0</v>
      </c>
      <c r="H78" s="14">
        <f>IF(('S-Table'!$B78-$C$2)*('S-Table'!$B78-$D$2)=0,IF(('S-Table'!$C78-$C$3)*('S-Table'!$C78-$D$3)=0,'S-Table'!B78,0),0)</f>
        <v>0</v>
      </c>
      <c r="I78" s="14">
        <f>IF(('S-Table'!$B78-$C$2)*('S-Table'!$B78-$D$2)=0,IF(('S-Table'!$C78-$C$3)*('S-Table'!$C78-$D$3)=0,'S-Table'!C78,0),0)</f>
        <v>0</v>
      </c>
      <c r="J78" s="14">
        <f>IF(('S-Table'!$B78-$C$2)*('S-Table'!$B78-$D$2)=0,IF(('S-Table'!$C78-$C$3)*('S-Table'!$C78-$D$3)=0,'S-Table'!D78,0),0)</f>
        <v>0</v>
      </c>
      <c r="K78" s="14">
        <f>IF(('S-Table'!$B78-$C$2)*('S-Table'!$B78-$D$2)=0,IF(('S-Table'!$C78-$C$3)*('S-Table'!$C78-$D$3)=0,'S-Table'!E78,0),0)</f>
        <v>0</v>
      </c>
    </row>
    <row r="79" spans="6:11" x14ac:dyDescent="0.2">
      <c r="F79" s="14">
        <f>IF(G79=0,IF(G78=0,F78,F78+1),IF(G78=0,MAX(F$1:F78),MAX(F$1:F78)+1))</f>
        <v>5</v>
      </c>
      <c r="G79" s="14">
        <f>IF(('S-Table'!$B79-$C$2)*('S-Table'!$B79-$D$2)=0,IF(('S-Table'!$C79-$C$3)*('S-Table'!$C79-$D$3)=0,'S-Table'!A79,0),0)</f>
        <v>0</v>
      </c>
      <c r="H79" s="14">
        <f>IF(('S-Table'!$B79-$C$2)*('S-Table'!$B79-$D$2)=0,IF(('S-Table'!$C79-$C$3)*('S-Table'!$C79-$D$3)=0,'S-Table'!B79,0),0)</f>
        <v>0</v>
      </c>
      <c r="I79" s="14">
        <f>IF(('S-Table'!$B79-$C$2)*('S-Table'!$B79-$D$2)=0,IF(('S-Table'!$C79-$C$3)*('S-Table'!$C79-$D$3)=0,'S-Table'!C79,0),0)</f>
        <v>0</v>
      </c>
      <c r="J79" s="14">
        <f>IF(('S-Table'!$B79-$C$2)*('S-Table'!$B79-$D$2)=0,IF(('S-Table'!$C79-$C$3)*('S-Table'!$C79-$D$3)=0,'S-Table'!D79,0),0)</f>
        <v>0</v>
      </c>
      <c r="K79" s="14">
        <f>IF(('S-Table'!$B79-$C$2)*('S-Table'!$B79-$D$2)=0,IF(('S-Table'!$C79-$C$3)*('S-Table'!$C79-$D$3)=0,'S-Table'!E79,0),0)</f>
        <v>0</v>
      </c>
    </row>
    <row r="80" spans="6:11" x14ac:dyDescent="0.2">
      <c r="F80" s="14">
        <f>IF(G80=0,IF(G79=0,F79,F79+1),IF(G79=0,MAX(F$1:F79),MAX(F$1:F79)+1))</f>
        <v>5</v>
      </c>
      <c r="G80" s="14">
        <f>IF(('S-Table'!$B80-$C$2)*('S-Table'!$B80-$D$2)=0,IF(('S-Table'!$C80-$C$3)*('S-Table'!$C80-$D$3)=0,'S-Table'!A80,0),0)</f>
        <v>0</v>
      </c>
      <c r="H80" s="14">
        <f>IF(('S-Table'!$B80-$C$2)*('S-Table'!$B80-$D$2)=0,IF(('S-Table'!$C80-$C$3)*('S-Table'!$C80-$D$3)=0,'S-Table'!B80,0),0)</f>
        <v>0</v>
      </c>
      <c r="I80" s="14">
        <f>IF(('S-Table'!$B80-$C$2)*('S-Table'!$B80-$D$2)=0,IF(('S-Table'!$C80-$C$3)*('S-Table'!$C80-$D$3)=0,'S-Table'!C80,0),0)</f>
        <v>0</v>
      </c>
      <c r="J80" s="14">
        <f>IF(('S-Table'!$B80-$C$2)*('S-Table'!$B80-$D$2)=0,IF(('S-Table'!$C80-$C$3)*('S-Table'!$C80-$D$3)=0,'S-Table'!D80,0),0)</f>
        <v>0</v>
      </c>
      <c r="K80" s="14">
        <f>IF(('S-Table'!$B80-$C$2)*('S-Table'!$B80-$D$2)=0,IF(('S-Table'!$C80-$C$3)*('S-Table'!$C80-$D$3)=0,'S-Table'!E80,0),0)</f>
        <v>0</v>
      </c>
    </row>
    <row r="81" spans="6:11" x14ac:dyDescent="0.2">
      <c r="F81" s="14">
        <f>IF(G81=0,IF(G80=0,F80,F80+1),IF(G80=0,MAX(F$1:F80),MAX(F$1:F80)+1))</f>
        <v>5</v>
      </c>
      <c r="G81" s="14">
        <f>IF(('S-Table'!$B81-$C$2)*('S-Table'!$B81-$D$2)=0,IF(('S-Table'!$C81-$C$3)*('S-Table'!$C81-$D$3)=0,'S-Table'!A81,0),0)</f>
        <v>0</v>
      </c>
      <c r="H81" s="14">
        <f>IF(('S-Table'!$B81-$C$2)*('S-Table'!$B81-$D$2)=0,IF(('S-Table'!$C81-$C$3)*('S-Table'!$C81-$D$3)=0,'S-Table'!B81,0),0)</f>
        <v>0</v>
      </c>
      <c r="I81" s="14">
        <f>IF(('S-Table'!$B81-$C$2)*('S-Table'!$B81-$D$2)=0,IF(('S-Table'!$C81-$C$3)*('S-Table'!$C81-$D$3)=0,'S-Table'!C81,0),0)</f>
        <v>0</v>
      </c>
      <c r="J81" s="14">
        <f>IF(('S-Table'!$B81-$C$2)*('S-Table'!$B81-$D$2)=0,IF(('S-Table'!$C81-$C$3)*('S-Table'!$C81-$D$3)=0,'S-Table'!D81,0),0)</f>
        <v>0</v>
      </c>
      <c r="K81" s="14">
        <f>IF(('S-Table'!$B81-$C$2)*('S-Table'!$B81-$D$2)=0,IF(('S-Table'!$C81-$C$3)*('S-Table'!$C81-$D$3)=0,'S-Table'!E81,0),0)</f>
        <v>0</v>
      </c>
    </row>
    <row r="82" spans="6:11" x14ac:dyDescent="0.2">
      <c r="F82" s="14">
        <f>IF(G82=0,IF(G81=0,F81,F81+1),IF(G81=0,MAX(F$1:F81),MAX(F$1:F81)+1))</f>
        <v>5</v>
      </c>
      <c r="G82" s="14">
        <f>IF(('S-Table'!$B82-$C$2)*('S-Table'!$B82-$D$2)=0,IF(('S-Table'!$C82-$C$3)*('S-Table'!$C82-$D$3)=0,'S-Table'!A82,0),0)</f>
        <v>0</v>
      </c>
      <c r="H82" s="14">
        <f>IF(('S-Table'!$B82-$C$2)*('S-Table'!$B82-$D$2)=0,IF(('S-Table'!$C82-$C$3)*('S-Table'!$C82-$D$3)=0,'S-Table'!B82,0),0)</f>
        <v>0</v>
      </c>
      <c r="I82" s="14">
        <f>IF(('S-Table'!$B82-$C$2)*('S-Table'!$B82-$D$2)=0,IF(('S-Table'!$C82-$C$3)*('S-Table'!$C82-$D$3)=0,'S-Table'!C82,0),0)</f>
        <v>0</v>
      </c>
      <c r="J82" s="14">
        <f>IF(('S-Table'!$B82-$C$2)*('S-Table'!$B82-$D$2)=0,IF(('S-Table'!$C82-$C$3)*('S-Table'!$C82-$D$3)=0,'S-Table'!D82,0),0)</f>
        <v>0</v>
      </c>
      <c r="K82" s="14">
        <f>IF(('S-Table'!$B82-$C$2)*('S-Table'!$B82-$D$2)=0,IF(('S-Table'!$C82-$C$3)*('S-Table'!$C82-$D$3)=0,'S-Table'!E82,0),0)</f>
        <v>0</v>
      </c>
    </row>
    <row r="83" spans="6:11" x14ac:dyDescent="0.2">
      <c r="F83" s="14">
        <f>IF(G83=0,IF(G82=0,F82,F82+1),IF(G82=0,MAX(F$1:F82),MAX(F$1:F82)+1))</f>
        <v>5</v>
      </c>
      <c r="G83" s="14">
        <f>IF(('S-Table'!$B83-$C$2)*('S-Table'!$B83-$D$2)=0,IF(('S-Table'!$C83-$C$3)*('S-Table'!$C83-$D$3)=0,'S-Table'!A83,0),0)</f>
        <v>0</v>
      </c>
      <c r="H83" s="14">
        <f>IF(('S-Table'!$B83-$C$2)*('S-Table'!$B83-$D$2)=0,IF(('S-Table'!$C83-$C$3)*('S-Table'!$C83-$D$3)=0,'S-Table'!B83,0),0)</f>
        <v>0</v>
      </c>
      <c r="I83" s="14">
        <f>IF(('S-Table'!$B83-$C$2)*('S-Table'!$B83-$D$2)=0,IF(('S-Table'!$C83-$C$3)*('S-Table'!$C83-$D$3)=0,'S-Table'!C83,0),0)</f>
        <v>0</v>
      </c>
      <c r="J83" s="14">
        <f>IF(('S-Table'!$B83-$C$2)*('S-Table'!$B83-$D$2)=0,IF(('S-Table'!$C83-$C$3)*('S-Table'!$C83-$D$3)=0,'S-Table'!D83,0),0)</f>
        <v>0</v>
      </c>
      <c r="K83" s="14">
        <f>IF(('S-Table'!$B83-$C$2)*('S-Table'!$B83-$D$2)=0,IF(('S-Table'!$C83-$C$3)*('S-Table'!$C83-$D$3)=0,'S-Table'!E83,0),0)</f>
        <v>0</v>
      </c>
    </row>
    <row r="84" spans="6:11" x14ac:dyDescent="0.2">
      <c r="F84" s="14">
        <f>IF(G84=0,IF(G83=0,F83,F83+1),IF(G83=0,MAX(F$1:F83),MAX(F$1:F83)+1))</f>
        <v>5</v>
      </c>
      <c r="G84" s="14">
        <f>IF(('S-Table'!$B84-$C$2)*('S-Table'!$B84-$D$2)=0,IF(('S-Table'!$C84-$C$3)*('S-Table'!$C84-$D$3)=0,'S-Table'!A84,0),0)</f>
        <v>0</v>
      </c>
      <c r="H84" s="14">
        <f>IF(('S-Table'!$B84-$C$2)*('S-Table'!$B84-$D$2)=0,IF(('S-Table'!$C84-$C$3)*('S-Table'!$C84-$D$3)=0,'S-Table'!B84,0),0)</f>
        <v>0</v>
      </c>
      <c r="I84" s="14">
        <f>IF(('S-Table'!$B84-$C$2)*('S-Table'!$B84-$D$2)=0,IF(('S-Table'!$C84-$C$3)*('S-Table'!$C84-$D$3)=0,'S-Table'!C84,0),0)</f>
        <v>0</v>
      </c>
      <c r="J84" s="14">
        <f>IF(('S-Table'!$B84-$C$2)*('S-Table'!$B84-$D$2)=0,IF(('S-Table'!$C84-$C$3)*('S-Table'!$C84-$D$3)=0,'S-Table'!D84,0),0)</f>
        <v>0</v>
      </c>
      <c r="K84" s="14">
        <f>IF(('S-Table'!$B84-$C$2)*('S-Table'!$B84-$D$2)=0,IF(('S-Table'!$C84-$C$3)*('S-Table'!$C84-$D$3)=0,'S-Table'!E84,0),0)</f>
        <v>0</v>
      </c>
    </row>
    <row r="85" spans="6:11" x14ac:dyDescent="0.2">
      <c r="F85" s="14">
        <f>IF(G85=0,IF(G84=0,F84,F84+1),IF(G84=0,MAX(F$1:F84),MAX(F$1:F84)+1))</f>
        <v>5</v>
      </c>
      <c r="G85" s="14">
        <f>IF(('S-Table'!$B85-$C$2)*('S-Table'!$B85-$D$2)=0,IF(('S-Table'!$C85-$C$3)*('S-Table'!$C85-$D$3)=0,'S-Table'!A85,0),0)</f>
        <v>0</v>
      </c>
      <c r="H85" s="14">
        <f>IF(('S-Table'!$B85-$C$2)*('S-Table'!$B85-$D$2)=0,IF(('S-Table'!$C85-$C$3)*('S-Table'!$C85-$D$3)=0,'S-Table'!B85,0),0)</f>
        <v>0</v>
      </c>
      <c r="I85" s="14">
        <f>IF(('S-Table'!$B85-$C$2)*('S-Table'!$B85-$D$2)=0,IF(('S-Table'!$C85-$C$3)*('S-Table'!$C85-$D$3)=0,'S-Table'!C85,0),0)</f>
        <v>0</v>
      </c>
      <c r="J85" s="14">
        <f>IF(('S-Table'!$B85-$C$2)*('S-Table'!$B85-$D$2)=0,IF(('S-Table'!$C85-$C$3)*('S-Table'!$C85-$D$3)=0,'S-Table'!D85,0),0)</f>
        <v>0</v>
      </c>
      <c r="K85" s="14">
        <f>IF(('S-Table'!$B85-$C$2)*('S-Table'!$B85-$D$2)=0,IF(('S-Table'!$C85-$C$3)*('S-Table'!$C85-$D$3)=0,'S-Table'!E85,0),0)</f>
        <v>0</v>
      </c>
    </row>
    <row r="86" spans="6:11" x14ac:dyDescent="0.2">
      <c r="F86" s="14">
        <f>IF(G86=0,IF(G85=0,F85,F85+1),IF(G85=0,MAX(F$1:F85),MAX(F$1:F85)+1))</f>
        <v>5</v>
      </c>
      <c r="G86" s="14">
        <f>IF(('S-Table'!$B86-$C$2)*('S-Table'!$B86-$D$2)=0,IF(('S-Table'!$C86-$C$3)*('S-Table'!$C86-$D$3)=0,'S-Table'!A86,0),0)</f>
        <v>0</v>
      </c>
      <c r="H86" s="14">
        <f>IF(('S-Table'!$B86-$C$2)*('S-Table'!$B86-$D$2)=0,IF(('S-Table'!$C86-$C$3)*('S-Table'!$C86-$D$3)=0,'S-Table'!B86,0),0)</f>
        <v>0</v>
      </c>
      <c r="I86" s="14">
        <f>IF(('S-Table'!$B86-$C$2)*('S-Table'!$B86-$D$2)=0,IF(('S-Table'!$C86-$C$3)*('S-Table'!$C86-$D$3)=0,'S-Table'!C86,0),0)</f>
        <v>0</v>
      </c>
      <c r="J86" s="14">
        <f>IF(('S-Table'!$B86-$C$2)*('S-Table'!$B86-$D$2)=0,IF(('S-Table'!$C86-$C$3)*('S-Table'!$C86-$D$3)=0,'S-Table'!D86,0),0)</f>
        <v>0</v>
      </c>
      <c r="K86" s="14">
        <f>IF(('S-Table'!$B86-$C$2)*('S-Table'!$B86-$D$2)=0,IF(('S-Table'!$C86-$C$3)*('S-Table'!$C86-$D$3)=0,'S-Table'!E86,0),0)</f>
        <v>0</v>
      </c>
    </row>
    <row r="87" spans="6:11" x14ac:dyDescent="0.2">
      <c r="F87" s="14">
        <f>IF(G87=0,IF(G86=0,F86,F86+1),IF(G86=0,MAX(F$1:F86),MAX(F$1:F86)+1))</f>
        <v>5</v>
      </c>
      <c r="G87" s="14">
        <f>IF(('S-Table'!$B87-$C$2)*('S-Table'!$B87-$D$2)=0,IF(('S-Table'!$C87-$C$3)*('S-Table'!$C87-$D$3)=0,'S-Table'!A87,0),0)</f>
        <v>0</v>
      </c>
      <c r="H87" s="14">
        <f>IF(('S-Table'!$B87-$C$2)*('S-Table'!$B87-$D$2)=0,IF(('S-Table'!$C87-$C$3)*('S-Table'!$C87-$D$3)=0,'S-Table'!B87,0),0)</f>
        <v>0</v>
      </c>
      <c r="I87" s="14">
        <f>IF(('S-Table'!$B87-$C$2)*('S-Table'!$B87-$D$2)=0,IF(('S-Table'!$C87-$C$3)*('S-Table'!$C87-$D$3)=0,'S-Table'!C87,0),0)</f>
        <v>0</v>
      </c>
      <c r="J87" s="14">
        <f>IF(('S-Table'!$B87-$C$2)*('S-Table'!$B87-$D$2)=0,IF(('S-Table'!$C87-$C$3)*('S-Table'!$C87-$D$3)=0,'S-Table'!D87,0),0)</f>
        <v>0</v>
      </c>
      <c r="K87" s="14">
        <f>IF(('S-Table'!$B87-$C$2)*('S-Table'!$B87-$D$2)=0,IF(('S-Table'!$C87-$C$3)*('S-Table'!$C87-$D$3)=0,'S-Table'!E87,0),0)</f>
        <v>0</v>
      </c>
    </row>
    <row r="88" spans="6:11" x14ac:dyDescent="0.2">
      <c r="F88" s="14">
        <f>IF(G88=0,IF(G87=0,F87,F87+1),IF(G87=0,MAX(F$1:F87),MAX(F$1:F87)+1))</f>
        <v>5</v>
      </c>
      <c r="G88" s="14">
        <f>IF(('S-Table'!$B88-$C$2)*('S-Table'!$B88-$D$2)=0,IF(('S-Table'!$C88-$C$3)*('S-Table'!$C88-$D$3)=0,'S-Table'!A88,0),0)</f>
        <v>0</v>
      </c>
      <c r="H88" s="14">
        <f>IF(('S-Table'!$B88-$C$2)*('S-Table'!$B88-$D$2)=0,IF(('S-Table'!$C88-$C$3)*('S-Table'!$C88-$D$3)=0,'S-Table'!B88,0),0)</f>
        <v>0</v>
      </c>
      <c r="I88" s="14">
        <f>IF(('S-Table'!$B88-$C$2)*('S-Table'!$B88-$D$2)=0,IF(('S-Table'!$C88-$C$3)*('S-Table'!$C88-$D$3)=0,'S-Table'!C88,0),0)</f>
        <v>0</v>
      </c>
      <c r="J88" s="14">
        <f>IF(('S-Table'!$B88-$C$2)*('S-Table'!$B88-$D$2)=0,IF(('S-Table'!$C88-$C$3)*('S-Table'!$C88-$D$3)=0,'S-Table'!D88,0),0)</f>
        <v>0</v>
      </c>
      <c r="K88" s="14">
        <f>IF(('S-Table'!$B88-$C$2)*('S-Table'!$B88-$D$2)=0,IF(('S-Table'!$C88-$C$3)*('S-Table'!$C88-$D$3)=0,'S-Table'!E88,0),0)</f>
        <v>0</v>
      </c>
    </row>
    <row r="89" spans="6:11" x14ac:dyDescent="0.2">
      <c r="F89" s="14">
        <f>IF(G89=0,IF(G88=0,F88,F88+1),IF(G88=0,MAX(F$1:F88),MAX(F$1:F88)+1))</f>
        <v>5</v>
      </c>
      <c r="G89" s="14">
        <f>IF(('S-Table'!$B89-$C$2)*('S-Table'!$B89-$D$2)=0,IF(('S-Table'!$C89-$C$3)*('S-Table'!$C89-$D$3)=0,'S-Table'!A89,0),0)</f>
        <v>0</v>
      </c>
      <c r="H89" s="14">
        <f>IF(('S-Table'!$B89-$C$2)*('S-Table'!$B89-$D$2)=0,IF(('S-Table'!$C89-$C$3)*('S-Table'!$C89-$D$3)=0,'S-Table'!B89,0),0)</f>
        <v>0</v>
      </c>
      <c r="I89" s="14">
        <f>IF(('S-Table'!$B89-$C$2)*('S-Table'!$B89-$D$2)=0,IF(('S-Table'!$C89-$C$3)*('S-Table'!$C89-$D$3)=0,'S-Table'!C89,0),0)</f>
        <v>0</v>
      </c>
      <c r="J89" s="14">
        <f>IF(('S-Table'!$B89-$C$2)*('S-Table'!$B89-$D$2)=0,IF(('S-Table'!$C89-$C$3)*('S-Table'!$C89-$D$3)=0,'S-Table'!D89,0),0)</f>
        <v>0</v>
      </c>
      <c r="K89" s="14">
        <f>IF(('S-Table'!$B89-$C$2)*('S-Table'!$B89-$D$2)=0,IF(('S-Table'!$C89-$C$3)*('S-Table'!$C89-$D$3)=0,'S-Table'!E89,0),0)</f>
        <v>0</v>
      </c>
    </row>
    <row r="90" spans="6:11" x14ac:dyDescent="0.2">
      <c r="F90" s="14">
        <f>IF(G90=0,IF(G89=0,F89,F89+1),IF(G89=0,MAX(F$1:F89),MAX(F$1:F89)+1))</f>
        <v>5</v>
      </c>
      <c r="G90" s="14">
        <f>IF(('S-Table'!$B90-$C$2)*('S-Table'!$B90-$D$2)=0,IF(('S-Table'!$C90-$C$3)*('S-Table'!$C90-$D$3)=0,'S-Table'!A90,0),0)</f>
        <v>0</v>
      </c>
      <c r="H90" s="14">
        <f>IF(('S-Table'!$B90-$C$2)*('S-Table'!$B90-$D$2)=0,IF(('S-Table'!$C90-$C$3)*('S-Table'!$C90-$D$3)=0,'S-Table'!B90,0),0)</f>
        <v>0</v>
      </c>
      <c r="I90" s="14">
        <f>IF(('S-Table'!$B90-$C$2)*('S-Table'!$B90-$D$2)=0,IF(('S-Table'!$C90-$C$3)*('S-Table'!$C90-$D$3)=0,'S-Table'!C90,0),0)</f>
        <v>0</v>
      </c>
      <c r="J90" s="14">
        <f>IF(('S-Table'!$B90-$C$2)*('S-Table'!$B90-$D$2)=0,IF(('S-Table'!$C90-$C$3)*('S-Table'!$C90-$D$3)=0,'S-Table'!D90,0),0)</f>
        <v>0</v>
      </c>
      <c r="K90" s="14">
        <f>IF(('S-Table'!$B90-$C$2)*('S-Table'!$B90-$D$2)=0,IF(('S-Table'!$C90-$C$3)*('S-Table'!$C90-$D$3)=0,'S-Table'!E90,0),0)</f>
        <v>0</v>
      </c>
    </row>
    <row r="91" spans="6:11" x14ac:dyDescent="0.2">
      <c r="F91" s="14">
        <f>IF(G91=0,IF(G90=0,F90,F90+1),IF(G90=0,MAX(F$1:F90),MAX(F$1:F90)+1))</f>
        <v>5</v>
      </c>
      <c r="G91" s="14">
        <f>IF(('S-Table'!$B91-$C$2)*('S-Table'!$B91-$D$2)=0,IF(('S-Table'!$C91-$C$3)*('S-Table'!$C91-$D$3)=0,'S-Table'!A91,0),0)</f>
        <v>0</v>
      </c>
      <c r="H91" s="14">
        <f>IF(('S-Table'!$B91-$C$2)*('S-Table'!$B91-$D$2)=0,IF(('S-Table'!$C91-$C$3)*('S-Table'!$C91-$D$3)=0,'S-Table'!B91,0),0)</f>
        <v>0</v>
      </c>
      <c r="I91" s="14">
        <f>IF(('S-Table'!$B91-$C$2)*('S-Table'!$B91-$D$2)=0,IF(('S-Table'!$C91-$C$3)*('S-Table'!$C91-$D$3)=0,'S-Table'!C91,0),0)</f>
        <v>0</v>
      </c>
      <c r="J91" s="14">
        <f>IF(('S-Table'!$B91-$C$2)*('S-Table'!$B91-$D$2)=0,IF(('S-Table'!$C91-$C$3)*('S-Table'!$C91-$D$3)=0,'S-Table'!D91,0),0)</f>
        <v>0</v>
      </c>
      <c r="K91" s="14">
        <f>IF(('S-Table'!$B91-$C$2)*('S-Table'!$B91-$D$2)=0,IF(('S-Table'!$C91-$C$3)*('S-Table'!$C91-$D$3)=0,'S-Table'!E91,0),0)</f>
        <v>0</v>
      </c>
    </row>
    <row r="92" spans="6:11" x14ac:dyDescent="0.2">
      <c r="F92" s="14">
        <f>IF(G92=0,IF(G91=0,F91,F91+1),IF(G91=0,MAX(F$1:F91),MAX(F$1:F91)+1))</f>
        <v>5</v>
      </c>
      <c r="G92" s="14">
        <f>IF(('S-Table'!$B92-$C$2)*('S-Table'!$B92-$D$2)=0,IF(('S-Table'!$C92-$C$3)*('S-Table'!$C92-$D$3)=0,'S-Table'!A92,0),0)</f>
        <v>0</v>
      </c>
      <c r="H92" s="14">
        <f>IF(('S-Table'!$B92-$C$2)*('S-Table'!$B92-$D$2)=0,IF(('S-Table'!$C92-$C$3)*('S-Table'!$C92-$D$3)=0,'S-Table'!B92,0),0)</f>
        <v>0</v>
      </c>
      <c r="I92" s="14">
        <f>IF(('S-Table'!$B92-$C$2)*('S-Table'!$B92-$D$2)=0,IF(('S-Table'!$C92-$C$3)*('S-Table'!$C92-$D$3)=0,'S-Table'!C92,0),0)</f>
        <v>0</v>
      </c>
      <c r="J92" s="14">
        <f>IF(('S-Table'!$B92-$C$2)*('S-Table'!$B92-$D$2)=0,IF(('S-Table'!$C92-$C$3)*('S-Table'!$C92-$D$3)=0,'S-Table'!D92,0),0)</f>
        <v>0</v>
      </c>
      <c r="K92" s="14">
        <f>IF(('S-Table'!$B92-$C$2)*('S-Table'!$B92-$D$2)=0,IF(('S-Table'!$C92-$C$3)*('S-Table'!$C92-$D$3)=0,'S-Table'!E92,0),0)</f>
        <v>0</v>
      </c>
    </row>
    <row r="93" spans="6:11" x14ac:dyDescent="0.2">
      <c r="F93" s="14">
        <f>IF(G93=0,IF(G92=0,F92,F92+1),IF(G92=0,MAX(F$1:F92),MAX(F$1:F92)+1))</f>
        <v>5</v>
      </c>
      <c r="G93" s="14">
        <f>IF(('S-Table'!$B93-$C$2)*('S-Table'!$B93-$D$2)=0,IF(('S-Table'!$C93-$C$3)*('S-Table'!$C93-$D$3)=0,'S-Table'!A93,0),0)</f>
        <v>0</v>
      </c>
      <c r="H93" s="14">
        <f>IF(('S-Table'!$B93-$C$2)*('S-Table'!$B93-$D$2)=0,IF(('S-Table'!$C93-$C$3)*('S-Table'!$C93-$D$3)=0,'S-Table'!B93,0),0)</f>
        <v>0</v>
      </c>
      <c r="I93" s="14">
        <f>IF(('S-Table'!$B93-$C$2)*('S-Table'!$B93-$D$2)=0,IF(('S-Table'!$C93-$C$3)*('S-Table'!$C93-$D$3)=0,'S-Table'!C93,0),0)</f>
        <v>0</v>
      </c>
      <c r="J93" s="14">
        <f>IF(('S-Table'!$B93-$C$2)*('S-Table'!$B93-$D$2)=0,IF(('S-Table'!$C93-$C$3)*('S-Table'!$C93-$D$3)=0,'S-Table'!D93,0),0)</f>
        <v>0</v>
      </c>
      <c r="K93" s="14">
        <f>IF(('S-Table'!$B93-$C$2)*('S-Table'!$B93-$D$2)=0,IF(('S-Table'!$C93-$C$3)*('S-Table'!$C93-$D$3)=0,'S-Table'!E93,0),0)</f>
        <v>0</v>
      </c>
    </row>
    <row r="94" spans="6:11" x14ac:dyDescent="0.2">
      <c r="F94" s="14">
        <f>IF(G94=0,IF(G93=0,F93,F93+1),IF(G93=0,MAX(F$1:F93),MAX(F$1:F93)+1))</f>
        <v>5</v>
      </c>
      <c r="G94" s="14">
        <f>IF(('S-Table'!$B94-$C$2)*('S-Table'!$B94-$D$2)=0,IF(('S-Table'!$C94-$C$3)*('S-Table'!$C94-$D$3)=0,'S-Table'!A94,0),0)</f>
        <v>0</v>
      </c>
      <c r="H94" s="14">
        <f>IF(('S-Table'!$B94-$C$2)*('S-Table'!$B94-$D$2)=0,IF(('S-Table'!$C94-$C$3)*('S-Table'!$C94-$D$3)=0,'S-Table'!B94,0),0)</f>
        <v>0</v>
      </c>
      <c r="I94" s="14">
        <f>IF(('S-Table'!$B94-$C$2)*('S-Table'!$B94-$D$2)=0,IF(('S-Table'!$C94-$C$3)*('S-Table'!$C94-$D$3)=0,'S-Table'!C94,0),0)</f>
        <v>0</v>
      </c>
      <c r="J94" s="14">
        <f>IF(('S-Table'!$B94-$C$2)*('S-Table'!$B94-$D$2)=0,IF(('S-Table'!$C94-$C$3)*('S-Table'!$C94-$D$3)=0,'S-Table'!D94,0),0)</f>
        <v>0</v>
      </c>
      <c r="K94" s="14">
        <f>IF(('S-Table'!$B94-$C$2)*('S-Table'!$B94-$D$2)=0,IF(('S-Table'!$C94-$C$3)*('S-Table'!$C94-$D$3)=0,'S-Table'!E94,0),0)</f>
        <v>0</v>
      </c>
    </row>
    <row r="95" spans="6:11" x14ac:dyDescent="0.2">
      <c r="F95" s="14">
        <f>IF(G95=0,IF(G94=0,F94,F94+1),IF(G94=0,MAX(F$1:F94),MAX(F$1:F94)+1))</f>
        <v>5</v>
      </c>
      <c r="G95" s="14">
        <f>IF(('S-Table'!$B95-$C$2)*('S-Table'!$B95-$D$2)=0,IF(('S-Table'!$C95-$C$3)*('S-Table'!$C95-$D$3)=0,'S-Table'!A95,0),0)</f>
        <v>0</v>
      </c>
      <c r="H95" s="14">
        <f>IF(('S-Table'!$B95-$C$2)*('S-Table'!$B95-$D$2)=0,IF(('S-Table'!$C95-$C$3)*('S-Table'!$C95-$D$3)=0,'S-Table'!B95,0),0)</f>
        <v>0</v>
      </c>
      <c r="I95" s="14">
        <f>IF(('S-Table'!$B95-$C$2)*('S-Table'!$B95-$D$2)=0,IF(('S-Table'!$C95-$C$3)*('S-Table'!$C95-$D$3)=0,'S-Table'!C95,0),0)</f>
        <v>0</v>
      </c>
      <c r="J95" s="14">
        <f>IF(('S-Table'!$B95-$C$2)*('S-Table'!$B95-$D$2)=0,IF(('S-Table'!$C95-$C$3)*('S-Table'!$C95-$D$3)=0,'S-Table'!D95,0),0)</f>
        <v>0</v>
      </c>
      <c r="K95" s="14">
        <f>IF(('S-Table'!$B95-$C$2)*('S-Table'!$B95-$D$2)=0,IF(('S-Table'!$C95-$C$3)*('S-Table'!$C95-$D$3)=0,'S-Table'!E95,0),0)</f>
        <v>0</v>
      </c>
    </row>
    <row r="96" spans="6:11" x14ac:dyDescent="0.2">
      <c r="F96" s="14">
        <f>IF(G96=0,IF(G95=0,F95,F95+1),IF(G95=0,MAX(F$1:F95),MAX(F$1:F95)+1))</f>
        <v>5</v>
      </c>
      <c r="G96" s="14">
        <f>IF(('S-Table'!$B96-$C$2)*('S-Table'!$B96-$D$2)=0,IF(('S-Table'!$C96-$C$3)*('S-Table'!$C96-$D$3)=0,'S-Table'!A96,0),0)</f>
        <v>0</v>
      </c>
      <c r="H96" s="14">
        <f>IF(('S-Table'!$B96-$C$2)*('S-Table'!$B96-$D$2)=0,IF(('S-Table'!$C96-$C$3)*('S-Table'!$C96-$D$3)=0,'S-Table'!B96,0),0)</f>
        <v>0</v>
      </c>
      <c r="I96" s="14">
        <f>IF(('S-Table'!$B96-$C$2)*('S-Table'!$B96-$D$2)=0,IF(('S-Table'!$C96-$C$3)*('S-Table'!$C96-$D$3)=0,'S-Table'!C96,0),0)</f>
        <v>0</v>
      </c>
      <c r="J96" s="14">
        <f>IF(('S-Table'!$B96-$C$2)*('S-Table'!$B96-$D$2)=0,IF(('S-Table'!$C96-$C$3)*('S-Table'!$C96-$D$3)=0,'S-Table'!D96,0),0)</f>
        <v>0</v>
      </c>
      <c r="K96" s="14">
        <f>IF(('S-Table'!$B96-$C$2)*('S-Table'!$B96-$D$2)=0,IF(('S-Table'!$C96-$C$3)*('S-Table'!$C96-$D$3)=0,'S-Table'!E96,0),0)</f>
        <v>0</v>
      </c>
    </row>
    <row r="97" spans="6:11" x14ac:dyDescent="0.2">
      <c r="F97" s="14">
        <f>IF(G97=0,IF(G96=0,F96,F96+1),IF(G96=0,MAX(F$1:F96),MAX(F$1:F96)+1))</f>
        <v>5</v>
      </c>
      <c r="G97" s="14">
        <f>IF(('S-Table'!$B97-$C$2)*('S-Table'!$B97-$D$2)=0,IF(('S-Table'!$C97-$C$3)*('S-Table'!$C97-$D$3)=0,'S-Table'!A97,0),0)</f>
        <v>0</v>
      </c>
      <c r="H97" s="14">
        <f>IF(('S-Table'!$B97-$C$2)*('S-Table'!$B97-$D$2)=0,IF(('S-Table'!$C97-$C$3)*('S-Table'!$C97-$D$3)=0,'S-Table'!B97,0),0)</f>
        <v>0</v>
      </c>
      <c r="I97" s="14">
        <f>IF(('S-Table'!$B97-$C$2)*('S-Table'!$B97-$D$2)=0,IF(('S-Table'!$C97-$C$3)*('S-Table'!$C97-$D$3)=0,'S-Table'!C97,0),0)</f>
        <v>0</v>
      </c>
      <c r="J97" s="14">
        <f>IF(('S-Table'!$B97-$C$2)*('S-Table'!$B97-$D$2)=0,IF(('S-Table'!$C97-$C$3)*('S-Table'!$C97-$D$3)=0,'S-Table'!D97,0),0)</f>
        <v>0</v>
      </c>
      <c r="K97" s="14">
        <f>IF(('S-Table'!$B97-$C$2)*('S-Table'!$B97-$D$2)=0,IF(('S-Table'!$C97-$C$3)*('S-Table'!$C97-$D$3)=0,'S-Table'!E97,0),0)</f>
        <v>0</v>
      </c>
    </row>
    <row r="98" spans="6:11" x14ac:dyDescent="0.2">
      <c r="F98" s="14">
        <f>IF(G98=0,IF(G97=0,F97,F97+1),IF(G97=0,MAX(F$1:F97),MAX(F$1:F97)+1))</f>
        <v>5</v>
      </c>
      <c r="G98" s="14">
        <f>IF(('S-Table'!$B98-$C$2)*('S-Table'!$B98-$D$2)=0,IF(('S-Table'!$C98-$C$3)*('S-Table'!$C98-$D$3)=0,'S-Table'!A98,0),0)</f>
        <v>0</v>
      </c>
      <c r="H98" s="14">
        <f>IF(('S-Table'!$B98-$C$2)*('S-Table'!$B98-$D$2)=0,IF(('S-Table'!$C98-$C$3)*('S-Table'!$C98-$D$3)=0,'S-Table'!B98,0),0)</f>
        <v>0</v>
      </c>
      <c r="I98" s="14">
        <f>IF(('S-Table'!$B98-$C$2)*('S-Table'!$B98-$D$2)=0,IF(('S-Table'!$C98-$C$3)*('S-Table'!$C98-$D$3)=0,'S-Table'!C98,0),0)</f>
        <v>0</v>
      </c>
      <c r="J98" s="14">
        <f>IF(('S-Table'!$B98-$C$2)*('S-Table'!$B98-$D$2)=0,IF(('S-Table'!$C98-$C$3)*('S-Table'!$C98-$D$3)=0,'S-Table'!D98,0),0)</f>
        <v>0</v>
      </c>
      <c r="K98" s="14">
        <f>IF(('S-Table'!$B98-$C$2)*('S-Table'!$B98-$D$2)=0,IF(('S-Table'!$C98-$C$3)*('S-Table'!$C98-$D$3)=0,'S-Table'!E98,0),0)</f>
        <v>0</v>
      </c>
    </row>
    <row r="99" spans="6:11" x14ac:dyDescent="0.2">
      <c r="F99" s="14">
        <f>IF(G99=0,IF(G98=0,F98,F98+1),IF(G98=0,MAX(F$1:F98),MAX(F$1:F98)+1))</f>
        <v>5</v>
      </c>
      <c r="G99" s="14">
        <f>IF(('S-Table'!$B99-$C$2)*('S-Table'!$B99-$D$2)=0,IF(('S-Table'!$C99-$C$3)*('S-Table'!$C99-$D$3)=0,'S-Table'!A99,0),0)</f>
        <v>0</v>
      </c>
      <c r="H99" s="14">
        <f>IF(('S-Table'!$B99-$C$2)*('S-Table'!$B99-$D$2)=0,IF(('S-Table'!$C99-$C$3)*('S-Table'!$C99-$D$3)=0,'S-Table'!B99,0),0)</f>
        <v>0</v>
      </c>
      <c r="I99" s="14">
        <f>IF(('S-Table'!$B99-$C$2)*('S-Table'!$B99-$D$2)=0,IF(('S-Table'!$C99-$C$3)*('S-Table'!$C99-$D$3)=0,'S-Table'!C99,0),0)</f>
        <v>0</v>
      </c>
      <c r="J99" s="14">
        <f>IF(('S-Table'!$B99-$C$2)*('S-Table'!$B99-$D$2)=0,IF(('S-Table'!$C99-$C$3)*('S-Table'!$C99-$D$3)=0,'S-Table'!D99,0),0)</f>
        <v>0</v>
      </c>
      <c r="K99" s="14">
        <f>IF(('S-Table'!$B99-$C$2)*('S-Table'!$B99-$D$2)=0,IF(('S-Table'!$C99-$C$3)*('S-Table'!$C99-$D$3)=0,'S-Table'!E99,0),0)</f>
        <v>0</v>
      </c>
    </row>
    <row r="100" spans="6:11" x14ac:dyDescent="0.2">
      <c r="F100" s="14">
        <f>IF(G100=0,IF(G99=0,F99,F99+1),IF(G99=0,MAX(F$1:F99),MAX(F$1:F99)+1))</f>
        <v>5</v>
      </c>
      <c r="G100" s="14">
        <f>IF(('S-Table'!$B100-$C$2)*('S-Table'!$B100-$D$2)=0,IF(('S-Table'!$C100-$C$3)*('S-Table'!$C100-$D$3)=0,'S-Table'!A100,0),0)</f>
        <v>0</v>
      </c>
      <c r="H100" s="14">
        <f>IF(('S-Table'!$B100-$C$2)*('S-Table'!$B100-$D$2)=0,IF(('S-Table'!$C100-$C$3)*('S-Table'!$C100-$D$3)=0,'S-Table'!B100,0),0)</f>
        <v>0</v>
      </c>
      <c r="I100" s="14">
        <f>IF(('S-Table'!$B100-$C$2)*('S-Table'!$B100-$D$2)=0,IF(('S-Table'!$C100-$C$3)*('S-Table'!$C100-$D$3)=0,'S-Table'!C100,0),0)</f>
        <v>0</v>
      </c>
      <c r="J100" s="14">
        <f>IF(('S-Table'!$B100-$C$2)*('S-Table'!$B100-$D$2)=0,IF(('S-Table'!$C100-$C$3)*('S-Table'!$C100-$D$3)=0,'S-Table'!D100,0),0)</f>
        <v>0</v>
      </c>
      <c r="K100" s="14">
        <f>IF(('S-Table'!$B100-$C$2)*('S-Table'!$B100-$D$2)=0,IF(('S-Table'!$C100-$C$3)*('S-Table'!$C100-$D$3)=0,'S-Table'!E100,0),0)</f>
        <v>0</v>
      </c>
    </row>
    <row r="101" spans="6:11" x14ac:dyDescent="0.2">
      <c r="F101" s="14">
        <f>IF(G101=0,IF(G100=0,F100,F100+1),IF(G100=0,MAX(F$1:F100),MAX(F$1:F100)+1))</f>
        <v>5</v>
      </c>
      <c r="G101" s="14">
        <f>IF(('S-Table'!$B101-$C$2)*('S-Table'!$B101-$D$2)=0,IF(('S-Table'!$C101-$C$3)*('S-Table'!$C101-$D$3)=0,'S-Table'!A101,0),0)</f>
        <v>0</v>
      </c>
      <c r="H101" s="14">
        <f>IF(('S-Table'!$B101-$C$2)*('S-Table'!$B101-$D$2)=0,IF(('S-Table'!$C101-$C$3)*('S-Table'!$C101-$D$3)=0,'S-Table'!B101,0),0)</f>
        <v>0</v>
      </c>
      <c r="I101" s="14">
        <f>IF(('S-Table'!$B101-$C$2)*('S-Table'!$B101-$D$2)=0,IF(('S-Table'!$C101-$C$3)*('S-Table'!$C101-$D$3)=0,'S-Table'!C101,0),0)</f>
        <v>0</v>
      </c>
      <c r="J101" s="14">
        <f>IF(('S-Table'!$B101-$C$2)*('S-Table'!$B101-$D$2)=0,IF(('S-Table'!$C101-$C$3)*('S-Table'!$C101-$D$3)=0,'S-Table'!D101,0),0)</f>
        <v>0</v>
      </c>
      <c r="K101" s="14">
        <f>IF(('S-Table'!$B101-$C$2)*('S-Table'!$B101-$D$2)=0,IF(('S-Table'!$C101-$C$3)*('S-Table'!$C101-$D$3)=0,'S-Table'!E101,0),0)</f>
        <v>0</v>
      </c>
    </row>
    <row r="102" spans="6:11" x14ac:dyDescent="0.2">
      <c r="F102" s="14">
        <f>IF(G102=0,IF(G101=0,F101,F101+1),IF(G101=0,MAX(F$1:F101),MAX(F$1:F101)+1))</f>
        <v>5</v>
      </c>
      <c r="G102" s="14">
        <f>IF(('S-Table'!$B102-$C$2)*('S-Table'!$B102-$D$2)=0,IF(('S-Table'!$C102-$C$3)*('S-Table'!$C102-$D$3)=0,'S-Table'!A102,0),0)</f>
        <v>0</v>
      </c>
      <c r="H102" s="14">
        <f>IF(('S-Table'!$B102-$C$2)*('S-Table'!$B102-$D$2)=0,IF(('S-Table'!$C102-$C$3)*('S-Table'!$C102-$D$3)=0,'S-Table'!B102,0),0)</f>
        <v>0</v>
      </c>
      <c r="I102" s="14">
        <f>IF(('S-Table'!$B102-$C$2)*('S-Table'!$B102-$D$2)=0,IF(('S-Table'!$C102-$C$3)*('S-Table'!$C102-$D$3)=0,'S-Table'!C102,0),0)</f>
        <v>0</v>
      </c>
      <c r="J102" s="14">
        <f>IF(('S-Table'!$B102-$C$2)*('S-Table'!$B102-$D$2)=0,IF(('S-Table'!$C102-$C$3)*('S-Table'!$C102-$D$3)=0,'S-Table'!D102,0),0)</f>
        <v>0</v>
      </c>
      <c r="K102" s="14">
        <f>IF(('S-Table'!$B102-$C$2)*('S-Table'!$B102-$D$2)=0,IF(('S-Table'!$C102-$C$3)*('S-Table'!$C102-$D$3)=0,'S-Table'!E102,0),0)</f>
        <v>0</v>
      </c>
    </row>
    <row r="103" spans="6:11" x14ac:dyDescent="0.2">
      <c r="F103" s="14">
        <f>IF(G103=0,IF(G102=0,F102,F102+1),IF(G102=0,MAX(F$1:F102),MAX(F$1:F102)+1))</f>
        <v>5</v>
      </c>
      <c r="G103" s="14">
        <f>IF(('S-Table'!$B103-$C$2)*('S-Table'!$B103-$D$2)=0,IF(('S-Table'!$C103-$C$3)*('S-Table'!$C103-$D$3)=0,'S-Table'!A103,0),0)</f>
        <v>0</v>
      </c>
      <c r="H103" s="14">
        <f>IF(('S-Table'!$B103-$C$2)*('S-Table'!$B103-$D$2)=0,IF(('S-Table'!$C103-$C$3)*('S-Table'!$C103-$D$3)=0,'S-Table'!B103,0),0)</f>
        <v>0</v>
      </c>
      <c r="I103" s="14">
        <f>IF(('S-Table'!$B103-$C$2)*('S-Table'!$B103-$D$2)=0,IF(('S-Table'!$C103-$C$3)*('S-Table'!$C103-$D$3)=0,'S-Table'!C103,0),0)</f>
        <v>0</v>
      </c>
      <c r="J103" s="14">
        <f>IF(('S-Table'!$B103-$C$2)*('S-Table'!$B103-$D$2)=0,IF(('S-Table'!$C103-$C$3)*('S-Table'!$C103-$D$3)=0,'S-Table'!D103,0),0)</f>
        <v>0</v>
      </c>
      <c r="K103" s="14">
        <f>IF(('S-Table'!$B103-$C$2)*('S-Table'!$B103-$D$2)=0,IF(('S-Table'!$C103-$C$3)*('S-Table'!$C103-$D$3)=0,'S-Table'!E103,0),0)</f>
        <v>0</v>
      </c>
    </row>
    <row r="104" spans="6:11" x14ac:dyDescent="0.2">
      <c r="F104" s="14">
        <f>IF(G104=0,IF(G103=0,F103,F103+1),IF(G103=0,MAX(F$1:F103),MAX(F$1:F103)+1))</f>
        <v>5</v>
      </c>
      <c r="G104" s="14">
        <f>IF(('S-Table'!$B104-$C$2)*('S-Table'!$B104-$D$2)=0,IF(('S-Table'!$C104-$C$3)*('S-Table'!$C104-$D$3)=0,'S-Table'!A104,0),0)</f>
        <v>0</v>
      </c>
      <c r="H104" s="14">
        <f>IF(('S-Table'!$B104-$C$2)*('S-Table'!$B104-$D$2)=0,IF(('S-Table'!$C104-$C$3)*('S-Table'!$C104-$D$3)=0,'S-Table'!B104,0),0)</f>
        <v>0</v>
      </c>
      <c r="I104" s="14">
        <f>IF(('S-Table'!$B104-$C$2)*('S-Table'!$B104-$D$2)=0,IF(('S-Table'!$C104-$C$3)*('S-Table'!$C104-$D$3)=0,'S-Table'!C104,0),0)</f>
        <v>0</v>
      </c>
      <c r="J104" s="14">
        <f>IF(('S-Table'!$B104-$C$2)*('S-Table'!$B104-$D$2)=0,IF(('S-Table'!$C104-$C$3)*('S-Table'!$C104-$D$3)=0,'S-Table'!D104,0),0)</f>
        <v>0</v>
      </c>
      <c r="K104" s="14">
        <f>IF(('S-Table'!$B104-$C$2)*('S-Table'!$B104-$D$2)=0,IF(('S-Table'!$C104-$C$3)*('S-Table'!$C104-$D$3)=0,'S-Table'!E104,0),0)</f>
        <v>0</v>
      </c>
    </row>
    <row r="105" spans="6:11" x14ac:dyDescent="0.2">
      <c r="F105" s="14">
        <f>IF(G105=0,IF(G104=0,F104,F104+1),IF(G104=0,MAX(F$1:F104),MAX(F$1:F104)+1))</f>
        <v>5</v>
      </c>
      <c r="G105" s="14">
        <f>IF(('S-Table'!$B105-$C$2)*('S-Table'!$B105-$D$2)=0,IF(('S-Table'!$C105-$C$3)*('S-Table'!$C105-$D$3)=0,'S-Table'!A105,0),0)</f>
        <v>0</v>
      </c>
      <c r="H105" s="14">
        <f>IF(('S-Table'!$B105-$C$2)*('S-Table'!$B105-$D$2)=0,IF(('S-Table'!$C105-$C$3)*('S-Table'!$C105-$D$3)=0,'S-Table'!B105,0),0)</f>
        <v>0</v>
      </c>
      <c r="I105" s="14">
        <f>IF(('S-Table'!$B105-$C$2)*('S-Table'!$B105-$D$2)=0,IF(('S-Table'!$C105-$C$3)*('S-Table'!$C105-$D$3)=0,'S-Table'!C105,0),0)</f>
        <v>0</v>
      </c>
      <c r="J105" s="14">
        <f>IF(('S-Table'!$B105-$C$2)*('S-Table'!$B105-$D$2)=0,IF(('S-Table'!$C105-$C$3)*('S-Table'!$C105-$D$3)=0,'S-Table'!D105,0),0)</f>
        <v>0</v>
      </c>
      <c r="K105" s="14">
        <f>IF(('S-Table'!$B105-$C$2)*('S-Table'!$B105-$D$2)=0,IF(('S-Table'!$C105-$C$3)*('S-Table'!$C105-$D$3)=0,'S-Table'!E105,0),0)</f>
        <v>0</v>
      </c>
    </row>
    <row r="106" spans="6:11" x14ac:dyDescent="0.2">
      <c r="F106" s="14">
        <f>IF(G106=0,IF(G105=0,F105,F105+1),IF(G105=0,MAX(F$1:F105),MAX(F$1:F105)+1))</f>
        <v>5</v>
      </c>
      <c r="G106" s="14">
        <f>IF(('S-Table'!$B106-$C$2)*('S-Table'!$B106-$D$2)=0,IF(('S-Table'!$C106-$C$3)*('S-Table'!$C106-$D$3)=0,'S-Table'!A106,0),0)</f>
        <v>0</v>
      </c>
      <c r="H106" s="14">
        <f>IF(('S-Table'!$B106-$C$2)*('S-Table'!$B106-$D$2)=0,IF(('S-Table'!$C106-$C$3)*('S-Table'!$C106-$D$3)=0,'S-Table'!B106,0),0)</f>
        <v>0</v>
      </c>
      <c r="I106" s="14">
        <f>IF(('S-Table'!$B106-$C$2)*('S-Table'!$B106-$D$2)=0,IF(('S-Table'!$C106-$C$3)*('S-Table'!$C106-$D$3)=0,'S-Table'!C106,0),0)</f>
        <v>0</v>
      </c>
      <c r="J106" s="14">
        <f>IF(('S-Table'!$B106-$C$2)*('S-Table'!$B106-$D$2)=0,IF(('S-Table'!$C106-$C$3)*('S-Table'!$C106-$D$3)=0,'S-Table'!D106,0),0)</f>
        <v>0</v>
      </c>
      <c r="K106" s="14">
        <f>IF(('S-Table'!$B106-$C$2)*('S-Table'!$B106-$D$2)=0,IF(('S-Table'!$C106-$C$3)*('S-Table'!$C106-$D$3)=0,'S-Table'!E106,0),0)</f>
        <v>0</v>
      </c>
    </row>
    <row r="107" spans="6:11" x14ac:dyDescent="0.2">
      <c r="F107" s="14">
        <f>IF(G107=0,IF(G106=0,F106,F106+1),IF(G106=0,MAX(F$1:F106),MAX(F$1:F106)+1))</f>
        <v>5</v>
      </c>
      <c r="G107" s="14">
        <f>IF(('S-Table'!$B107-$C$2)*('S-Table'!$B107-$D$2)=0,IF(('S-Table'!$C107-$C$3)*('S-Table'!$C107-$D$3)=0,'S-Table'!A107,0),0)</f>
        <v>0</v>
      </c>
      <c r="H107" s="14">
        <f>IF(('S-Table'!$B107-$C$2)*('S-Table'!$B107-$D$2)=0,IF(('S-Table'!$C107-$C$3)*('S-Table'!$C107-$D$3)=0,'S-Table'!B107,0),0)</f>
        <v>0</v>
      </c>
      <c r="I107" s="14">
        <f>IF(('S-Table'!$B107-$C$2)*('S-Table'!$B107-$D$2)=0,IF(('S-Table'!$C107-$C$3)*('S-Table'!$C107-$D$3)=0,'S-Table'!C107,0),0)</f>
        <v>0</v>
      </c>
      <c r="J107" s="14">
        <f>IF(('S-Table'!$B107-$C$2)*('S-Table'!$B107-$D$2)=0,IF(('S-Table'!$C107-$C$3)*('S-Table'!$C107-$D$3)=0,'S-Table'!D107,0),0)</f>
        <v>0</v>
      </c>
      <c r="K107" s="14">
        <f>IF(('S-Table'!$B107-$C$2)*('S-Table'!$B107-$D$2)=0,IF(('S-Table'!$C107-$C$3)*('S-Table'!$C107-$D$3)=0,'S-Table'!E107,0),0)</f>
        <v>0</v>
      </c>
    </row>
    <row r="108" spans="6:11" x14ac:dyDescent="0.2">
      <c r="F108" s="14">
        <f>IF(G108=0,IF(G107=0,F107,F107+1),IF(G107=0,MAX(F$1:F107),MAX(F$1:F107)+1))</f>
        <v>5</v>
      </c>
      <c r="G108" s="14">
        <f>IF(('S-Table'!$B108-$C$2)*('S-Table'!$B108-$D$2)=0,IF(('S-Table'!$C108-$C$3)*('S-Table'!$C108-$D$3)=0,'S-Table'!A108,0),0)</f>
        <v>0</v>
      </c>
      <c r="H108" s="14">
        <f>IF(('S-Table'!$B108-$C$2)*('S-Table'!$B108-$D$2)=0,IF(('S-Table'!$C108-$C$3)*('S-Table'!$C108-$D$3)=0,'S-Table'!B108,0),0)</f>
        <v>0</v>
      </c>
      <c r="I108" s="14">
        <f>IF(('S-Table'!$B108-$C$2)*('S-Table'!$B108-$D$2)=0,IF(('S-Table'!$C108-$C$3)*('S-Table'!$C108-$D$3)=0,'S-Table'!C108,0),0)</f>
        <v>0</v>
      </c>
      <c r="J108" s="14">
        <f>IF(('S-Table'!$B108-$C$2)*('S-Table'!$B108-$D$2)=0,IF(('S-Table'!$C108-$C$3)*('S-Table'!$C108-$D$3)=0,'S-Table'!D108,0),0)</f>
        <v>0</v>
      </c>
      <c r="K108" s="14">
        <f>IF(('S-Table'!$B108-$C$2)*('S-Table'!$B108-$D$2)=0,IF(('S-Table'!$C108-$C$3)*('S-Table'!$C108-$D$3)=0,'S-Table'!E108,0),0)</f>
        <v>0</v>
      </c>
    </row>
    <row r="109" spans="6:11" x14ac:dyDescent="0.2">
      <c r="F109" s="14">
        <f>IF(G109=0,IF(G108=0,F108,F108+1),IF(G108=0,MAX(F$1:F108),MAX(F$1:F108)+1))</f>
        <v>5</v>
      </c>
      <c r="G109" s="14">
        <f>IF(('S-Table'!$B109-$C$2)*('S-Table'!$B109-$D$2)=0,IF(('S-Table'!$C109-$C$3)*('S-Table'!$C109-$D$3)=0,'S-Table'!A109,0),0)</f>
        <v>0</v>
      </c>
      <c r="H109" s="14">
        <f>IF(('S-Table'!$B109-$C$2)*('S-Table'!$B109-$D$2)=0,IF(('S-Table'!$C109-$C$3)*('S-Table'!$C109-$D$3)=0,'S-Table'!B109,0),0)</f>
        <v>0</v>
      </c>
      <c r="I109" s="14">
        <f>IF(('S-Table'!$B109-$C$2)*('S-Table'!$B109-$D$2)=0,IF(('S-Table'!$C109-$C$3)*('S-Table'!$C109-$D$3)=0,'S-Table'!C109,0),0)</f>
        <v>0</v>
      </c>
      <c r="J109" s="14">
        <f>IF(('S-Table'!$B109-$C$2)*('S-Table'!$B109-$D$2)=0,IF(('S-Table'!$C109-$C$3)*('S-Table'!$C109-$D$3)=0,'S-Table'!D109,0),0)</f>
        <v>0</v>
      </c>
      <c r="K109" s="14">
        <f>IF(('S-Table'!$B109-$C$2)*('S-Table'!$B109-$D$2)=0,IF(('S-Table'!$C109-$C$3)*('S-Table'!$C109-$D$3)=0,'S-Table'!E109,0),0)</f>
        <v>0</v>
      </c>
    </row>
    <row r="110" spans="6:11" x14ac:dyDescent="0.2">
      <c r="F110" s="14">
        <f>IF(G110=0,IF(G109=0,F109,F109+1),IF(G109=0,MAX(F$1:F109),MAX(F$1:F109)+1))</f>
        <v>5</v>
      </c>
      <c r="G110" s="14">
        <f>IF(('S-Table'!$B110-$C$2)*('S-Table'!$B110-$D$2)=0,IF(('S-Table'!$C110-$C$3)*('S-Table'!$C110-$D$3)=0,'S-Table'!A110,0),0)</f>
        <v>0</v>
      </c>
      <c r="H110" s="14">
        <f>IF(('S-Table'!$B110-$C$2)*('S-Table'!$B110-$D$2)=0,IF(('S-Table'!$C110-$C$3)*('S-Table'!$C110-$D$3)=0,'S-Table'!B110,0),0)</f>
        <v>0</v>
      </c>
      <c r="I110" s="14">
        <f>IF(('S-Table'!$B110-$C$2)*('S-Table'!$B110-$D$2)=0,IF(('S-Table'!$C110-$C$3)*('S-Table'!$C110-$D$3)=0,'S-Table'!C110,0),0)</f>
        <v>0</v>
      </c>
      <c r="J110" s="14">
        <f>IF(('S-Table'!$B110-$C$2)*('S-Table'!$B110-$D$2)=0,IF(('S-Table'!$C110-$C$3)*('S-Table'!$C110-$D$3)=0,'S-Table'!D110,0),0)</f>
        <v>0</v>
      </c>
      <c r="K110" s="14">
        <f>IF(('S-Table'!$B110-$C$2)*('S-Table'!$B110-$D$2)=0,IF(('S-Table'!$C110-$C$3)*('S-Table'!$C110-$D$3)=0,'S-Table'!E110,0),0)</f>
        <v>0</v>
      </c>
    </row>
    <row r="111" spans="6:11" x14ac:dyDescent="0.2">
      <c r="F111" s="14">
        <f>IF(G111=0,IF(G110=0,F110,F110+1),IF(G110=0,MAX(F$1:F110),MAX(F$1:F110)+1))</f>
        <v>5</v>
      </c>
      <c r="G111" s="14">
        <f>IF(('S-Table'!$B111-$C$2)*('S-Table'!$B111-$D$2)=0,IF(('S-Table'!$C111-$C$3)*('S-Table'!$C111-$D$3)=0,'S-Table'!A111,0),0)</f>
        <v>0</v>
      </c>
      <c r="H111" s="14">
        <f>IF(('S-Table'!$B111-$C$2)*('S-Table'!$B111-$D$2)=0,IF(('S-Table'!$C111-$C$3)*('S-Table'!$C111-$D$3)=0,'S-Table'!B111,0),0)</f>
        <v>0</v>
      </c>
      <c r="I111" s="14">
        <f>IF(('S-Table'!$B111-$C$2)*('S-Table'!$B111-$D$2)=0,IF(('S-Table'!$C111-$C$3)*('S-Table'!$C111-$D$3)=0,'S-Table'!C111,0),0)</f>
        <v>0</v>
      </c>
      <c r="J111" s="14">
        <f>IF(('S-Table'!$B111-$C$2)*('S-Table'!$B111-$D$2)=0,IF(('S-Table'!$C111-$C$3)*('S-Table'!$C111-$D$3)=0,'S-Table'!D111,0),0)</f>
        <v>0</v>
      </c>
      <c r="K111" s="14">
        <f>IF(('S-Table'!$B111-$C$2)*('S-Table'!$B111-$D$2)=0,IF(('S-Table'!$C111-$C$3)*('S-Table'!$C111-$D$3)=0,'S-Table'!E111,0),0)</f>
        <v>0</v>
      </c>
    </row>
    <row r="112" spans="6:11" x14ac:dyDescent="0.2">
      <c r="F112" s="14">
        <f>IF(G112=0,IF(G111=0,F111,F111+1),IF(G111=0,MAX(F$1:F111),MAX(F$1:F111)+1))</f>
        <v>5</v>
      </c>
      <c r="G112" s="14">
        <f>IF(('S-Table'!$B112-$C$2)*('S-Table'!$B112-$D$2)=0,IF(('S-Table'!$C112-$C$3)*('S-Table'!$C112-$D$3)=0,'S-Table'!A112,0),0)</f>
        <v>0</v>
      </c>
      <c r="H112" s="14">
        <f>IF(('S-Table'!$B112-$C$2)*('S-Table'!$B112-$D$2)=0,IF(('S-Table'!$C112-$C$3)*('S-Table'!$C112-$D$3)=0,'S-Table'!B112,0),0)</f>
        <v>0</v>
      </c>
      <c r="I112" s="14">
        <f>IF(('S-Table'!$B112-$C$2)*('S-Table'!$B112-$D$2)=0,IF(('S-Table'!$C112-$C$3)*('S-Table'!$C112-$D$3)=0,'S-Table'!C112,0),0)</f>
        <v>0</v>
      </c>
      <c r="J112" s="14">
        <f>IF(('S-Table'!$B112-$C$2)*('S-Table'!$B112-$D$2)=0,IF(('S-Table'!$C112-$C$3)*('S-Table'!$C112-$D$3)=0,'S-Table'!D112,0),0)</f>
        <v>0</v>
      </c>
      <c r="K112" s="14">
        <f>IF(('S-Table'!$B112-$C$2)*('S-Table'!$B112-$D$2)=0,IF(('S-Table'!$C112-$C$3)*('S-Table'!$C112-$D$3)=0,'S-Table'!E112,0),0)</f>
        <v>0</v>
      </c>
    </row>
    <row r="113" spans="6:11" x14ac:dyDescent="0.2">
      <c r="F113" s="14">
        <f>IF(G113=0,IF(G112=0,F112,F112+1),IF(G112=0,MAX(F$1:F112),MAX(F$1:F112)+1))</f>
        <v>5</v>
      </c>
      <c r="G113" s="14">
        <f>IF(('S-Table'!$B113-$C$2)*('S-Table'!$B113-$D$2)=0,IF(('S-Table'!$C113-$C$3)*('S-Table'!$C113-$D$3)=0,'S-Table'!A113,0),0)</f>
        <v>0</v>
      </c>
      <c r="H113" s="14">
        <f>IF(('S-Table'!$B113-$C$2)*('S-Table'!$B113-$D$2)=0,IF(('S-Table'!$C113-$C$3)*('S-Table'!$C113-$D$3)=0,'S-Table'!B113,0),0)</f>
        <v>0</v>
      </c>
      <c r="I113" s="14">
        <f>IF(('S-Table'!$B113-$C$2)*('S-Table'!$B113-$D$2)=0,IF(('S-Table'!$C113-$C$3)*('S-Table'!$C113-$D$3)=0,'S-Table'!C113,0),0)</f>
        <v>0</v>
      </c>
      <c r="J113" s="14">
        <f>IF(('S-Table'!$B113-$C$2)*('S-Table'!$B113-$D$2)=0,IF(('S-Table'!$C113-$C$3)*('S-Table'!$C113-$D$3)=0,'S-Table'!D113,0),0)</f>
        <v>0</v>
      </c>
      <c r="K113" s="14">
        <f>IF(('S-Table'!$B113-$C$2)*('S-Table'!$B113-$D$2)=0,IF(('S-Table'!$C113-$C$3)*('S-Table'!$C113-$D$3)=0,'S-Table'!E113,0),0)</f>
        <v>0</v>
      </c>
    </row>
    <row r="114" spans="6:11" x14ac:dyDescent="0.2">
      <c r="F114" s="14">
        <f>IF(G114=0,IF(G113=0,F113,F113+1),IF(G113=0,MAX(F$1:F113),MAX(F$1:F113)+1))</f>
        <v>5</v>
      </c>
      <c r="G114" s="14">
        <f>IF(('S-Table'!$B114-$C$2)*('S-Table'!$B114-$D$2)=0,IF(('S-Table'!$C114-$C$3)*('S-Table'!$C114-$D$3)=0,'S-Table'!A114,0),0)</f>
        <v>0</v>
      </c>
      <c r="H114" s="14">
        <f>IF(('S-Table'!$B114-$C$2)*('S-Table'!$B114-$D$2)=0,IF(('S-Table'!$C114-$C$3)*('S-Table'!$C114-$D$3)=0,'S-Table'!B114,0),0)</f>
        <v>0</v>
      </c>
      <c r="I114" s="14">
        <f>IF(('S-Table'!$B114-$C$2)*('S-Table'!$B114-$D$2)=0,IF(('S-Table'!$C114-$C$3)*('S-Table'!$C114-$D$3)=0,'S-Table'!C114,0),0)</f>
        <v>0</v>
      </c>
      <c r="J114" s="14">
        <f>IF(('S-Table'!$B114-$C$2)*('S-Table'!$B114-$D$2)=0,IF(('S-Table'!$C114-$C$3)*('S-Table'!$C114-$D$3)=0,'S-Table'!D114,0),0)</f>
        <v>0</v>
      </c>
      <c r="K114" s="14">
        <f>IF(('S-Table'!$B114-$C$2)*('S-Table'!$B114-$D$2)=0,IF(('S-Table'!$C114-$C$3)*('S-Table'!$C114-$D$3)=0,'S-Table'!E114,0),0)</f>
        <v>0</v>
      </c>
    </row>
    <row r="115" spans="6:11" x14ac:dyDescent="0.2">
      <c r="F115" s="14">
        <f>IF(G115=0,IF(G114=0,F114,F114+1),IF(G114=0,MAX(F$1:F114),MAX(F$1:F114)+1))</f>
        <v>5</v>
      </c>
      <c r="G115" s="14">
        <f>IF(('S-Table'!$B115-$C$2)*('S-Table'!$B115-$D$2)=0,IF(('S-Table'!$C115-$C$3)*('S-Table'!$C115-$D$3)=0,'S-Table'!A115,0),0)</f>
        <v>0</v>
      </c>
      <c r="H115" s="14">
        <f>IF(('S-Table'!$B115-$C$2)*('S-Table'!$B115-$D$2)=0,IF(('S-Table'!$C115-$C$3)*('S-Table'!$C115-$D$3)=0,'S-Table'!B115,0),0)</f>
        <v>0</v>
      </c>
      <c r="I115" s="14">
        <f>IF(('S-Table'!$B115-$C$2)*('S-Table'!$B115-$D$2)=0,IF(('S-Table'!$C115-$C$3)*('S-Table'!$C115-$D$3)=0,'S-Table'!C115,0),0)</f>
        <v>0</v>
      </c>
      <c r="J115" s="14">
        <f>IF(('S-Table'!$B115-$C$2)*('S-Table'!$B115-$D$2)=0,IF(('S-Table'!$C115-$C$3)*('S-Table'!$C115-$D$3)=0,'S-Table'!D115,0),0)</f>
        <v>0</v>
      </c>
      <c r="K115" s="14">
        <f>IF(('S-Table'!$B115-$C$2)*('S-Table'!$B115-$D$2)=0,IF(('S-Table'!$C115-$C$3)*('S-Table'!$C115-$D$3)=0,'S-Table'!E115,0),0)</f>
        <v>0</v>
      </c>
    </row>
    <row r="116" spans="6:11" x14ac:dyDescent="0.2">
      <c r="F116" s="14">
        <f>IF(G116=0,IF(G115=0,F115,F115+1),IF(G115=0,MAX(F$1:F115),MAX(F$1:F115)+1))</f>
        <v>5</v>
      </c>
      <c r="G116" s="14">
        <f>IF(('S-Table'!$B116-$C$2)*('S-Table'!$B116-$D$2)=0,IF(('S-Table'!$C116-$C$3)*('S-Table'!$C116-$D$3)=0,'S-Table'!A116,0),0)</f>
        <v>0</v>
      </c>
      <c r="H116" s="14">
        <f>IF(('S-Table'!$B116-$C$2)*('S-Table'!$B116-$D$2)=0,IF(('S-Table'!$C116-$C$3)*('S-Table'!$C116-$D$3)=0,'S-Table'!B116,0),0)</f>
        <v>0</v>
      </c>
      <c r="I116" s="14">
        <f>IF(('S-Table'!$B116-$C$2)*('S-Table'!$B116-$D$2)=0,IF(('S-Table'!$C116-$C$3)*('S-Table'!$C116-$D$3)=0,'S-Table'!C116,0),0)</f>
        <v>0</v>
      </c>
      <c r="J116" s="14">
        <f>IF(('S-Table'!$B116-$C$2)*('S-Table'!$B116-$D$2)=0,IF(('S-Table'!$C116-$C$3)*('S-Table'!$C116-$D$3)=0,'S-Table'!D116,0),0)</f>
        <v>0</v>
      </c>
      <c r="K116" s="14">
        <f>IF(('S-Table'!$B116-$C$2)*('S-Table'!$B116-$D$2)=0,IF(('S-Table'!$C116-$C$3)*('S-Table'!$C116-$D$3)=0,'S-Table'!E116,0),0)</f>
        <v>0</v>
      </c>
    </row>
    <row r="117" spans="6:11" x14ac:dyDescent="0.2">
      <c r="F117" s="14">
        <f>IF(G117=0,IF(G116=0,F116,F116+1),IF(G116=0,MAX(F$1:F116),MAX(F$1:F116)+1))</f>
        <v>5</v>
      </c>
      <c r="G117" s="14">
        <f>IF(('S-Table'!$B117-$C$2)*('S-Table'!$B117-$D$2)=0,IF(('S-Table'!$C117-$C$3)*('S-Table'!$C117-$D$3)=0,'S-Table'!A117,0),0)</f>
        <v>0</v>
      </c>
      <c r="H117" s="14">
        <f>IF(('S-Table'!$B117-$C$2)*('S-Table'!$B117-$D$2)=0,IF(('S-Table'!$C117-$C$3)*('S-Table'!$C117-$D$3)=0,'S-Table'!B117,0),0)</f>
        <v>0</v>
      </c>
      <c r="I117" s="14">
        <f>IF(('S-Table'!$B117-$C$2)*('S-Table'!$B117-$D$2)=0,IF(('S-Table'!$C117-$C$3)*('S-Table'!$C117-$D$3)=0,'S-Table'!C117,0),0)</f>
        <v>0</v>
      </c>
      <c r="J117" s="14">
        <f>IF(('S-Table'!$B117-$C$2)*('S-Table'!$B117-$D$2)=0,IF(('S-Table'!$C117-$C$3)*('S-Table'!$C117-$D$3)=0,'S-Table'!D117,0),0)</f>
        <v>0</v>
      </c>
      <c r="K117" s="14">
        <f>IF(('S-Table'!$B117-$C$2)*('S-Table'!$B117-$D$2)=0,IF(('S-Table'!$C117-$C$3)*('S-Table'!$C117-$D$3)=0,'S-Table'!E117,0),0)</f>
        <v>0</v>
      </c>
    </row>
    <row r="118" spans="6:11" x14ac:dyDescent="0.2">
      <c r="F118" s="14">
        <f>IF(G118=0,IF(G117=0,F117,F117+1),IF(G117=0,MAX(F$1:F117),MAX(F$1:F117)+1))</f>
        <v>5</v>
      </c>
      <c r="G118" s="14">
        <f>IF(('S-Table'!$B118-$C$2)*('S-Table'!$B118-$D$2)=0,IF(('S-Table'!$C118-$C$3)*('S-Table'!$C118-$D$3)=0,'S-Table'!A118,0),0)</f>
        <v>0</v>
      </c>
      <c r="H118" s="14">
        <f>IF(('S-Table'!$B118-$C$2)*('S-Table'!$B118-$D$2)=0,IF(('S-Table'!$C118-$C$3)*('S-Table'!$C118-$D$3)=0,'S-Table'!B118,0),0)</f>
        <v>0</v>
      </c>
      <c r="I118" s="14">
        <f>IF(('S-Table'!$B118-$C$2)*('S-Table'!$B118-$D$2)=0,IF(('S-Table'!$C118-$C$3)*('S-Table'!$C118-$D$3)=0,'S-Table'!C118,0),0)</f>
        <v>0</v>
      </c>
      <c r="J118" s="14">
        <f>IF(('S-Table'!$B118-$C$2)*('S-Table'!$B118-$D$2)=0,IF(('S-Table'!$C118-$C$3)*('S-Table'!$C118-$D$3)=0,'S-Table'!D118,0),0)</f>
        <v>0</v>
      </c>
      <c r="K118" s="14">
        <f>IF(('S-Table'!$B118-$C$2)*('S-Table'!$B118-$D$2)=0,IF(('S-Table'!$C118-$C$3)*('S-Table'!$C118-$D$3)=0,'S-Table'!E118,0),0)</f>
        <v>0</v>
      </c>
    </row>
    <row r="119" spans="6:11" x14ac:dyDescent="0.2">
      <c r="F119" s="14">
        <f>IF(G119=0,IF(G118=0,F118,F118+1),IF(G118=0,MAX(F$1:F118),MAX(F$1:F118)+1))</f>
        <v>5</v>
      </c>
      <c r="G119" s="14">
        <f>IF(('S-Table'!$B119-$C$2)*('S-Table'!$B119-$D$2)=0,IF(('S-Table'!$C119-$C$3)*('S-Table'!$C119-$D$3)=0,'S-Table'!A119,0),0)</f>
        <v>0</v>
      </c>
      <c r="H119" s="14">
        <f>IF(('S-Table'!$B119-$C$2)*('S-Table'!$B119-$D$2)=0,IF(('S-Table'!$C119-$C$3)*('S-Table'!$C119-$D$3)=0,'S-Table'!B119,0),0)</f>
        <v>0</v>
      </c>
      <c r="I119" s="14">
        <f>IF(('S-Table'!$B119-$C$2)*('S-Table'!$B119-$D$2)=0,IF(('S-Table'!$C119-$C$3)*('S-Table'!$C119-$D$3)=0,'S-Table'!C119,0),0)</f>
        <v>0</v>
      </c>
      <c r="J119" s="14">
        <f>IF(('S-Table'!$B119-$C$2)*('S-Table'!$B119-$D$2)=0,IF(('S-Table'!$C119-$C$3)*('S-Table'!$C119-$D$3)=0,'S-Table'!D119,0),0)</f>
        <v>0</v>
      </c>
      <c r="K119" s="14">
        <f>IF(('S-Table'!$B119-$C$2)*('S-Table'!$B119-$D$2)=0,IF(('S-Table'!$C119-$C$3)*('S-Table'!$C119-$D$3)=0,'S-Table'!E119,0),0)</f>
        <v>0</v>
      </c>
    </row>
    <row r="120" spans="6:11" x14ac:dyDescent="0.2">
      <c r="F120" s="14">
        <f>IF(G120=0,IF(G119=0,F119,F119+1),IF(G119=0,MAX(F$1:F119),MAX(F$1:F119)+1))</f>
        <v>5</v>
      </c>
      <c r="G120" s="14">
        <f>IF(('S-Table'!$B120-$C$2)*('S-Table'!$B120-$D$2)=0,IF(('S-Table'!$C120-$C$3)*('S-Table'!$C120-$D$3)=0,'S-Table'!A120,0),0)</f>
        <v>0</v>
      </c>
      <c r="H120" s="14">
        <f>IF(('S-Table'!$B120-$C$2)*('S-Table'!$B120-$D$2)=0,IF(('S-Table'!$C120-$C$3)*('S-Table'!$C120-$D$3)=0,'S-Table'!B120,0),0)</f>
        <v>0</v>
      </c>
      <c r="I120" s="14">
        <f>IF(('S-Table'!$B120-$C$2)*('S-Table'!$B120-$D$2)=0,IF(('S-Table'!$C120-$C$3)*('S-Table'!$C120-$D$3)=0,'S-Table'!C120,0),0)</f>
        <v>0</v>
      </c>
      <c r="J120" s="14">
        <f>IF(('S-Table'!$B120-$C$2)*('S-Table'!$B120-$D$2)=0,IF(('S-Table'!$C120-$C$3)*('S-Table'!$C120-$D$3)=0,'S-Table'!D120,0),0)</f>
        <v>0</v>
      </c>
      <c r="K120" s="14">
        <f>IF(('S-Table'!$B120-$C$2)*('S-Table'!$B120-$D$2)=0,IF(('S-Table'!$C120-$C$3)*('S-Table'!$C120-$D$3)=0,'S-Table'!E120,0),0)</f>
        <v>0</v>
      </c>
    </row>
    <row r="121" spans="6:11" x14ac:dyDescent="0.2">
      <c r="F121" s="14">
        <f>IF(G121=0,IF(G120=0,F120,F120+1),IF(G120=0,MAX(F$1:F120),MAX(F$1:F120)+1))</f>
        <v>5</v>
      </c>
      <c r="G121" s="14">
        <f>IF(('S-Table'!$B121-$C$2)*('S-Table'!$B121-$D$2)=0,IF(('S-Table'!$C121-$C$3)*('S-Table'!$C121-$D$3)=0,'S-Table'!A121,0),0)</f>
        <v>0</v>
      </c>
      <c r="H121" s="14">
        <f>IF(('S-Table'!$B121-$C$2)*('S-Table'!$B121-$D$2)=0,IF(('S-Table'!$C121-$C$3)*('S-Table'!$C121-$D$3)=0,'S-Table'!B121,0),0)</f>
        <v>0</v>
      </c>
      <c r="I121" s="14">
        <f>IF(('S-Table'!$B121-$C$2)*('S-Table'!$B121-$D$2)=0,IF(('S-Table'!$C121-$C$3)*('S-Table'!$C121-$D$3)=0,'S-Table'!C121,0),0)</f>
        <v>0</v>
      </c>
      <c r="J121" s="14">
        <f>IF(('S-Table'!$B121-$C$2)*('S-Table'!$B121-$D$2)=0,IF(('S-Table'!$C121-$C$3)*('S-Table'!$C121-$D$3)=0,'S-Table'!D121,0),0)</f>
        <v>0</v>
      </c>
      <c r="K121" s="14">
        <f>IF(('S-Table'!$B121-$C$2)*('S-Table'!$B121-$D$2)=0,IF(('S-Table'!$C121-$C$3)*('S-Table'!$C121-$D$3)=0,'S-Table'!E121,0),0)</f>
        <v>0</v>
      </c>
    </row>
    <row r="122" spans="6:11" x14ac:dyDescent="0.2">
      <c r="F122" s="14">
        <f>IF(G122=0,IF(G121=0,F121,F121+1),IF(G121=0,MAX(F$1:F121),MAX(F$1:F121)+1))</f>
        <v>5</v>
      </c>
      <c r="G122" s="14">
        <f>IF(('S-Table'!$B122-$C$2)*('S-Table'!$B122-$D$2)=0,IF(('S-Table'!$C122-$C$3)*('S-Table'!$C122-$D$3)=0,'S-Table'!A122,0),0)</f>
        <v>0</v>
      </c>
      <c r="H122" s="14">
        <f>IF(('S-Table'!$B122-$C$2)*('S-Table'!$B122-$D$2)=0,IF(('S-Table'!$C122-$C$3)*('S-Table'!$C122-$D$3)=0,'S-Table'!B122,0),0)</f>
        <v>0</v>
      </c>
      <c r="I122" s="14">
        <f>IF(('S-Table'!$B122-$C$2)*('S-Table'!$B122-$D$2)=0,IF(('S-Table'!$C122-$C$3)*('S-Table'!$C122-$D$3)=0,'S-Table'!C122,0),0)</f>
        <v>0</v>
      </c>
      <c r="J122" s="14">
        <f>IF(('S-Table'!$B122-$C$2)*('S-Table'!$B122-$D$2)=0,IF(('S-Table'!$C122-$C$3)*('S-Table'!$C122-$D$3)=0,'S-Table'!D122,0),0)</f>
        <v>0</v>
      </c>
      <c r="K122" s="14">
        <f>IF(('S-Table'!$B122-$C$2)*('S-Table'!$B122-$D$2)=0,IF(('S-Table'!$C122-$C$3)*('S-Table'!$C122-$D$3)=0,'S-Table'!E122,0),0)</f>
        <v>0</v>
      </c>
    </row>
    <row r="123" spans="6:11" x14ac:dyDescent="0.2">
      <c r="F123" s="14">
        <f>IF(G123=0,IF(G122=0,F122,F122+1),IF(G122=0,MAX(F$1:F122),MAX(F$1:F122)+1))</f>
        <v>5</v>
      </c>
      <c r="G123" s="14">
        <f>IF(('S-Table'!$B123-$C$2)*('S-Table'!$B123-$D$2)=0,IF(('S-Table'!$C123-$C$3)*('S-Table'!$C123-$D$3)=0,'S-Table'!A123,0),0)</f>
        <v>0</v>
      </c>
      <c r="H123" s="14">
        <f>IF(('S-Table'!$B123-$C$2)*('S-Table'!$B123-$D$2)=0,IF(('S-Table'!$C123-$C$3)*('S-Table'!$C123-$D$3)=0,'S-Table'!B123,0),0)</f>
        <v>0</v>
      </c>
      <c r="I123" s="14">
        <f>IF(('S-Table'!$B123-$C$2)*('S-Table'!$B123-$D$2)=0,IF(('S-Table'!$C123-$C$3)*('S-Table'!$C123-$D$3)=0,'S-Table'!C123,0),0)</f>
        <v>0</v>
      </c>
      <c r="J123" s="14">
        <f>IF(('S-Table'!$B123-$C$2)*('S-Table'!$B123-$D$2)=0,IF(('S-Table'!$C123-$C$3)*('S-Table'!$C123-$D$3)=0,'S-Table'!D123,0),0)</f>
        <v>0</v>
      </c>
      <c r="K123" s="14">
        <f>IF(('S-Table'!$B123-$C$2)*('S-Table'!$B123-$D$2)=0,IF(('S-Table'!$C123-$C$3)*('S-Table'!$C123-$D$3)=0,'S-Table'!E123,0),0)</f>
        <v>0</v>
      </c>
    </row>
    <row r="124" spans="6:11" x14ac:dyDescent="0.2">
      <c r="F124" s="14">
        <f>IF(G124=0,IF(G123=0,F123,F123+1),IF(G123=0,MAX(F$1:F123),MAX(F$1:F123)+1))</f>
        <v>5</v>
      </c>
      <c r="G124" s="14">
        <f>IF(('S-Table'!$B124-$C$2)*('S-Table'!$B124-$D$2)=0,IF(('S-Table'!$C124-$C$3)*('S-Table'!$C124-$D$3)=0,'S-Table'!A124,0),0)</f>
        <v>0</v>
      </c>
      <c r="H124" s="14">
        <f>IF(('S-Table'!$B124-$C$2)*('S-Table'!$B124-$D$2)=0,IF(('S-Table'!$C124-$C$3)*('S-Table'!$C124-$D$3)=0,'S-Table'!B124,0),0)</f>
        <v>0</v>
      </c>
      <c r="I124" s="14">
        <f>IF(('S-Table'!$B124-$C$2)*('S-Table'!$B124-$D$2)=0,IF(('S-Table'!$C124-$C$3)*('S-Table'!$C124-$D$3)=0,'S-Table'!C124,0),0)</f>
        <v>0</v>
      </c>
      <c r="J124" s="14">
        <f>IF(('S-Table'!$B124-$C$2)*('S-Table'!$B124-$D$2)=0,IF(('S-Table'!$C124-$C$3)*('S-Table'!$C124-$D$3)=0,'S-Table'!D124,0),0)</f>
        <v>0</v>
      </c>
      <c r="K124" s="14">
        <f>IF(('S-Table'!$B124-$C$2)*('S-Table'!$B124-$D$2)=0,IF(('S-Table'!$C124-$C$3)*('S-Table'!$C124-$D$3)=0,'S-Table'!E124,0),0)</f>
        <v>0</v>
      </c>
    </row>
    <row r="125" spans="6:11" x14ac:dyDescent="0.2">
      <c r="F125" s="14">
        <f>IF(G125=0,IF(G124=0,F124,F124+1),IF(G124=0,MAX(F$1:F124),MAX(F$1:F124)+1))</f>
        <v>5</v>
      </c>
      <c r="G125" s="14">
        <f>IF(('S-Table'!$B125-$C$2)*('S-Table'!$B125-$D$2)=0,IF(('S-Table'!$C125-$C$3)*('S-Table'!$C125-$D$3)=0,'S-Table'!A125,0),0)</f>
        <v>0</v>
      </c>
      <c r="H125" s="14">
        <f>IF(('S-Table'!$B125-$C$2)*('S-Table'!$B125-$D$2)=0,IF(('S-Table'!$C125-$C$3)*('S-Table'!$C125-$D$3)=0,'S-Table'!B125,0),0)</f>
        <v>0</v>
      </c>
      <c r="I125" s="14">
        <f>IF(('S-Table'!$B125-$C$2)*('S-Table'!$B125-$D$2)=0,IF(('S-Table'!$C125-$C$3)*('S-Table'!$C125-$D$3)=0,'S-Table'!C125,0),0)</f>
        <v>0</v>
      </c>
      <c r="J125" s="14">
        <f>IF(('S-Table'!$B125-$C$2)*('S-Table'!$B125-$D$2)=0,IF(('S-Table'!$C125-$C$3)*('S-Table'!$C125-$D$3)=0,'S-Table'!D125,0),0)</f>
        <v>0</v>
      </c>
      <c r="K125" s="14">
        <f>IF(('S-Table'!$B125-$C$2)*('S-Table'!$B125-$D$2)=0,IF(('S-Table'!$C125-$C$3)*('S-Table'!$C125-$D$3)=0,'S-Table'!E125,0),0)</f>
        <v>0</v>
      </c>
    </row>
    <row r="126" spans="6:11" x14ac:dyDescent="0.2">
      <c r="F126" s="14">
        <f>IF(G126=0,IF(G125=0,F125,F125+1),IF(G125=0,MAX(F$1:F125),MAX(F$1:F125)+1))</f>
        <v>5</v>
      </c>
      <c r="G126" s="14">
        <f>IF(('S-Table'!$B126-$C$2)*('S-Table'!$B126-$D$2)=0,IF(('S-Table'!$C126-$C$3)*('S-Table'!$C126-$D$3)=0,'S-Table'!A126,0),0)</f>
        <v>0</v>
      </c>
      <c r="H126" s="14">
        <f>IF(('S-Table'!$B126-$C$2)*('S-Table'!$B126-$D$2)=0,IF(('S-Table'!$C126-$C$3)*('S-Table'!$C126-$D$3)=0,'S-Table'!B126,0),0)</f>
        <v>0</v>
      </c>
      <c r="I126" s="14">
        <f>IF(('S-Table'!$B126-$C$2)*('S-Table'!$B126-$D$2)=0,IF(('S-Table'!$C126-$C$3)*('S-Table'!$C126-$D$3)=0,'S-Table'!C126,0),0)</f>
        <v>0</v>
      </c>
      <c r="J126" s="14">
        <f>IF(('S-Table'!$B126-$C$2)*('S-Table'!$B126-$D$2)=0,IF(('S-Table'!$C126-$C$3)*('S-Table'!$C126-$D$3)=0,'S-Table'!D126,0),0)</f>
        <v>0</v>
      </c>
      <c r="K126" s="14">
        <f>IF(('S-Table'!$B126-$C$2)*('S-Table'!$B126-$D$2)=0,IF(('S-Table'!$C126-$C$3)*('S-Table'!$C126-$D$3)=0,'S-Table'!E126,0),0)</f>
        <v>0</v>
      </c>
    </row>
    <row r="127" spans="6:11" x14ac:dyDescent="0.2">
      <c r="F127" s="14">
        <f>IF(G127=0,IF(G126=0,F126,F126+1),IF(G126=0,MAX(F$1:F126),MAX(F$1:F126)+1))</f>
        <v>5</v>
      </c>
      <c r="G127" s="14">
        <f>IF(('S-Table'!$B127-$C$2)*('S-Table'!$B127-$D$2)=0,IF(('S-Table'!$C127-$C$3)*('S-Table'!$C127-$D$3)=0,'S-Table'!A127,0),0)</f>
        <v>0</v>
      </c>
      <c r="H127" s="14">
        <f>IF(('S-Table'!$B127-$C$2)*('S-Table'!$B127-$D$2)=0,IF(('S-Table'!$C127-$C$3)*('S-Table'!$C127-$D$3)=0,'S-Table'!B127,0),0)</f>
        <v>0</v>
      </c>
      <c r="I127" s="14">
        <f>IF(('S-Table'!$B127-$C$2)*('S-Table'!$B127-$D$2)=0,IF(('S-Table'!$C127-$C$3)*('S-Table'!$C127-$D$3)=0,'S-Table'!C127,0),0)</f>
        <v>0</v>
      </c>
      <c r="J127" s="14">
        <f>IF(('S-Table'!$B127-$C$2)*('S-Table'!$B127-$D$2)=0,IF(('S-Table'!$C127-$C$3)*('S-Table'!$C127-$D$3)=0,'S-Table'!D127,0),0)</f>
        <v>0</v>
      </c>
      <c r="K127" s="14">
        <f>IF(('S-Table'!$B127-$C$2)*('S-Table'!$B127-$D$2)=0,IF(('S-Table'!$C127-$C$3)*('S-Table'!$C127-$D$3)=0,'S-Table'!E127,0),0)</f>
        <v>0</v>
      </c>
    </row>
    <row r="128" spans="6:11" x14ac:dyDescent="0.2">
      <c r="F128" s="14">
        <f>IF(G128=0,IF(G127=0,F127,F127+1),IF(G127=0,MAX(F$1:F127),MAX(F$1:F127)+1))</f>
        <v>5</v>
      </c>
      <c r="G128" s="14">
        <f>IF(('S-Table'!$B128-$C$2)*('S-Table'!$B128-$D$2)=0,IF(('S-Table'!$C128-$C$3)*('S-Table'!$C128-$D$3)=0,'S-Table'!A128,0),0)</f>
        <v>0</v>
      </c>
      <c r="H128" s="14">
        <f>IF(('S-Table'!$B128-$C$2)*('S-Table'!$B128-$D$2)=0,IF(('S-Table'!$C128-$C$3)*('S-Table'!$C128-$D$3)=0,'S-Table'!B128,0),0)</f>
        <v>0</v>
      </c>
      <c r="I128" s="14">
        <f>IF(('S-Table'!$B128-$C$2)*('S-Table'!$B128-$D$2)=0,IF(('S-Table'!$C128-$C$3)*('S-Table'!$C128-$D$3)=0,'S-Table'!C128,0),0)</f>
        <v>0</v>
      </c>
      <c r="J128" s="14">
        <f>IF(('S-Table'!$B128-$C$2)*('S-Table'!$B128-$D$2)=0,IF(('S-Table'!$C128-$C$3)*('S-Table'!$C128-$D$3)=0,'S-Table'!D128,0),0)</f>
        <v>0</v>
      </c>
      <c r="K128" s="14">
        <f>IF(('S-Table'!$B128-$C$2)*('S-Table'!$B128-$D$2)=0,IF(('S-Table'!$C128-$C$3)*('S-Table'!$C128-$D$3)=0,'S-Table'!E128,0),0)</f>
        <v>0</v>
      </c>
    </row>
    <row r="129" spans="6:11" x14ac:dyDescent="0.2">
      <c r="F129" s="14">
        <f>IF(G129=0,IF(G128=0,F128,F128+1),IF(G128=0,MAX(F$1:F128),MAX(F$1:F128)+1))</f>
        <v>5</v>
      </c>
      <c r="G129" s="14">
        <f>IF(('S-Table'!$B129-$C$2)*('S-Table'!$B129-$D$2)=0,IF(('S-Table'!$C129-$C$3)*('S-Table'!$C129-$D$3)=0,'S-Table'!A129,0),0)</f>
        <v>0</v>
      </c>
      <c r="H129" s="14">
        <f>IF(('S-Table'!$B129-$C$2)*('S-Table'!$B129-$D$2)=0,IF(('S-Table'!$C129-$C$3)*('S-Table'!$C129-$D$3)=0,'S-Table'!B129,0),0)</f>
        <v>0</v>
      </c>
      <c r="I129" s="14">
        <f>IF(('S-Table'!$B129-$C$2)*('S-Table'!$B129-$D$2)=0,IF(('S-Table'!$C129-$C$3)*('S-Table'!$C129-$D$3)=0,'S-Table'!C129,0),0)</f>
        <v>0</v>
      </c>
      <c r="J129" s="14">
        <f>IF(('S-Table'!$B129-$C$2)*('S-Table'!$B129-$D$2)=0,IF(('S-Table'!$C129-$C$3)*('S-Table'!$C129-$D$3)=0,'S-Table'!D129,0),0)</f>
        <v>0</v>
      </c>
      <c r="K129" s="14">
        <f>IF(('S-Table'!$B129-$C$2)*('S-Table'!$B129-$D$2)=0,IF(('S-Table'!$C129-$C$3)*('S-Table'!$C129-$D$3)=0,'S-Table'!E129,0),0)</f>
        <v>0</v>
      </c>
    </row>
    <row r="130" spans="6:11" x14ac:dyDescent="0.2">
      <c r="F130" s="14">
        <f>IF(G130=0,IF(G129=0,F129,F129+1),IF(G129=0,MAX(F$1:F129),MAX(F$1:F129)+1))</f>
        <v>5</v>
      </c>
      <c r="G130" s="14">
        <f>IF(('S-Table'!$B130-$C$2)*('S-Table'!$B130-$D$2)=0,IF(('S-Table'!$C130-$C$3)*('S-Table'!$C130-$D$3)=0,'S-Table'!A130,0),0)</f>
        <v>0</v>
      </c>
      <c r="H130" s="14">
        <f>IF(('S-Table'!$B130-$C$2)*('S-Table'!$B130-$D$2)=0,IF(('S-Table'!$C130-$C$3)*('S-Table'!$C130-$D$3)=0,'S-Table'!B130,0),0)</f>
        <v>0</v>
      </c>
      <c r="I130" s="14">
        <f>IF(('S-Table'!$B130-$C$2)*('S-Table'!$B130-$D$2)=0,IF(('S-Table'!$C130-$C$3)*('S-Table'!$C130-$D$3)=0,'S-Table'!C130,0),0)</f>
        <v>0</v>
      </c>
      <c r="J130" s="14">
        <f>IF(('S-Table'!$B130-$C$2)*('S-Table'!$B130-$D$2)=0,IF(('S-Table'!$C130-$C$3)*('S-Table'!$C130-$D$3)=0,'S-Table'!D130,0),0)</f>
        <v>0</v>
      </c>
      <c r="K130" s="14">
        <f>IF(('S-Table'!$B130-$C$2)*('S-Table'!$B130-$D$2)=0,IF(('S-Table'!$C130-$C$3)*('S-Table'!$C130-$D$3)=0,'S-Table'!E130,0),0)</f>
        <v>0</v>
      </c>
    </row>
    <row r="131" spans="6:11" x14ac:dyDescent="0.2">
      <c r="F131" s="14">
        <f>IF(G131=0,IF(G130=0,F130,F130+1),IF(G130=0,MAX(F$1:F130),MAX(F$1:F130)+1))</f>
        <v>5</v>
      </c>
      <c r="G131" s="14">
        <f>IF(('S-Table'!$B131-$C$2)*('S-Table'!$B131-$D$2)=0,IF(('S-Table'!$C131-$C$3)*('S-Table'!$C131-$D$3)=0,'S-Table'!A131,0),0)</f>
        <v>0</v>
      </c>
      <c r="H131" s="14">
        <f>IF(('S-Table'!$B131-$C$2)*('S-Table'!$B131-$D$2)=0,IF(('S-Table'!$C131-$C$3)*('S-Table'!$C131-$D$3)=0,'S-Table'!B131,0),0)</f>
        <v>0</v>
      </c>
      <c r="I131" s="14">
        <f>IF(('S-Table'!$B131-$C$2)*('S-Table'!$B131-$D$2)=0,IF(('S-Table'!$C131-$C$3)*('S-Table'!$C131-$D$3)=0,'S-Table'!C131,0),0)</f>
        <v>0</v>
      </c>
      <c r="J131" s="14">
        <f>IF(('S-Table'!$B131-$C$2)*('S-Table'!$B131-$D$2)=0,IF(('S-Table'!$C131-$C$3)*('S-Table'!$C131-$D$3)=0,'S-Table'!D131,0),0)</f>
        <v>0</v>
      </c>
      <c r="K131" s="14">
        <f>IF(('S-Table'!$B131-$C$2)*('S-Table'!$B131-$D$2)=0,IF(('S-Table'!$C131-$C$3)*('S-Table'!$C131-$D$3)=0,'S-Table'!E131,0),0)</f>
        <v>0</v>
      </c>
    </row>
    <row r="132" spans="6:11" x14ac:dyDescent="0.2">
      <c r="F132" s="14">
        <f>IF(G132=0,IF(G131=0,F131,F131+1),IF(G131=0,MAX(F$1:F131),MAX(F$1:F131)+1))</f>
        <v>5</v>
      </c>
      <c r="G132" s="14">
        <f>IF(('S-Table'!$B132-$C$2)*('S-Table'!$B132-$D$2)=0,IF(('S-Table'!$C132-$C$3)*('S-Table'!$C132-$D$3)=0,'S-Table'!A132,0),0)</f>
        <v>0</v>
      </c>
      <c r="H132" s="14">
        <f>IF(('S-Table'!$B132-$C$2)*('S-Table'!$B132-$D$2)=0,IF(('S-Table'!$C132-$C$3)*('S-Table'!$C132-$D$3)=0,'S-Table'!B132,0),0)</f>
        <v>0</v>
      </c>
      <c r="I132" s="14">
        <f>IF(('S-Table'!$B132-$C$2)*('S-Table'!$B132-$D$2)=0,IF(('S-Table'!$C132-$C$3)*('S-Table'!$C132-$D$3)=0,'S-Table'!C132,0),0)</f>
        <v>0</v>
      </c>
      <c r="J132" s="14">
        <f>IF(('S-Table'!$B132-$C$2)*('S-Table'!$B132-$D$2)=0,IF(('S-Table'!$C132-$C$3)*('S-Table'!$C132-$D$3)=0,'S-Table'!D132,0),0)</f>
        <v>0</v>
      </c>
      <c r="K132" s="14">
        <f>IF(('S-Table'!$B132-$C$2)*('S-Table'!$B132-$D$2)=0,IF(('S-Table'!$C132-$C$3)*('S-Table'!$C132-$D$3)=0,'S-Table'!E132,0),0)</f>
        <v>0</v>
      </c>
    </row>
    <row r="133" spans="6:11" x14ac:dyDescent="0.2">
      <c r="F133" s="14">
        <f>IF(G133=0,IF(G132=0,F132,F132+1),IF(G132=0,MAX(F$1:F132),MAX(F$1:F132)+1))</f>
        <v>5</v>
      </c>
      <c r="G133" s="14">
        <f>IF(('S-Table'!$B133-$C$2)*('S-Table'!$B133-$D$2)=0,IF(('S-Table'!$C133-$C$3)*('S-Table'!$C133-$D$3)=0,'S-Table'!A133,0),0)</f>
        <v>0</v>
      </c>
      <c r="H133" s="14">
        <f>IF(('S-Table'!$B133-$C$2)*('S-Table'!$B133-$D$2)=0,IF(('S-Table'!$C133-$C$3)*('S-Table'!$C133-$D$3)=0,'S-Table'!B133,0),0)</f>
        <v>0</v>
      </c>
      <c r="I133" s="14">
        <f>IF(('S-Table'!$B133-$C$2)*('S-Table'!$B133-$D$2)=0,IF(('S-Table'!$C133-$C$3)*('S-Table'!$C133-$D$3)=0,'S-Table'!C133,0),0)</f>
        <v>0</v>
      </c>
      <c r="J133" s="14">
        <f>IF(('S-Table'!$B133-$C$2)*('S-Table'!$B133-$D$2)=0,IF(('S-Table'!$C133-$C$3)*('S-Table'!$C133-$D$3)=0,'S-Table'!D133,0),0)</f>
        <v>0</v>
      </c>
      <c r="K133" s="14">
        <f>IF(('S-Table'!$B133-$C$2)*('S-Table'!$B133-$D$2)=0,IF(('S-Table'!$C133-$C$3)*('S-Table'!$C133-$D$3)=0,'S-Table'!E133,0),0)</f>
        <v>0</v>
      </c>
    </row>
    <row r="134" spans="6:11" x14ac:dyDescent="0.2">
      <c r="F134" s="14">
        <f>IF(G134=0,IF(G133=0,F133,F133+1),IF(G133=0,MAX(F$1:F133),MAX(F$1:F133)+1))</f>
        <v>5</v>
      </c>
      <c r="G134" s="14">
        <f>IF(('S-Table'!$B134-$C$2)*('S-Table'!$B134-$D$2)=0,IF(('S-Table'!$C134-$C$3)*('S-Table'!$C134-$D$3)=0,'S-Table'!A134,0),0)</f>
        <v>0</v>
      </c>
      <c r="H134" s="14">
        <f>IF(('S-Table'!$B134-$C$2)*('S-Table'!$B134-$D$2)=0,IF(('S-Table'!$C134-$C$3)*('S-Table'!$C134-$D$3)=0,'S-Table'!B134,0),0)</f>
        <v>0</v>
      </c>
      <c r="I134" s="14">
        <f>IF(('S-Table'!$B134-$C$2)*('S-Table'!$B134-$D$2)=0,IF(('S-Table'!$C134-$C$3)*('S-Table'!$C134-$D$3)=0,'S-Table'!C134,0),0)</f>
        <v>0</v>
      </c>
      <c r="J134" s="14">
        <f>IF(('S-Table'!$B134-$C$2)*('S-Table'!$B134-$D$2)=0,IF(('S-Table'!$C134-$C$3)*('S-Table'!$C134-$D$3)=0,'S-Table'!D134,0),0)</f>
        <v>0</v>
      </c>
      <c r="K134" s="14">
        <f>IF(('S-Table'!$B134-$C$2)*('S-Table'!$B134-$D$2)=0,IF(('S-Table'!$C134-$C$3)*('S-Table'!$C134-$D$3)=0,'S-Table'!E134,0),0)</f>
        <v>0</v>
      </c>
    </row>
    <row r="135" spans="6:11" x14ac:dyDescent="0.2">
      <c r="F135" s="14">
        <f>IF(G135=0,IF(G134=0,F134,F134+1),IF(G134=0,MAX(F$1:F134),MAX(F$1:F134)+1))</f>
        <v>5</v>
      </c>
      <c r="G135" s="14">
        <f>IF(('S-Table'!$B135-$C$2)*('S-Table'!$B135-$D$2)=0,IF(('S-Table'!$C135-$C$3)*('S-Table'!$C135-$D$3)=0,'S-Table'!A135,0),0)</f>
        <v>0</v>
      </c>
      <c r="H135" s="14">
        <f>IF(('S-Table'!$B135-$C$2)*('S-Table'!$B135-$D$2)=0,IF(('S-Table'!$C135-$C$3)*('S-Table'!$C135-$D$3)=0,'S-Table'!B135,0),0)</f>
        <v>0</v>
      </c>
      <c r="I135" s="14">
        <f>IF(('S-Table'!$B135-$C$2)*('S-Table'!$B135-$D$2)=0,IF(('S-Table'!$C135-$C$3)*('S-Table'!$C135-$D$3)=0,'S-Table'!C135,0),0)</f>
        <v>0</v>
      </c>
      <c r="J135" s="14">
        <f>IF(('S-Table'!$B135-$C$2)*('S-Table'!$B135-$D$2)=0,IF(('S-Table'!$C135-$C$3)*('S-Table'!$C135-$D$3)=0,'S-Table'!D135,0),0)</f>
        <v>0</v>
      </c>
      <c r="K135" s="14">
        <f>IF(('S-Table'!$B135-$C$2)*('S-Table'!$B135-$D$2)=0,IF(('S-Table'!$C135-$C$3)*('S-Table'!$C135-$D$3)=0,'S-Table'!E135,0),0)</f>
        <v>0</v>
      </c>
    </row>
    <row r="136" spans="6:11" x14ac:dyDescent="0.2">
      <c r="F136" s="14">
        <f>IF(G136=0,IF(G135=0,F135,F135+1),IF(G135=0,MAX(F$1:F135),MAX(F$1:F135)+1))</f>
        <v>5</v>
      </c>
      <c r="G136" s="14">
        <f>IF(('S-Table'!$B136-$C$2)*('S-Table'!$B136-$D$2)=0,IF(('S-Table'!$C136-$C$3)*('S-Table'!$C136-$D$3)=0,'S-Table'!A136,0),0)</f>
        <v>0</v>
      </c>
      <c r="H136" s="14">
        <f>IF(('S-Table'!$B136-$C$2)*('S-Table'!$B136-$D$2)=0,IF(('S-Table'!$C136-$C$3)*('S-Table'!$C136-$D$3)=0,'S-Table'!B136,0),0)</f>
        <v>0</v>
      </c>
      <c r="I136" s="14">
        <f>IF(('S-Table'!$B136-$C$2)*('S-Table'!$B136-$D$2)=0,IF(('S-Table'!$C136-$C$3)*('S-Table'!$C136-$D$3)=0,'S-Table'!C136,0),0)</f>
        <v>0</v>
      </c>
      <c r="J136" s="14">
        <f>IF(('S-Table'!$B136-$C$2)*('S-Table'!$B136-$D$2)=0,IF(('S-Table'!$C136-$C$3)*('S-Table'!$C136-$D$3)=0,'S-Table'!D136,0),0)</f>
        <v>0</v>
      </c>
      <c r="K136" s="14">
        <f>IF(('S-Table'!$B136-$C$2)*('S-Table'!$B136-$D$2)=0,IF(('S-Table'!$C136-$C$3)*('S-Table'!$C136-$D$3)=0,'S-Table'!E136,0),0)</f>
        <v>0</v>
      </c>
    </row>
    <row r="137" spans="6:11" x14ac:dyDescent="0.2">
      <c r="F137" s="14">
        <f>IF(G137=0,IF(G136=0,F136,F136+1),IF(G136=0,MAX(F$1:F136),MAX(F$1:F136)+1))</f>
        <v>5</v>
      </c>
      <c r="G137" s="14">
        <f>IF(('S-Table'!$B137-$C$2)*('S-Table'!$B137-$D$2)=0,IF(('S-Table'!$C137-$C$3)*('S-Table'!$C137-$D$3)=0,'S-Table'!A137,0),0)</f>
        <v>0</v>
      </c>
      <c r="H137" s="14">
        <f>IF(('S-Table'!$B137-$C$2)*('S-Table'!$B137-$D$2)=0,IF(('S-Table'!$C137-$C$3)*('S-Table'!$C137-$D$3)=0,'S-Table'!B137,0),0)</f>
        <v>0</v>
      </c>
      <c r="I137" s="14">
        <f>IF(('S-Table'!$B137-$C$2)*('S-Table'!$B137-$D$2)=0,IF(('S-Table'!$C137-$C$3)*('S-Table'!$C137-$D$3)=0,'S-Table'!C137,0),0)</f>
        <v>0</v>
      </c>
      <c r="J137" s="14">
        <f>IF(('S-Table'!$B137-$C$2)*('S-Table'!$B137-$D$2)=0,IF(('S-Table'!$C137-$C$3)*('S-Table'!$C137-$D$3)=0,'S-Table'!D137,0),0)</f>
        <v>0</v>
      </c>
      <c r="K137" s="14">
        <f>IF(('S-Table'!$B137-$C$2)*('S-Table'!$B137-$D$2)=0,IF(('S-Table'!$C137-$C$3)*('S-Table'!$C137-$D$3)=0,'S-Table'!E137,0),0)</f>
        <v>0</v>
      </c>
    </row>
    <row r="138" spans="6:11" x14ac:dyDescent="0.2">
      <c r="F138" s="14">
        <f>IF(G138=0,IF(G137=0,F137,F137+1),IF(G137=0,MAX(F$1:F137),MAX(F$1:F137)+1))</f>
        <v>5</v>
      </c>
      <c r="G138" s="14">
        <f>IF(('S-Table'!$B138-$C$2)*('S-Table'!$B138-$D$2)=0,IF(('S-Table'!$C138-$C$3)*('S-Table'!$C138-$D$3)=0,'S-Table'!A138,0),0)</f>
        <v>0</v>
      </c>
      <c r="H138" s="14">
        <f>IF(('S-Table'!$B138-$C$2)*('S-Table'!$B138-$D$2)=0,IF(('S-Table'!$C138-$C$3)*('S-Table'!$C138-$D$3)=0,'S-Table'!B138,0),0)</f>
        <v>0</v>
      </c>
      <c r="I138" s="14">
        <f>IF(('S-Table'!$B138-$C$2)*('S-Table'!$B138-$D$2)=0,IF(('S-Table'!$C138-$C$3)*('S-Table'!$C138-$D$3)=0,'S-Table'!C138,0),0)</f>
        <v>0</v>
      </c>
      <c r="J138" s="14">
        <f>IF(('S-Table'!$B138-$C$2)*('S-Table'!$B138-$D$2)=0,IF(('S-Table'!$C138-$C$3)*('S-Table'!$C138-$D$3)=0,'S-Table'!D138,0),0)</f>
        <v>0</v>
      </c>
      <c r="K138" s="14">
        <f>IF(('S-Table'!$B138-$C$2)*('S-Table'!$B138-$D$2)=0,IF(('S-Table'!$C138-$C$3)*('S-Table'!$C138-$D$3)=0,'S-Table'!E138,0),0)</f>
        <v>0</v>
      </c>
    </row>
    <row r="139" spans="6:11" x14ac:dyDescent="0.2">
      <c r="F139" s="14">
        <f>IF(G139=0,IF(G138=0,F138,F138+1),IF(G138=0,MAX(F$1:F138),MAX(F$1:F138)+1))</f>
        <v>5</v>
      </c>
      <c r="G139" s="14">
        <f>IF(('S-Table'!$B139-$C$2)*('S-Table'!$B139-$D$2)=0,IF(('S-Table'!$C139-$C$3)*('S-Table'!$C139-$D$3)=0,'S-Table'!A139,0),0)</f>
        <v>0</v>
      </c>
      <c r="H139" s="14">
        <f>IF(('S-Table'!$B139-$C$2)*('S-Table'!$B139-$D$2)=0,IF(('S-Table'!$C139-$C$3)*('S-Table'!$C139-$D$3)=0,'S-Table'!B139,0),0)</f>
        <v>0</v>
      </c>
      <c r="I139" s="14">
        <f>IF(('S-Table'!$B139-$C$2)*('S-Table'!$B139-$D$2)=0,IF(('S-Table'!$C139-$C$3)*('S-Table'!$C139-$D$3)=0,'S-Table'!C139,0),0)</f>
        <v>0</v>
      </c>
      <c r="J139" s="14">
        <f>IF(('S-Table'!$B139-$C$2)*('S-Table'!$B139-$D$2)=0,IF(('S-Table'!$C139-$C$3)*('S-Table'!$C139-$D$3)=0,'S-Table'!D139,0),0)</f>
        <v>0</v>
      </c>
      <c r="K139" s="14">
        <f>IF(('S-Table'!$B139-$C$2)*('S-Table'!$B139-$D$2)=0,IF(('S-Table'!$C139-$C$3)*('S-Table'!$C139-$D$3)=0,'S-Table'!E139,0),0)</f>
        <v>0</v>
      </c>
    </row>
    <row r="140" spans="6:11" x14ac:dyDescent="0.2">
      <c r="F140" s="14">
        <f>IF(G140=0,IF(G139=0,F139,F139+1),IF(G139=0,MAX(F$1:F139),MAX(F$1:F139)+1))</f>
        <v>5</v>
      </c>
      <c r="G140" s="14">
        <f>IF(('S-Table'!$B140-$C$2)*('S-Table'!$B140-$D$2)=0,IF(('S-Table'!$C140-$C$3)*('S-Table'!$C140-$D$3)=0,'S-Table'!A140,0),0)</f>
        <v>0</v>
      </c>
      <c r="H140" s="14">
        <f>IF(('S-Table'!$B140-$C$2)*('S-Table'!$B140-$D$2)=0,IF(('S-Table'!$C140-$C$3)*('S-Table'!$C140-$D$3)=0,'S-Table'!B140,0),0)</f>
        <v>0</v>
      </c>
      <c r="I140" s="14">
        <f>IF(('S-Table'!$B140-$C$2)*('S-Table'!$B140-$D$2)=0,IF(('S-Table'!$C140-$C$3)*('S-Table'!$C140-$D$3)=0,'S-Table'!C140,0),0)</f>
        <v>0</v>
      </c>
      <c r="J140" s="14">
        <f>IF(('S-Table'!$B140-$C$2)*('S-Table'!$B140-$D$2)=0,IF(('S-Table'!$C140-$C$3)*('S-Table'!$C140-$D$3)=0,'S-Table'!D140,0),0)</f>
        <v>0</v>
      </c>
      <c r="K140" s="14">
        <f>IF(('S-Table'!$B140-$C$2)*('S-Table'!$B140-$D$2)=0,IF(('S-Table'!$C140-$C$3)*('S-Table'!$C140-$D$3)=0,'S-Table'!E140,0),0)</f>
        <v>0</v>
      </c>
    </row>
    <row r="141" spans="6:11" x14ac:dyDescent="0.2">
      <c r="F141" s="14">
        <f>IF(G141=0,IF(G140=0,F140,F140+1),IF(G140=0,MAX(F$1:F140),MAX(F$1:F140)+1))</f>
        <v>5</v>
      </c>
      <c r="G141" s="14">
        <f>IF(('S-Table'!$B141-$C$2)*('S-Table'!$B141-$D$2)=0,IF(('S-Table'!$C141-$C$3)*('S-Table'!$C141-$D$3)=0,'S-Table'!A141,0),0)</f>
        <v>0</v>
      </c>
      <c r="H141" s="14">
        <f>IF(('S-Table'!$B141-$C$2)*('S-Table'!$B141-$D$2)=0,IF(('S-Table'!$C141-$C$3)*('S-Table'!$C141-$D$3)=0,'S-Table'!B141,0),0)</f>
        <v>0</v>
      </c>
      <c r="I141" s="14">
        <f>IF(('S-Table'!$B141-$C$2)*('S-Table'!$B141-$D$2)=0,IF(('S-Table'!$C141-$C$3)*('S-Table'!$C141-$D$3)=0,'S-Table'!C141,0),0)</f>
        <v>0</v>
      </c>
      <c r="J141" s="14">
        <f>IF(('S-Table'!$B141-$C$2)*('S-Table'!$B141-$D$2)=0,IF(('S-Table'!$C141-$C$3)*('S-Table'!$C141-$D$3)=0,'S-Table'!D141,0),0)</f>
        <v>0</v>
      </c>
      <c r="K141" s="14">
        <f>IF(('S-Table'!$B141-$C$2)*('S-Table'!$B141-$D$2)=0,IF(('S-Table'!$C141-$C$3)*('S-Table'!$C141-$D$3)=0,'S-Table'!E141,0),0)</f>
        <v>0</v>
      </c>
    </row>
    <row r="142" spans="6:11" x14ac:dyDescent="0.2">
      <c r="F142" s="14">
        <f>IF(G142=0,IF(G141=0,F141,F141+1),IF(G141=0,MAX(F$1:F141),MAX(F$1:F141)+1))</f>
        <v>5</v>
      </c>
      <c r="G142" s="14">
        <f>IF(('S-Table'!$B142-$C$2)*('S-Table'!$B142-$D$2)=0,IF(('S-Table'!$C142-$C$3)*('S-Table'!$C142-$D$3)=0,'S-Table'!A142,0),0)</f>
        <v>0</v>
      </c>
      <c r="H142" s="14">
        <f>IF(('S-Table'!$B142-$C$2)*('S-Table'!$B142-$D$2)=0,IF(('S-Table'!$C142-$C$3)*('S-Table'!$C142-$D$3)=0,'S-Table'!B142,0),0)</f>
        <v>0</v>
      </c>
      <c r="I142" s="14">
        <f>IF(('S-Table'!$B142-$C$2)*('S-Table'!$B142-$D$2)=0,IF(('S-Table'!$C142-$C$3)*('S-Table'!$C142-$D$3)=0,'S-Table'!C142,0),0)</f>
        <v>0</v>
      </c>
      <c r="J142" s="14">
        <f>IF(('S-Table'!$B142-$C$2)*('S-Table'!$B142-$D$2)=0,IF(('S-Table'!$C142-$C$3)*('S-Table'!$C142-$D$3)=0,'S-Table'!D142,0),0)</f>
        <v>0</v>
      </c>
      <c r="K142" s="14">
        <f>IF(('S-Table'!$B142-$C$2)*('S-Table'!$B142-$D$2)=0,IF(('S-Table'!$C142-$C$3)*('S-Table'!$C142-$D$3)=0,'S-Table'!E142,0),0)</f>
        <v>0</v>
      </c>
    </row>
    <row r="143" spans="6:11" x14ac:dyDescent="0.2">
      <c r="F143" s="14">
        <f>IF(G143=0,IF(G142=0,F142,F142+1),IF(G142=0,MAX(F$1:F142),MAX(F$1:F142)+1))</f>
        <v>5</v>
      </c>
      <c r="G143" s="14">
        <f>IF(('S-Table'!$B143-$C$2)*('S-Table'!$B143-$D$2)=0,IF(('S-Table'!$C143-$C$3)*('S-Table'!$C143-$D$3)=0,'S-Table'!A143,0),0)</f>
        <v>0</v>
      </c>
      <c r="H143" s="14">
        <f>IF(('S-Table'!$B143-$C$2)*('S-Table'!$B143-$D$2)=0,IF(('S-Table'!$C143-$C$3)*('S-Table'!$C143-$D$3)=0,'S-Table'!B143,0),0)</f>
        <v>0</v>
      </c>
      <c r="I143" s="14">
        <f>IF(('S-Table'!$B143-$C$2)*('S-Table'!$B143-$D$2)=0,IF(('S-Table'!$C143-$C$3)*('S-Table'!$C143-$D$3)=0,'S-Table'!C143,0),0)</f>
        <v>0</v>
      </c>
      <c r="J143" s="14">
        <f>IF(('S-Table'!$B143-$C$2)*('S-Table'!$B143-$D$2)=0,IF(('S-Table'!$C143-$C$3)*('S-Table'!$C143-$D$3)=0,'S-Table'!D143,0),0)</f>
        <v>0</v>
      </c>
      <c r="K143" s="14">
        <f>IF(('S-Table'!$B143-$C$2)*('S-Table'!$B143-$D$2)=0,IF(('S-Table'!$C143-$C$3)*('S-Table'!$C143-$D$3)=0,'S-Table'!E143,0),0)</f>
        <v>0</v>
      </c>
    </row>
    <row r="144" spans="6:11" x14ac:dyDescent="0.2">
      <c r="F144" s="14">
        <f>IF(G144=0,IF(G143=0,F143,F143+1),IF(G143=0,MAX(F$1:F143),MAX(F$1:F143)+1))</f>
        <v>5</v>
      </c>
      <c r="G144" s="14">
        <f>IF(('S-Table'!$B144-$C$2)*('S-Table'!$B144-$D$2)=0,IF(('S-Table'!$C144-$C$3)*('S-Table'!$C144-$D$3)=0,'S-Table'!A144,0),0)</f>
        <v>0</v>
      </c>
      <c r="H144" s="14">
        <f>IF(('S-Table'!$B144-$C$2)*('S-Table'!$B144-$D$2)=0,IF(('S-Table'!$C144-$C$3)*('S-Table'!$C144-$D$3)=0,'S-Table'!B144,0),0)</f>
        <v>0</v>
      </c>
      <c r="I144" s="14">
        <f>IF(('S-Table'!$B144-$C$2)*('S-Table'!$B144-$D$2)=0,IF(('S-Table'!$C144-$C$3)*('S-Table'!$C144-$D$3)=0,'S-Table'!C144,0),0)</f>
        <v>0</v>
      </c>
      <c r="J144" s="14">
        <f>IF(('S-Table'!$B144-$C$2)*('S-Table'!$B144-$D$2)=0,IF(('S-Table'!$C144-$C$3)*('S-Table'!$C144-$D$3)=0,'S-Table'!D144,0),0)</f>
        <v>0</v>
      </c>
      <c r="K144" s="14">
        <f>IF(('S-Table'!$B144-$C$2)*('S-Table'!$B144-$D$2)=0,IF(('S-Table'!$C144-$C$3)*('S-Table'!$C144-$D$3)=0,'S-Table'!E144,0),0)</f>
        <v>0</v>
      </c>
    </row>
    <row r="145" spans="6:11" x14ac:dyDescent="0.2">
      <c r="F145" s="14">
        <f>IF(G145=0,IF(G144=0,F144,F144+1),IF(G144=0,MAX(F$1:F144),MAX(F$1:F144)+1))</f>
        <v>5</v>
      </c>
      <c r="G145" s="14">
        <f>IF(('S-Table'!$B145-$C$2)*('S-Table'!$B145-$D$2)=0,IF(('S-Table'!$C145-$C$3)*('S-Table'!$C145-$D$3)=0,'S-Table'!A145,0),0)</f>
        <v>0</v>
      </c>
      <c r="H145" s="14">
        <f>IF(('S-Table'!$B145-$C$2)*('S-Table'!$B145-$D$2)=0,IF(('S-Table'!$C145-$C$3)*('S-Table'!$C145-$D$3)=0,'S-Table'!B145,0),0)</f>
        <v>0</v>
      </c>
      <c r="I145" s="14">
        <f>IF(('S-Table'!$B145-$C$2)*('S-Table'!$B145-$D$2)=0,IF(('S-Table'!$C145-$C$3)*('S-Table'!$C145-$D$3)=0,'S-Table'!C145,0),0)</f>
        <v>0</v>
      </c>
      <c r="J145" s="14">
        <f>IF(('S-Table'!$B145-$C$2)*('S-Table'!$B145-$D$2)=0,IF(('S-Table'!$C145-$C$3)*('S-Table'!$C145-$D$3)=0,'S-Table'!D145,0),0)</f>
        <v>0</v>
      </c>
      <c r="K145" s="14">
        <f>IF(('S-Table'!$B145-$C$2)*('S-Table'!$B145-$D$2)=0,IF(('S-Table'!$C145-$C$3)*('S-Table'!$C145-$D$3)=0,'S-Table'!E145,0),0)</f>
        <v>0</v>
      </c>
    </row>
    <row r="146" spans="6:11" x14ac:dyDescent="0.2">
      <c r="F146" s="14">
        <f>IF(G146=0,IF(G145=0,F145,F145+1),IF(G145=0,MAX(F$1:F145),MAX(F$1:F145)+1))</f>
        <v>5</v>
      </c>
      <c r="G146" s="14">
        <f>IF(('S-Table'!$B146-$C$2)*('S-Table'!$B146-$D$2)=0,IF(('S-Table'!$C146-$C$3)*('S-Table'!$C146-$D$3)=0,'S-Table'!A146,0),0)</f>
        <v>0</v>
      </c>
      <c r="H146" s="14">
        <f>IF(('S-Table'!$B146-$C$2)*('S-Table'!$B146-$D$2)=0,IF(('S-Table'!$C146-$C$3)*('S-Table'!$C146-$D$3)=0,'S-Table'!B146,0),0)</f>
        <v>0</v>
      </c>
      <c r="I146" s="14">
        <f>IF(('S-Table'!$B146-$C$2)*('S-Table'!$B146-$D$2)=0,IF(('S-Table'!$C146-$C$3)*('S-Table'!$C146-$D$3)=0,'S-Table'!C146,0),0)</f>
        <v>0</v>
      </c>
      <c r="J146" s="14">
        <f>IF(('S-Table'!$B146-$C$2)*('S-Table'!$B146-$D$2)=0,IF(('S-Table'!$C146-$C$3)*('S-Table'!$C146-$D$3)=0,'S-Table'!D146,0),0)</f>
        <v>0</v>
      </c>
      <c r="K146" s="14">
        <f>IF(('S-Table'!$B146-$C$2)*('S-Table'!$B146-$D$2)=0,IF(('S-Table'!$C146-$C$3)*('S-Table'!$C146-$D$3)=0,'S-Table'!E146,0),0)</f>
        <v>0</v>
      </c>
    </row>
    <row r="147" spans="6:11" x14ac:dyDescent="0.2">
      <c r="F147" s="14">
        <f>IF(G147=0,IF(G146=0,F146,F146+1),IF(G146=0,MAX(F$1:F146),MAX(F$1:F146)+1))</f>
        <v>5</v>
      </c>
      <c r="G147" s="14">
        <f>IF(('S-Table'!$B147-$C$2)*('S-Table'!$B147-$D$2)=0,IF(('S-Table'!$C147-$C$3)*('S-Table'!$C147-$D$3)=0,'S-Table'!A147,0),0)</f>
        <v>0</v>
      </c>
      <c r="H147" s="14">
        <f>IF(('S-Table'!$B147-$C$2)*('S-Table'!$B147-$D$2)=0,IF(('S-Table'!$C147-$C$3)*('S-Table'!$C147-$D$3)=0,'S-Table'!B147,0),0)</f>
        <v>0</v>
      </c>
      <c r="I147" s="14">
        <f>IF(('S-Table'!$B147-$C$2)*('S-Table'!$B147-$D$2)=0,IF(('S-Table'!$C147-$C$3)*('S-Table'!$C147-$D$3)=0,'S-Table'!C147,0),0)</f>
        <v>0</v>
      </c>
      <c r="J147" s="14">
        <f>IF(('S-Table'!$B147-$C$2)*('S-Table'!$B147-$D$2)=0,IF(('S-Table'!$C147-$C$3)*('S-Table'!$C147-$D$3)=0,'S-Table'!D147,0),0)</f>
        <v>0</v>
      </c>
      <c r="K147" s="14">
        <f>IF(('S-Table'!$B147-$C$2)*('S-Table'!$B147-$D$2)=0,IF(('S-Table'!$C147-$C$3)*('S-Table'!$C147-$D$3)=0,'S-Table'!E147,0),0)</f>
        <v>0</v>
      </c>
    </row>
    <row r="148" spans="6:11" x14ac:dyDescent="0.2">
      <c r="F148" s="14">
        <f>IF(G148=0,IF(G147=0,F147,F147+1),IF(G147=0,MAX(F$1:F147),MAX(F$1:F147)+1))</f>
        <v>5</v>
      </c>
      <c r="G148" s="14">
        <f>IF(('S-Table'!$B148-$C$2)*('S-Table'!$B148-$D$2)=0,IF(('S-Table'!$C148-$C$3)*('S-Table'!$C148-$D$3)=0,'S-Table'!A148,0),0)</f>
        <v>0</v>
      </c>
      <c r="H148" s="14">
        <f>IF(('S-Table'!$B148-$C$2)*('S-Table'!$B148-$D$2)=0,IF(('S-Table'!$C148-$C$3)*('S-Table'!$C148-$D$3)=0,'S-Table'!B148,0),0)</f>
        <v>0</v>
      </c>
      <c r="I148" s="14">
        <f>IF(('S-Table'!$B148-$C$2)*('S-Table'!$B148-$D$2)=0,IF(('S-Table'!$C148-$C$3)*('S-Table'!$C148-$D$3)=0,'S-Table'!C148,0),0)</f>
        <v>0</v>
      </c>
      <c r="J148" s="14">
        <f>IF(('S-Table'!$B148-$C$2)*('S-Table'!$B148-$D$2)=0,IF(('S-Table'!$C148-$C$3)*('S-Table'!$C148-$D$3)=0,'S-Table'!D148,0),0)</f>
        <v>0</v>
      </c>
      <c r="K148" s="14">
        <f>IF(('S-Table'!$B148-$C$2)*('S-Table'!$B148-$D$2)=0,IF(('S-Table'!$C148-$C$3)*('S-Table'!$C148-$D$3)=0,'S-Table'!E148,0),0)</f>
        <v>0</v>
      </c>
    </row>
    <row r="149" spans="6:11" x14ac:dyDescent="0.2">
      <c r="F149" s="14">
        <f>IF(G149=0,IF(G148=0,F148,F148+1),IF(G148=0,MAX(F$1:F148),MAX(F$1:F148)+1))</f>
        <v>5</v>
      </c>
      <c r="G149" s="14">
        <f>IF(('S-Table'!$B149-$C$2)*('S-Table'!$B149-$D$2)=0,IF(('S-Table'!$C149-$C$3)*('S-Table'!$C149-$D$3)=0,'S-Table'!A149,0),0)</f>
        <v>0</v>
      </c>
      <c r="H149" s="14">
        <f>IF(('S-Table'!$B149-$C$2)*('S-Table'!$B149-$D$2)=0,IF(('S-Table'!$C149-$C$3)*('S-Table'!$C149-$D$3)=0,'S-Table'!B149,0),0)</f>
        <v>0</v>
      </c>
      <c r="I149" s="14">
        <f>IF(('S-Table'!$B149-$C$2)*('S-Table'!$B149-$D$2)=0,IF(('S-Table'!$C149-$C$3)*('S-Table'!$C149-$D$3)=0,'S-Table'!C149,0),0)</f>
        <v>0</v>
      </c>
      <c r="J149" s="14">
        <f>IF(('S-Table'!$B149-$C$2)*('S-Table'!$B149-$D$2)=0,IF(('S-Table'!$C149-$C$3)*('S-Table'!$C149-$D$3)=0,'S-Table'!D149,0),0)</f>
        <v>0</v>
      </c>
      <c r="K149" s="14">
        <f>IF(('S-Table'!$B149-$C$2)*('S-Table'!$B149-$D$2)=0,IF(('S-Table'!$C149-$C$3)*('S-Table'!$C149-$D$3)=0,'S-Table'!E149,0),0)</f>
        <v>0</v>
      </c>
    </row>
    <row r="150" spans="6:11" x14ac:dyDescent="0.2">
      <c r="F150" s="14">
        <f>IF(G150=0,IF(G149=0,F149,F149+1),IF(G149=0,MAX(F$1:F149),MAX(F$1:F149)+1))</f>
        <v>5</v>
      </c>
      <c r="G150" s="14">
        <f>IF(('S-Table'!$B150-$C$2)*('S-Table'!$B150-$D$2)=0,IF(('S-Table'!$C150-$C$3)*('S-Table'!$C150-$D$3)=0,'S-Table'!A150,0),0)</f>
        <v>0</v>
      </c>
      <c r="H150" s="14">
        <f>IF(('S-Table'!$B150-$C$2)*('S-Table'!$B150-$D$2)=0,IF(('S-Table'!$C150-$C$3)*('S-Table'!$C150-$D$3)=0,'S-Table'!B150,0),0)</f>
        <v>0</v>
      </c>
      <c r="I150" s="14">
        <f>IF(('S-Table'!$B150-$C$2)*('S-Table'!$B150-$D$2)=0,IF(('S-Table'!$C150-$C$3)*('S-Table'!$C150-$D$3)=0,'S-Table'!C150,0),0)</f>
        <v>0</v>
      </c>
      <c r="J150" s="14">
        <f>IF(('S-Table'!$B150-$C$2)*('S-Table'!$B150-$D$2)=0,IF(('S-Table'!$C150-$C$3)*('S-Table'!$C150-$D$3)=0,'S-Table'!D150,0),0)</f>
        <v>0</v>
      </c>
      <c r="K150" s="14">
        <f>IF(('S-Table'!$B150-$C$2)*('S-Table'!$B150-$D$2)=0,IF(('S-Table'!$C150-$C$3)*('S-Table'!$C150-$D$3)=0,'S-Table'!E150,0),0)</f>
        <v>0</v>
      </c>
    </row>
    <row r="151" spans="6:11" x14ac:dyDescent="0.2">
      <c r="F151" s="14">
        <f>IF(G151=0,IF(G150=0,F150,F150+1),IF(G150=0,MAX(F$1:F150),MAX(F$1:F150)+1))</f>
        <v>5</v>
      </c>
      <c r="G151" s="14">
        <f>IF(('S-Table'!$B151-$C$2)*('S-Table'!$B151-$D$2)=0,IF(('S-Table'!$C151-$C$3)*('S-Table'!$C151-$D$3)=0,'S-Table'!A151,0),0)</f>
        <v>0</v>
      </c>
      <c r="H151" s="14">
        <f>IF(('S-Table'!$B151-$C$2)*('S-Table'!$B151-$D$2)=0,IF(('S-Table'!$C151-$C$3)*('S-Table'!$C151-$D$3)=0,'S-Table'!B151,0),0)</f>
        <v>0</v>
      </c>
      <c r="I151" s="14">
        <f>IF(('S-Table'!$B151-$C$2)*('S-Table'!$B151-$D$2)=0,IF(('S-Table'!$C151-$C$3)*('S-Table'!$C151-$D$3)=0,'S-Table'!C151,0),0)</f>
        <v>0</v>
      </c>
      <c r="J151" s="14">
        <f>IF(('S-Table'!$B151-$C$2)*('S-Table'!$B151-$D$2)=0,IF(('S-Table'!$C151-$C$3)*('S-Table'!$C151-$D$3)=0,'S-Table'!D151,0),0)</f>
        <v>0</v>
      </c>
      <c r="K151" s="14">
        <f>IF(('S-Table'!$B151-$C$2)*('S-Table'!$B151-$D$2)=0,IF(('S-Table'!$C151-$C$3)*('S-Table'!$C151-$D$3)=0,'S-Table'!E151,0),0)</f>
        <v>0</v>
      </c>
    </row>
    <row r="152" spans="6:11" x14ac:dyDescent="0.2">
      <c r="F152" s="14">
        <f>IF(G152=0,IF(G151=0,F151,F151+1),IF(G151=0,MAX(F$1:F151),MAX(F$1:F151)+1))</f>
        <v>5</v>
      </c>
      <c r="G152" s="14">
        <f>IF(('S-Table'!$B152-$C$2)*('S-Table'!$B152-$D$2)=0,IF(('S-Table'!$C152-$C$3)*('S-Table'!$C152-$D$3)=0,'S-Table'!A152,0),0)</f>
        <v>0</v>
      </c>
      <c r="H152" s="14">
        <f>IF(('S-Table'!$B152-$C$2)*('S-Table'!$B152-$D$2)=0,IF(('S-Table'!$C152-$C$3)*('S-Table'!$C152-$D$3)=0,'S-Table'!B152,0),0)</f>
        <v>0</v>
      </c>
      <c r="I152" s="14">
        <f>IF(('S-Table'!$B152-$C$2)*('S-Table'!$B152-$D$2)=0,IF(('S-Table'!$C152-$C$3)*('S-Table'!$C152-$D$3)=0,'S-Table'!C152,0),0)</f>
        <v>0</v>
      </c>
      <c r="J152" s="14">
        <f>IF(('S-Table'!$B152-$C$2)*('S-Table'!$B152-$D$2)=0,IF(('S-Table'!$C152-$C$3)*('S-Table'!$C152-$D$3)=0,'S-Table'!D152,0),0)</f>
        <v>0</v>
      </c>
      <c r="K152" s="14">
        <f>IF(('S-Table'!$B152-$C$2)*('S-Table'!$B152-$D$2)=0,IF(('S-Table'!$C152-$C$3)*('S-Table'!$C152-$D$3)=0,'S-Table'!E152,0),0)</f>
        <v>0</v>
      </c>
    </row>
    <row r="153" spans="6:11" x14ac:dyDescent="0.2">
      <c r="F153" s="14">
        <f>IF(G153=0,IF(G152=0,F152,F152+1),IF(G152=0,MAX(F$1:F152),MAX(F$1:F152)+1))</f>
        <v>5</v>
      </c>
      <c r="G153" s="14">
        <f>IF(('S-Table'!$B153-$C$2)*('S-Table'!$B153-$D$2)=0,IF(('S-Table'!$C153-$C$3)*('S-Table'!$C153-$D$3)=0,'S-Table'!A153,0),0)</f>
        <v>0</v>
      </c>
      <c r="H153" s="14">
        <f>IF(('S-Table'!$B153-$C$2)*('S-Table'!$B153-$D$2)=0,IF(('S-Table'!$C153-$C$3)*('S-Table'!$C153-$D$3)=0,'S-Table'!B153,0),0)</f>
        <v>0</v>
      </c>
      <c r="I153" s="14">
        <f>IF(('S-Table'!$B153-$C$2)*('S-Table'!$B153-$D$2)=0,IF(('S-Table'!$C153-$C$3)*('S-Table'!$C153-$D$3)=0,'S-Table'!C153,0),0)</f>
        <v>0</v>
      </c>
      <c r="J153" s="14">
        <f>IF(('S-Table'!$B153-$C$2)*('S-Table'!$B153-$D$2)=0,IF(('S-Table'!$C153-$C$3)*('S-Table'!$C153-$D$3)=0,'S-Table'!D153,0),0)</f>
        <v>0</v>
      </c>
      <c r="K153" s="14">
        <f>IF(('S-Table'!$B153-$C$2)*('S-Table'!$B153-$D$2)=0,IF(('S-Table'!$C153-$C$3)*('S-Table'!$C153-$D$3)=0,'S-Table'!E153,0),0)</f>
        <v>0</v>
      </c>
    </row>
    <row r="154" spans="6:11" x14ac:dyDescent="0.2">
      <c r="F154" s="14">
        <f>IF(G154=0,IF(G153=0,F153,F153+1),IF(G153=0,MAX(F$1:F153),MAX(F$1:F153)+1))</f>
        <v>5</v>
      </c>
      <c r="G154" s="14">
        <f>IF(('S-Table'!$B154-$C$2)*('S-Table'!$B154-$D$2)=0,IF(('S-Table'!$C154-$C$3)*('S-Table'!$C154-$D$3)=0,'S-Table'!A154,0),0)</f>
        <v>0</v>
      </c>
      <c r="H154" s="14">
        <f>IF(('S-Table'!$B154-$C$2)*('S-Table'!$B154-$D$2)=0,IF(('S-Table'!$C154-$C$3)*('S-Table'!$C154-$D$3)=0,'S-Table'!B154,0),0)</f>
        <v>0</v>
      </c>
      <c r="I154" s="14">
        <f>IF(('S-Table'!$B154-$C$2)*('S-Table'!$B154-$D$2)=0,IF(('S-Table'!$C154-$C$3)*('S-Table'!$C154-$D$3)=0,'S-Table'!C154,0),0)</f>
        <v>0</v>
      </c>
      <c r="J154" s="14">
        <f>IF(('S-Table'!$B154-$C$2)*('S-Table'!$B154-$D$2)=0,IF(('S-Table'!$C154-$C$3)*('S-Table'!$C154-$D$3)=0,'S-Table'!D154,0),0)</f>
        <v>0</v>
      </c>
      <c r="K154" s="14">
        <f>IF(('S-Table'!$B154-$C$2)*('S-Table'!$B154-$D$2)=0,IF(('S-Table'!$C154-$C$3)*('S-Table'!$C154-$D$3)=0,'S-Table'!E154,0),0)</f>
        <v>0</v>
      </c>
    </row>
    <row r="155" spans="6:11" x14ac:dyDescent="0.2">
      <c r="F155" s="14">
        <f>IF(G155=0,IF(G154=0,F154,F154+1),IF(G154=0,MAX(F$1:F154),MAX(F$1:F154)+1))</f>
        <v>5</v>
      </c>
      <c r="G155" s="14">
        <f>IF(('S-Table'!$B155-$C$2)*('S-Table'!$B155-$D$2)=0,IF(('S-Table'!$C155-$C$3)*('S-Table'!$C155-$D$3)=0,'S-Table'!A155,0),0)</f>
        <v>0</v>
      </c>
      <c r="H155" s="14">
        <f>IF(('S-Table'!$B155-$C$2)*('S-Table'!$B155-$D$2)=0,IF(('S-Table'!$C155-$C$3)*('S-Table'!$C155-$D$3)=0,'S-Table'!B155,0),0)</f>
        <v>0</v>
      </c>
      <c r="I155" s="14">
        <f>IF(('S-Table'!$B155-$C$2)*('S-Table'!$B155-$D$2)=0,IF(('S-Table'!$C155-$C$3)*('S-Table'!$C155-$D$3)=0,'S-Table'!C155,0),0)</f>
        <v>0</v>
      </c>
      <c r="J155" s="14">
        <f>IF(('S-Table'!$B155-$C$2)*('S-Table'!$B155-$D$2)=0,IF(('S-Table'!$C155-$C$3)*('S-Table'!$C155-$D$3)=0,'S-Table'!D155,0),0)</f>
        <v>0</v>
      </c>
      <c r="K155" s="14">
        <f>IF(('S-Table'!$B155-$C$2)*('S-Table'!$B155-$D$2)=0,IF(('S-Table'!$C155-$C$3)*('S-Table'!$C155-$D$3)=0,'S-Table'!E155,0),0)</f>
        <v>0</v>
      </c>
    </row>
    <row r="156" spans="6:11" x14ac:dyDescent="0.2">
      <c r="F156" s="14">
        <f>IF(G156=0,IF(G155=0,F155,F155+1),IF(G155=0,MAX(F$1:F155),MAX(F$1:F155)+1))</f>
        <v>5</v>
      </c>
      <c r="G156" s="14">
        <f>IF(('S-Table'!$B156-$C$2)*('S-Table'!$B156-$D$2)=0,IF(('S-Table'!$C156-$C$3)*('S-Table'!$C156-$D$3)=0,'S-Table'!A156,0),0)</f>
        <v>0</v>
      </c>
      <c r="H156" s="14">
        <f>IF(('S-Table'!$B156-$C$2)*('S-Table'!$B156-$D$2)=0,IF(('S-Table'!$C156-$C$3)*('S-Table'!$C156-$D$3)=0,'S-Table'!B156,0),0)</f>
        <v>0</v>
      </c>
      <c r="I156" s="14">
        <f>IF(('S-Table'!$B156-$C$2)*('S-Table'!$B156-$D$2)=0,IF(('S-Table'!$C156-$C$3)*('S-Table'!$C156-$D$3)=0,'S-Table'!C156,0),0)</f>
        <v>0</v>
      </c>
      <c r="J156" s="14">
        <f>IF(('S-Table'!$B156-$C$2)*('S-Table'!$B156-$D$2)=0,IF(('S-Table'!$C156-$C$3)*('S-Table'!$C156-$D$3)=0,'S-Table'!D156,0),0)</f>
        <v>0</v>
      </c>
      <c r="K156" s="14">
        <f>IF(('S-Table'!$B156-$C$2)*('S-Table'!$B156-$D$2)=0,IF(('S-Table'!$C156-$C$3)*('S-Table'!$C156-$D$3)=0,'S-Table'!E156,0),0)</f>
        <v>0</v>
      </c>
    </row>
    <row r="157" spans="6:11" x14ac:dyDescent="0.2">
      <c r="F157" s="14">
        <f>IF(G157=0,IF(G156=0,F156,F156+1),IF(G156=0,MAX(F$1:F156),MAX(F$1:F156)+1))</f>
        <v>5</v>
      </c>
      <c r="G157" s="14">
        <f>IF(('S-Table'!$B157-$C$2)*('S-Table'!$B157-$D$2)=0,IF(('S-Table'!$C157-$C$3)*('S-Table'!$C157-$D$3)=0,'S-Table'!A157,0),0)</f>
        <v>0</v>
      </c>
      <c r="H157" s="14">
        <f>IF(('S-Table'!$B157-$C$2)*('S-Table'!$B157-$D$2)=0,IF(('S-Table'!$C157-$C$3)*('S-Table'!$C157-$D$3)=0,'S-Table'!B157,0),0)</f>
        <v>0</v>
      </c>
      <c r="I157" s="14">
        <f>IF(('S-Table'!$B157-$C$2)*('S-Table'!$B157-$D$2)=0,IF(('S-Table'!$C157-$C$3)*('S-Table'!$C157-$D$3)=0,'S-Table'!C157,0),0)</f>
        <v>0</v>
      </c>
      <c r="J157" s="14">
        <f>IF(('S-Table'!$B157-$C$2)*('S-Table'!$B157-$D$2)=0,IF(('S-Table'!$C157-$C$3)*('S-Table'!$C157-$D$3)=0,'S-Table'!D157,0),0)</f>
        <v>0</v>
      </c>
      <c r="K157" s="14">
        <f>IF(('S-Table'!$B157-$C$2)*('S-Table'!$B157-$D$2)=0,IF(('S-Table'!$C157-$C$3)*('S-Table'!$C157-$D$3)=0,'S-Table'!E157,0),0)</f>
        <v>0</v>
      </c>
    </row>
    <row r="158" spans="6:11" x14ac:dyDescent="0.2">
      <c r="F158" s="14">
        <f>IF(G158=0,IF(G157=0,F157,F157+1),IF(G157=0,MAX(F$1:F157),MAX(F$1:F157)+1))</f>
        <v>5</v>
      </c>
      <c r="G158" s="14">
        <f>IF(('S-Table'!$B158-$C$2)*('S-Table'!$B158-$D$2)=0,IF(('S-Table'!$C158-$C$3)*('S-Table'!$C158-$D$3)=0,'S-Table'!A158,0),0)</f>
        <v>0</v>
      </c>
      <c r="H158" s="14">
        <f>IF(('S-Table'!$B158-$C$2)*('S-Table'!$B158-$D$2)=0,IF(('S-Table'!$C158-$C$3)*('S-Table'!$C158-$D$3)=0,'S-Table'!B158,0),0)</f>
        <v>0</v>
      </c>
      <c r="I158" s="14">
        <f>IF(('S-Table'!$B158-$C$2)*('S-Table'!$B158-$D$2)=0,IF(('S-Table'!$C158-$C$3)*('S-Table'!$C158-$D$3)=0,'S-Table'!C158,0),0)</f>
        <v>0</v>
      </c>
      <c r="J158" s="14">
        <f>IF(('S-Table'!$B158-$C$2)*('S-Table'!$B158-$D$2)=0,IF(('S-Table'!$C158-$C$3)*('S-Table'!$C158-$D$3)=0,'S-Table'!D158,0),0)</f>
        <v>0</v>
      </c>
      <c r="K158" s="14">
        <f>IF(('S-Table'!$B158-$C$2)*('S-Table'!$B158-$D$2)=0,IF(('S-Table'!$C158-$C$3)*('S-Table'!$C158-$D$3)=0,'S-Table'!E158,0),0)</f>
        <v>0</v>
      </c>
    </row>
    <row r="159" spans="6:11" x14ac:dyDescent="0.2">
      <c r="F159" s="14">
        <f>IF(G159=0,IF(G158=0,F158,F158+1),IF(G158=0,MAX(F$1:F158),MAX(F$1:F158)+1))</f>
        <v>5</v>
      </c>
      <c r="G159" s="14">
        <f>IF(('S-Table'!$B159-$C$2)*('S-Table'!$B159-$D$2)=0,IF(('S-Table'!$C159-$C$3)*('S-Table'!$C159-$D$3)=0,'S-Table'!A159,0),0)</f>
        <v>0</v>
      </c>
      <c r="H159" s="14">
        <f>IF(('S-Table'!$B159-$C$2)*('S-Table'!$B159-$D$2)=0,IF(('S-Table'!$C159-$C$3)*('S-Table'!$C159-$D$3)=0,'S-Table'!B159,0),0)</f>
        <v>0</v>
      </c>
      <c r="I159" s="14">
        <f>IF(('S-Table'!$B159-$C$2)*('S-Table'!$B159-$D$2)=0,IF(('S-Table'!$C159-$C$3)*('S-Table'!$C159-$D$3)=0,'S-Table'!C159,0),0)</f>
        <v>0</v>
      </c>
      <c r="J159" s="14">
        <f>IF(('S-Table'!$B159-$C$2)*('S-Table'!$B159-$D$2)=0,IF(('S-Table'!$C159-$C$3)*('S-Table'!$C159-$D$3)=0,'S-Table'!D159,0),0)</f>
        <v>0</v>
      </c>
      <c r="K159" s="14">
        <f>IF(('S-Table'!$B159-$C$2)*('S-Table'!$B159-$D$2)=0,IF(('S-Table'!$C159-$C$3)*('S-Table'!$C159-$D$3)=0,'S-Table'!E159,0),0)</f>
        <v>0</v>
      </c>
    </row>
    <row r="160" spans="6:11" x14ac:dyDescent="0.2">
      <c r="F160" s="14">
        <f>IF(G160=0,IF(G159=0,F159,F159+1),IF(G159=0,MAX(F$1:F159),MAX(F$1:F159)+1))</f>
        <v>5</v>
      </c>
      <c r="G160" s="14">
        <f>IF(('S-Table'!$B160-$C$2)*('S-Table'!$B160-$D$2)=0,IF(('S-Table'!$C160-$C$3)*('S-Table'!$C160-$D$3)=0,'S-Table'!A160,0),0)</f>
        <v>0</v>
      </c>
      <c r="H160" s="14">
        <f>IF(('S-Table'!$B160-$C$2)*('S-Table'!$B160-$D$2)=0,IF(('S-Table'!$C160-$C$3)*('S-Table'!$C160-$D$3)=0,'S-Table'!B160,0),0)</f>
        <v>0</v>
      </c>
      <c r="I160" s="14">
        <f>IF(('S-Table'!$B160-$C$2)*('S-Table'!$B160-$D$2)=0,IF(('S-Table'!$C160-$C$3)*('S-Table'!$C160-$D$3)=0,'S-Table'!C160,0),0)</f>
        <v>0</v>
      </c>
      <c r="J160" s="14">
        <f>IF(('S-Table'!$B160-$C$2)*('S-Table'!$B160-$D$2)=0,IF(('S-Table'!$C160-$C$3)*('S-Table'!$C160-$D$3)=0,'S-Table'!D160,0),0)</f>
        <v>0</v>
      </c>
      <c r="K160" s="14">
        <f>IF(('S-Table'!$B160-$C$2)*('S-Table'!$B160-$D$2)=0,IF(('S-Table'!$C160-$C$3)*('S-Table'!$C160-$D$3)=0,'S-Table'!E160,0),0)</f>
        <v>0</v>
      </c>
    </row>
    <row r="161" spans="6:11" x14ac:dyDescent="0.2">
      <c r="F161" s="14">
        <f>IF(G161=0,IF(G160=0,F160,F160+1),IF(G160=0,MAX(F$1:F160),MAX(F$1:F160)+1))</f>
        <v>5</v>
      </c>
      <c r="G161" s="14">
        <f>IF(('S-Table'!$B161-$C$2)*('S-Table'!$B161-$D$2)=0,IF(('S-Table'!$C161-$C$3)*('S-Table'!$C161-$D$3)=0,'S-Table'!A161,0),0)</f>
        <v>0</v>
      </c>
      <c r="H161" s="14">
        <f>IF(('S-Table'!$B161-$C$2)*('S-Table'!$B161-$D$2)=0,IF(('S-Table'!$C161-$C$3)*('S-Table'!$C161-$D$3)=0,'S-Table'!B161,0),0)</f>
        <v>0</v>
      </c>
      <c r="I161" s="14">
        <f>IF(('S-Table'!$B161-$C$2)*('S-Table'!$B161-$D$2)=0,IF(('S-Table'!$C161-$C$3)*('S-Table'!$C161-$D$3)=0,'S-Table'!C161,0),0)</f>
        <v>0</v>
      </c>
      <c r="J161" s="14">
        <f>IF(('S-Table'!$B161-$C$2)*('S-Table'!$B161-$D$2)=0,IF(('S-Table'!$C161-$C$3)*('S-Table'!$C161-$D$3)=0,'S-Table'!D161,0),0)</f>
        <v>0</v>
      </c>
      <c r="K161" s="14">
        <f>IF(('S-Table'!$B161-$C$2)*('S-Table'!$B161-$D$2)=0,IF(('S-Table'!$C161-$C$3)*('S-Table'!$C161-$D$3)=0,'S-Table'!E161,0),0)</f>
        <v>0</v>
      </c>
    </row>
    <row r="162" spans="6:11" x14ac:dyDescent="0.2">
      <c r="F162" s="14">
        <f>IF(G162=0,IF(G161=0,F161,F161+1),IF(G161=0,MAX(F$1:F161),MAX(F$1:F161)+1))</f>
        <v>5</v>
      </c>
      <c r="G162" s="14">
        <f>IF(('S-Table'!$B162-$C$2)*('S-Table'!$B162-$D$2)=0,IF(('S-Table'!$C162-$C$3)*('S-Table'!$C162-$D$3)=0,'S-Table'!A162,0),0)</f>
        <v>0</v>
      </c>
      <c r="H162" s="14">
        <f>IF(('S-Table'!$B162-$C$2)*('S-Table'!$B162-$D$2)=0,IF(('S-Table'!$C162-$C$3)*('S-Table'!$C162-$D$3)=0,'S-Table'!B162,0),0)</f>
        <v>0</v>
      </c>
      <c r="I162" s="14">
        <f>IF(('S-Table'!$B162-$C$2)*('S-Table'!$B162-$D$2)=0,IF(('S-Table'!$C162-$C$3)*('S-Table'!$C162-$D$3)=0,'S-Table'!C162,0),0)</f>
        <v>0</v>
      </c>
      <c r="J162" s="14">
        <f>IF(('S-Table'!$B162-$C$2)*('S-Table'!$B162-$D$2)=0,IF(('S-Table'!$C162-$C$3)*('S-Table'!$C162-$D$3)=0,'S-Table'!D162,0),0)</f>
        <v>0</v>
      </c>
      <c r="K162" s="14">
        <f>IF(('S-Table'!$B162-$C$2)*('S-Table'!$B162-$D$2)=0,IF(('S-Table'!$C162-$C$3)*('S-Table'!$C162-$D$3)=0,'S-Table'!E162,0),0)</f>
        <v>0</v>
      </c>
    </row>
    <row r="163" spans="6:11" x14ac:dyDescent="0.2">
      <c r="F163" s="14">
        <f>IF(G163=0,IF(G162=0,F162,F162+1),IF(G162=0,MAX(F$1:F162),MAX(F$1:F162)+1))</f>
        <v>5</v>
      </c>
      <c r="G163" s="14">
        <f>IF(('S-Table'!$B163-$C$2)*('S-Table'!$B163-$D$2)=0,IF(('S-Table'!$C163-$C$3)*('S-Table'!$C163-$D$3)=0,'S-Table'!A163,0),0)</f>
        <v>0</v>
      </c>
      <c r="H163" s="14">
        <f>IF(('S-Table'!$B163-$C$2)*('S-Table'!$B163-$D$2)=0,IF(('S-Table'!$C163-$C$3)*('S-Table'!$C163-$D$3)=0,'S-Table'!B163,0),0)</f>
        <v>0</v>
      </c>
      <c r="I163" s="14">
        <f>IF(('S-Table'!$B163-$C$2)*('S-Table'!$B163-$D$2)=0,IF(('S-Table'!$C163-$C$3)*('S-Table'!$C163-$D$3)=0,'S-Table'!C163,0),0)</f>
        <v>0</v>
      </c>
      <c r="J163" s="14">
        <f>IF(('S-Table'!$B163-$C$2)*('S-Table'!$B163-$D$2)=0,IF(('S-Table'!$C163-$C$3)*('S-Table'!$C163-$D$3)=0,'S-Table'!D163,0),0)</f>
        <v>0</v>
      </c>
      <c r="K163" s="14">
        <f>IF(('S-Table'!$B163-$C$2)*('S-Table'!$B163-$D$2)=0,IF(('S-Table'!$C163-$C$3)*('S-Table'!$C163-$D$3)=0,'S-Table'!E163,0),0)</f>
        <v>0</v>
      </c>
    </row>
    <row r="164" spans="6:11" x14ac:dyDescent="0.2">
      <c r="F164" s="14">
        <f>IF(G164=0,IF(G163=0,F163,F163+1),IF(G163=0,MAX(F$1:F163),MAX(F$1:F163)+1))</f>
        <v>5</v>
      </c>
      <c r="G164" s="14">
        <f>IF(('S-Table'!$B164-$C$2)*('S-Table'!$B164-$D$2)=0,IF(('S-Table'!$C164-$C$3)*('S-Table'!$C164-$D$3)=0,'S-Table'!A164,0),0)</f>
        <v>0</v>
      </c>
      <c r="H164" s="14">
        <f>IF(('S-Table'!$B164-$C$2)*('S-Table'!$B164-$D$2)=0,IF(('S-Table'!$C164-$C$3)*('S-Table'!$C164-$D$3)=0,'S-Table'!B164,0),0)</f>
        <v>0</v>
      </c>
      <c r="I164" s="14">
        <f>IF(('S-Table'!$B164-$C$2)*('S-Table'!$B164-$D$2)=0,IF(('S-Table'!$C164-$C$3)*('S-Table'!$C164-$D$3)=0,'S-Table'!C164,0),0)</f>
        <v>0</v>
      </c>
      <c r="J164" s="14">
        <f>IF(('S-Table'!$B164-$C$2)*('S-Table'!$B164-$D$2)=0,IF(('S-Table'!$C164-$C$3)*('S-Table'!$C164-$D$3)=0,'S-Table'!D164,0),0)</f>
        <v>0</v>
      </c>
      <c r="K164" s="14">
        <f>IF(('S-Table'!$B164-$C$2)*('S-Table'!$B164-$D$2)=0,IF(('S-Table'!$C164-$C$3)*('S-Table'!$C164-$D$3)=0,'S-Table'!E164,0),0)</f>
        <v>0</v>
      </c>
    </row>
    <row r="165" spans="6:11" x14ac:dyDescent="0.2">
      <c r="F165" s="14">
        <f>IF(G165=0,IF(G164=0,F164,F164+1),IF(G164=0,MAX(F$1:F164),MAX(F$1:F164)+1))</f>
        <v>5</v>
      </c>
      <c r="G165" s="14">
        <f>IF(('S-Table'!$B165-$C$2)*('S-Table'!$B165-$D$2)=0,IF(('S-Table'!$C165-$C$3)*('S-Table'!$C165-$D$3)=0,'S-Table'!A165,0),0)</f>
        <v>0</v>
      </c>
      <c r="H165" s="14">
        <f>IF(('S-Table'!$B165-$C$2)*('S-Table'!$B165-$D$2)=0,IF(('S-Table'!$C165-$C$3)*('S-Table'!$C165-$D$3)=0,'S-Table'!B165,0),0)</f>
        <v>0</v>
      </c>
      <c r="I165" s="14">
        <f>IF(('S-Table'!$B165-$C$2)*('S-Table'!$B165-$D$2)=0,IF(('S-Table'!$C165-$C$3)*('S-Table'!$C165-$D$3)=0,'S-Table'!C165,0),0)</f>
        <v>0</v>
      </c>
      <c r="J165" s="14">
        <f>IF(('S-Table'!$B165-$C$2)*('S-Table'!$B165-$D$2)=0,IF(('S-Table'!$C165-$C$3)*('S-Table'!$C165-$D$3)=0,'S-Table'!D165,0),0)</f>
        <v>0</v>
      </c>
      <c r="K165" s="14">
        <f>IF(('S-Table'!$B165-$C$2)*('S-Table'!$B165-$D$2)=0,IF(('S-Table'!$C165-$C$3)*('S-Table'!$C165-$D$3)=0,'S-Table'!E165,0),0)</f>
        <v>0</v>
      </c>
    </row>
    <row r="166" spans="6:11" x14ac:dyDescent="0.2">
      <c r="F166" s="14">
        <f>IF(G166=0,IF(G165=0,F165,F165+1),IF(G165=0,MAX(F$1:F165),MAX(F$1:F165)+1))</f>
        <v>5</v>
      </c>
      <c r="G166" s="14">
        <f>IF(('S-Table'!$B166-$C$2)*('S-Table'!$B166-$D$2)=0,IF(('S-Table'!$C166-$C$3)*('S-Table'!$C166-$D$3)=0,'S-Table'!A166,0),0)</f>
        <v>0</v>
      </c>
      <c r="H166" s="14">
        <f>IF(('S-Table'!$B166-$C$2)*('S-Table'!$B166-$D$2)=0,IF(('S-Table'!$C166-$C$3)*('S-Table'!$C166-$D$3)=0,'S-Table'!B166,0),0)</f>
        <v>0</v>
      </c>
      <c r="I166" s="14">
        <f>IF(('S-Table'!$B166-$C$2)*('S-Table'!$B166-$D$2)=0,IF(('S-Table'!$C166-$C$3)*('S-Table'!$C166-$D$3)=0,'S-Table'!C166,0),0)</f>
        <v>0</v>
      </c>
      <c r="J166" s="14">
        <f>IF(('S-Table'!$B166-$C$2)*('S-Table'!$B166-$D$2)=0,IF(('S-Table'!$C166-$C$3)*('S-Table'!$C166-$D$3)=0,'S-Table'!D166,0),0)</f>
        <v>0</v>
      </c>
      <c r="K166" s="14">
        <f>IF(('S-Table'!$B166-$C$2)*('S-Table'!$B166-$D$2)=0,IF(('S-Table'!$C166-$C$3)*('S-Table'!$C166-$D$3)=0,'S-Table'!E166,0),0)</f>
        <v>0</v>
      </c>
    </row>
    <row r="167" spans="6:11" x14ac:dyDescent="0.2">
      <c r="F167" s="14">
        <f>IF(G167=0,IF(G166=0,F166,F166+1),IF(G166=0,MAX(F$1:F166),MAX(F$1:F166)+1))</f>
        <v>5</v>
      </c>
      <c r="G167" s="14">
        <f>IF(('S-Table'!$B167-$C$2)*('S-Table'!$B167-$D$2)=0,IF(('S-Table'!$C167-$C$3)*('S-Table'!$C167-$D$3)=0,'S-Table'!A167,0),0)</f>
        <v>0</v>
      </c>
      <c r="H167" s="14">
        <f>IF(('S-Table'!$B167-$C$2)*('S-Table'!$B167-$D$2)=0,IF(('S-Table'!$C167-$C$3)*('S-Table'!$C167-$D$3)=0,'S-Table'!B167,0),0)</f>
        <v>0</v>
      </c>
      <c r="I167" s="14">
        <f>IF(('S-Table'!$B167-$C$2)*('S-Table'!$B167-$D$2)=0,IF(('S-Table'!$C167-$C$3)*('S-Table'!$C167-$D$3)=0,'S-Table'!C167,0),0)</f>
        <v>0</v>
      </c>
      <c r="J167" s="14">
        <f>IF(('S-Table'!$B167-$C$2)*('S-Table'!$B167-$D$2)=0,IF(('S-Table'!$C167-$C$3)*('S-Table'!$C167-$D$3)=0,'S-Table'!D167,0),0)</f>
        <v>0</v>
      </c>
      <c r="K167" s="14">
        <f>IF(('S-Table'!$B167-$C$2)*('S-Table'!$B167-$D$2)=0,IF(('S-Table'!$C167-$C$3)*('S-Table'!$C167-$D$3)=0,'S-Table'!E167,0),0)</f>
        <v>0</v>
      </c>
    </row>
    <row r="168" spans="6:11" x14ac:dyDescent="0.2">
      <c r="F168" s="14">
        <f>IF(G168=0,IF(G167=0,F167,F167+1),IF(G167=0,MAX(F$1:F167),MAX(F$1:F167)+1))</f>
        <v>5</v>
      </c>
      <c r="G168" s="14">
        <f>IF(('S-Table'!$B168-$C$2)*('S-Table'!$B168-$D$2)=0,IF(('S-Table'!$C168-$C$3)*('S-Table'!$C168-$D$3)=0,'S-Table'!A168,0),0)</f>
        <v>0</v>
      </c>
      <c r="H168" s="14">
        <f>IF(('S-Table'!$B168-$C$2)*('S-Table'!$B168-$D$2)=0,IF(('S-Table'!$C168-$C$3)*('S-Table'!$C168-$D$3)=0,'S-Table'!B168,0),0)</f>
        <v>0</v>
      </c>
      <c r="I168" s="14">
        <f>IF(('S-Table'!$B168-$C$2)*('S-Table'!$B168-$D$2)=0,IF(('S-Table'!$C168-$C$3)*('S-Table'!$C168-$D$3)=0,'S-Table'!C168,0),0)</f>
        <v>0</v>
      </c>
      <c r="J168" s="14">
        <f>IF(('S-Table'!$B168-$C$2)*('S-Table'!$B168-$D$2)=0,IF(('S-Table'!$C168-$C$3)*('S-Table'!$C168-$D$3)=0,'S-Table'!D168,0),0)</f>
        <v>0</v>
      </c>
      <c r="K168" s="14">
        <f>IF(('S-Table'!$B168-$C$2)*('S-Table'!$B168-$D$2)=0,IF(('S-Table'!$C168-$C$3)*('S-Table'!$C168-$D$3)=0,'S-Table'!E168,0),0)</f>
        <v>0</v>
      </c>
    </row>
    <row r="169" spans="6:11" x14ac:dyDescent="0.2">
      <c r="F169" s="14">
        <f>IF(G169=0,IF(G168=0,F168,F168+1),IF(G168=0,MAX(F$1:F168),MAX(F$1:F168)+1))</f>
        <v>5</v>
      </c>
      <c r="G169" s="14">
        <f>IF(('S-Table'!$B169-$C$2)*('S-Table'!$B169-$D$2)=0,IF(('S-Table'!$C169-$C$3)*('S-Table'!$C169-$D$3)=0,'S-Table'!A169,0),0)</f>
        <v>0</v>
      </c>
      <c r="H169" s="14">
        <f>IF(('S-Table'!$B169-$C$2)*('S-Table'!$B169-$D$2)=0,IF(('S-Table'!$C169-$C$3)*('S-Table'!$C169-$D$3)=0,'S-Table'!B169,0),0)</f>
        <v>0</v>
      </c>
      <c r="I169" s="14">
        <f>IF(('S-Table'!$B169-$C$2)*('S-Table'!$B169-$D$2)=0,IF(('S-Table'!$C169-$C$3)*('S-Table'!$C169-$D$3)=0,'S-Table'!C169,0),0)</f>
        <v>0</v>
      </c>
      <c r="J169" s="14">
        <f>IF(('S-Table'!$B169-$C$2)*('S-Table'!$B169-$D$2)=0,IF(('S-Table'!$C169-$C$3)*('S-Table'!$C169-$D$3)=0,'S-Table'!D169,0),0)</f>
        <v>0</v>
      </c>
      <c r="K169" s="14">
        <f>IF(('S-Table'!$B169-$C$2)*('S-Table'!$B169-$D$2)=0,IF(('S-Table'!$C169-$C$3)*('S-Table'!$C169-$D$3)=0,'S-Table'!E169,0),0)</f>
        <v>0</v>
      </c>
    </row>
    <row r="170" spans="6:11" x14ac:dyDescent="0.2">
      <c r="F170" s="14">
        <f>IF(G170=0,IF(G169=0,F169,F169+1),IF(G169=0,MAX(F$1:F169),MAX(F$1:F169)+1))</f>
        <v>5</v>
      </c>
      <c r="G170" s="14">
        <f>IF(('S-Table'!$B170-$C$2)*('S-Table'!$B170-$D$2)=0,IF(('S-Table'!$C170-$C$3)*('S-Table'!$C170-$D$3)=0,'S-Table'!A170,0),0)</f>
        <v>-25</v>
      </c>
      <c r="H170" s="14">
        <f>IF(('S-Table'!$B170-$C$2)*('S-Table'!$B170-$D$2)=0,IF(('S-Table'!$C170-$C$3)*('S-Table'!$C170-$D$3)=0,'S-Table'!B170,0),0)</f>
        <v>6</v>
      </c>
      <c r="I170" s="14">
        <f>IF(('S-Table'!$B170-$C$2)*('S-Table'!$B170-$D$2)=0,IF(('S-Table'!$C170-$C$3)*('S-Table'!$C170-$D$3)=0,'S-Table'!C170,0),0)</f>
        <v>50</v>
      </c>
      <c r="J170" s="14">
        <f>IF(('S-Table'!$B170-$C$2)*('S-Table'!$B170-$D$2)=0,IF(('S-Table'!$C170-$C$3)*('S-Table'!$C170-$D$3)=0,'S-Table'!D170,0),0)</f>
        <v>444.63</v>
      </c>
      <c r="K170" s="14">
        <f>IF(('S-Table'!$B170-$C$2)*('S-Table'!$B170-$D$2)=0,IF(('S-Table'!$C170-$C$3)*('S-Table'!$C170-$D$3)=0,'S-Table'!E170,0),0)</f>
        <v>145.69999999999999</v>
      </c>
    </row>
    <row r="171" spans="6:11" x14ac:dyDescent="0.2">
      <c r="F171" s="14">
        <f>IF(G171=0,IF(G170=0,F170,F170+1),IF(G170=0,MAX(F$1:F170),MAX(F$1:F170)+1))</f>
        <v>6</v>
      </c>
      <c r="G171" s="14">
        <f>IF(('S-Table'!$B171-$C$2)*('S-Table'!$B171-$D$2)=0,IF(('S-Table'!$C171-$C$3)*('S-Table'!$C171-$D$3)=0,'S-Table'!A171,0),0)</f>
        <v>-25</v>
      </c>
      <c r="H171" s="14">
        <f>IF(('S-Table'!$B171-$C$2)*('S-Table'!$B171-$D$2)=0,IF(('S-Table'!$C171-$C$3)*('S-Table'!$C171-$D$3)=0,'S-Table'!B171,0),0)</f>
        <v>6</v>
      </c>
      <c r="I171" s="14">
        <f>IF(('S-Table'!$B171-$C$2)*('S-Table'!$B171-$D$2)=0,IF(('S-Table'!$C171-$C$3)*('S-Table'!$C171-$D$3)=0,'S-Table'!C171,0),0)</f>
        <v>100</v>
      </c>
      <c r="J171" s="14">
        <f>IF(('S-Table'!$B171-$C$2)*('S-Table'!$B171-$D$2)=0,IF(('S-Table'!$C171-$C$3)*('S-Table'!$C171-$D$3)=0,'S-Table'!D171,0),0)</f>
        <v>424.33</v>
      </c>
      <c r="K171" s="14">
        <f>IF(('S-Table'!$B171-$C$2)*('S-Table'!$B171-$D$2)=0,IF(('S-Table'!$C171-$C$3)*('S-Table'!$C171-$D$3)=0,'S-Table'!E171,0),0)</f>
        <v>145.78</v>
      </c>
    </row>
    <row r="172" spans="6:11" x14ac:dyDescent="0.2">
      <c r="F172" s="14">
        <f>IF(G172=0,IF(G171=0,F171,F171+1),IF(G171=0,MAX(F$1:F171),MAX(F$1:F171)+1))</f>
        <v>7</v>
      </c>
      <c r="G172" s="14">
        <f>IF(('S-Table'!$B172-$C$2)*('S-Table'!$B172-$D$2)=0,IF(('S-Table'!$C172-$C$3)*('S-Table'!$C172-$D$3)=0,'S-Table'!A172,0),0)</f>
        <v>0</v>
      </c>
      <c r="H172" s="14">
        <f>IF(('S-Table'!$B172-$C$2)*('S-Table'!$B172-$D$2)=0,IF(('S-Table'!$C172-$C$3)*('S-Table'!$C172-$D$3)=0,'S-Table'!B172,0),0)</f>
        <v>0</v>
      </c>
      <c r="I172" s="14">
        <f>IF(('S-Table'!$B172-$C$2)*('S-Table'!$B172-$D$2)=0,IF(('S-Table'!$C172-$C$3)*('S-Table'!$C172-$D$3)=0,'S-Table'!C172,0),0)</f>
        <v>0</v>
      </c>
      <c r="J172" s="14">
        <f>IF(('S-Table'!$B172-$C$2)*('S-Table'!$B172-$D$2)=0,IF(('S-Table'!$C172-$C$3)*('S-Table'!$C172-$D$3)=0,'S-Table'!D172,0),0)</f>
        <v>0</v>
      </c>
      <c r="K172" s="14">
        <f>IF(('S-Table'!$B172-$C$2)*('S-Table'!$B172-$D$2)=0,IF(('S-Table'!$C172-$C$3)*('S-Table'!$C172-$D$3)=0,'S-Table'!E172,0),0)</f>
        <v>0</v>
      </c>
    </row>
    <row r="173" spans="6:11" x14ac:dyDescent="0.2">
      <c r="F173" s="14">
        <f>IF(G173=0,IF(G172=0,F172,F172+1),IF(G172=0,MAX(F$1:F172),MAX(F$1:F172)+1))</f>
        <v>7</v>
      </c>
      <c r="G173" s="14">
        <f>IF(('S-Table'!$B173-$C$2)*('S-Table'!$B173-$D$2)=0,IF(('S-Table'!$C173-$C$3)*('S-Table'!$C173-$D$3)=0,'S-Table'!A173,0),0)</f>
        <v>0</v>
      </c>
      <c r="H173" s="14">
        <f>IF(('S-Table'!$B173-$C$2)*('S-Table'!$B173-$D$2)=0,IF(('S-Table'!$C173-$C$3)*('S-Table'!$C173-$D$3)=0,'S-Table'!B173,0),0)</f>
        <v>0</v>
      </c>
      <c r="I173" s="14">
        <f>IF(('S-Table'!$B173-$C$2)*('S-Table'!$B173-$D$2)=0,IF(('S-Table'!$C173-$C$3)*('S-Table'!$C173-$D$3)=0,'S-Table'!C173,0),0)</f>
        <v>0</v>
      </c>
      <c r="J173" s="14">
        <f>IF(('S-Table'!$B173-$C$2)*('S-Table'!$B173-$D$2)=0,IF(('S-Table'!$C173-$C$3)*('S-Table'!$C173-$D$3)=0,'S-Table'!D173,0),0)</f>
        <v>0</v>
      </c>
      <c r="K173" s="14">
        <f>IF(('S-Table'!$B173-$C$2)*('S-Table'!$B173-$D$2)=0,IF(('S-Table'!$C173-$C$3)*('S-Table'!$C173-$D$3)=0,'S-Table'!E173,0),0)</f>
        <v>0</v>
      </c>
    </row>
    <row r="174" spans="6:11" x14ac:dyDescent="0.2">
      <c r="F174" s="14">
        <f>IF(G174=0,IF(G173=0,F173,F173+1),IF(G173=0,MAX(F$1:F173),MAX(F$1:F173)+1))</f>
        <v>7</v>
      </c>
      <c r="G174" s="14">
        <f>IF(('S-Table'!$B174-$C$2)*('S-Table'!$B174-$D$2)=0,IF(('S-Table'!$C174-$C$3)*('S-Table'!$C174-$D$3)=0,'S-Table'!A174,0),0)</f>
        <v>0</v>
      </c>
      <c r="H174" s="14">
        <f>IF(('S-Table'!$B174-$C$2)*('S-Table'!$B174-$D$2)=0,IF(('S-Table'!$C174-$C$3)*('S-Table'!$C174-$D$3)=0,'S-Table'!B174,0),0)</f>
        <v>0</v>
      </c>
      <c r="I174" s="14">
        <f>IF(('S-Table'!$B174-$C$2)*('S-Table'!$B174-$D$2)=0,IF(('S-Table'!$C174-$C$3)*('S-Table'!$C174-$D$3)=0,'S-Table'!C174,0),0)</f>
        <v>0</v>
      </c>
      <c r="J174" s="14">
        <f>IF(('S-Table'!$B174-$C$2)*('S-Table'!$B174-$D$2)=0,IF(('S-Table'!$C174-$C$3)*('S-Table'!$C174-$D$3)=0,'S-Table'!D174,0),0)</f>
        <v>0</v>
      </c>
      <c r="K174" s="14">
        <f>IF(('S-Table'!$B174-$C$2)*('S-Table'!$B174-$D$2)=0,IF(('S-Table'!$C174-$C$3)*('S-Table'!$C174-$D$3)=0,'S-Table'!E174,0),0)</f>
        <v>0</v>
      </c>
    </row>
    <row r="175" spans="6:11" x14ac:dyDescent="0.2">
      <c r="F175" s="14">
        <f>IF(G175=0,IF(G174=0,F174,F174+1),IF(G174=0,MAX(F$1:F174),MAX(F$1:F174)+1))</f>
        <v>7</v>
      </c>
      <c r="G175" s="14">
        <f>IF(('S-Table'!$B175-$C$2)*('S-Table'!$B175-$D$2)=0,IF(('S-Table'!$C175-$C$3)*('S-Table'!$C175-$D$3)=0,'S-Table'!A175,0),0)</f>
        <v>0</v>
      </c>
      <c r="H175" s="14">
        <f>IF(('S-Table'!$B175-$C$2)*('S-Table'!$B175-$D$2)=0,IF(('S-Table'!$C175-$C$3)*('S-Table'!$C175-$D$3)=0,'S-Table'!B175,0),0)</f>
        <v>0</v>
      </c>
      <c r="I175" s="14">
        <f>IF(('S-Table'!$B175-$C$2)*('S-Table'!$B175-$D$2)=0,IF(('S-Table'!$C175-$C$3)*('S-Table'!$C175-$D$3)=0,'S-Table'!C175,0),0)</f>
        <v>0</v>
      </c>
      <c r="J175" s="14">
        <f>IF(('S-Table'!$B175-$C$2)*('S-Table'!$B175-$D$2)=0,IF(('S-Table'!$C175-$C$3)*('S-Table'!$C175-$D$3)=0,'S-Table'!D175,0),0)</f>
        <v>0</v>
      </c>
      <c r="K175" s="14">
        <f>IF(('S-Table'!$B175-$C$2)*('S-Table'!$B175-$D$2)=0,IF(('S-Table'!$C175-$C$3)*('S-Table'!$C175-$D$3)=0,'S-Table'!E175,0),0)</f>
        <v>0</v>
      </c>
    </row>
    <row r="176" spans="6:11" x14ac:dyDescent="0.2">
      <c r="F176" s="14">
        <f>IF(G176=0,IF(G175=0,F175,F175+1),IF(G175=0,MAX(F$1:F175),MAX(F$1:F175)+1))</f>
        <v>7</v>
      </c>
      <c r="G176" s="14">
        <f>IF(('S-Table'!$B176-$C$2)*('S-Table'!$B176-$D$2)=0,IF(('S-Table'!$C176-$C$3)*('S-Table'!$C176-$D$3)=0,'S-Table'!A176,0),0)</f>
        <v>0</v>
      </c>
      <c r="H176" s="14">
        <f>IF(('S-Table'!$B176-$C$2)*('S-Table'!$B176-$D$2)=0,IF(('S-Table'!$C176-$C$3)*('S-Table'!$C176-$D$3)=0,'S-Table'!B176,0),0)</f>
        <v>0</v>
      </c>
      <c r="I176" s="14">
        <f>IF(('S-Table'!$B176-$C$2)*('S-Table'!$B176-$D$2)=0,IF(('S-Table'!$C176-$C$3)*('S-Table'!$C176-$D$3)=0,'S-Table'!C176,0),0)</f>
        <v>0</v>
      </c>
      <c r="J176" s="14">
        <f>IF(('S-Table'!$B176-$C$2)*('S-Table'!$B176-$D$2)=0,IF(('S-Table'!$C176-$C$3)*('S-Table'!$C176-$D$3)=0,'S-Table'!D176,0),0)</f>
        <v>0</v>
      </c>
      <c r="K176" s="14">
        <f>IF(('S-Table'!$B176-$C$2)*('S-Table'!$B176-$D$2)=0,IF(('S-Table'!$C176-$C$3)*('S-Table'!$C176-$D$3)=0,'S-Table'!E176,0),0)</f>
        <v>0</v>
      </c>
    </row>
    <row r="177" spans="6:11" x14ac:dyDescent="0.2">
      <c r="F177" s="14">
        <f>IF(G177=0,IF(G176=0,F176,F176+1),IF(G176=0,MAX(F$1:F176),MAX(F$1:F176)+1))</f>
        <v>7</v>
      </c>
      <c r="G177" s="14">
        <f>IF(('S-Table'!$B177-$C$2)*('S-Table'!$B177-$D$2)=0,IF(('S-Table'!$C177-$C$3)*('S-Table'!$C177-$D$3)=0,'S-Table'!A177,0),0)</f>
        <v>0</v>
      </c>
      <c r="H177" s="14">
        <f>IF(('S-Table'!$B177-$C$2)*('S-Table'!$B177-$D$2)=0,IF(('S-Table'!$C177-$C$3)*('S-Table'!$C177-$D$3)=0,'S-Table'!B177,0),0)</f>
        <v>0</v>
      </c>
      <c r="I177" s="14">
        <f>IF(('S-Table'!$B177-$C$2)*('S-Table'!$B177-$D$2)=0,IF(('S-Table'!$C177-$C$3)*('S-Table'!$C177-$D$3)=0,'S-Table'!C177,0),0)</f>
        <v>0</v>
      </c>
      <c r="J177" s="14">
        <f>IF(('S-Table'!$B177-$C$2)*('S-Table'!$B177-$D$2)=0,IF(('S-Table'!$C177-$C$3)*('S-Table'!$C177-$D$3)=0,'S-Table'!D177,0),0)</f>
        <v>0</v>
      </c>
      <c r="K177" s="14">
        <f>IF(('S-Table'!$B177-$C$2)*('S-Table'!$B177-$D$2)=0,IF(('S-Table'!$C177-$C$3)*('S-Table'!$C177-$D$3)=0,'S-Table'!E177,0),0)</f>
        <v>0</v>
      </c>
    </row>
    <row r="178" spans="6:11" x14ac:dyDescent="0.2">
      <c r="F178" s="14">
        <f>IF(G178=0,IF(G177=0,F177,F177+1),IF(G177=0,MAX(F$1:F177),MAX(F$1:F177)+1))</f>
        <v>7</v>
      </c>
      <c r="G178" s="14">
        <f>IF(('S-Table'!$B178-$C$2)*('S-Table'!$B178-$D$2)=0,IF(('S-Table'!$C178-$C$3)*('S-Table'!$C178-$D$3)=0,'S-Table'!A178,0),0)</f>
        <v>-25</v>
      </c>
      <c r="H178" s="14">
        <f>IF(('S-Table'!$B178-$C$2)*('S-Table'!$B178-$D$2)=0,IF(('S-Table'!$C178-$C$3)*('S-Table'!$C178-$D$3)=0,'S-Table'!B178,0),0)</f>
        <v>6.5</v>
      </c>
      <c r="I178" s="14">
        <f>IF(('S-Table'!$B178-$C$2)*('S-Table'!$B178-$D$2)=0,IF(('S-Table'!$C178-$C$3)*('S-Table'!$C178-$D$3)=0,'S-Table'!C178,0),0)</f>
        <v>50</v>
      </c>
      <c r="J178" s="14">
        <f>IF(('S-Table'!$B178-$C$2)*('S-Table'!$B178-$D$2)=0,IF(('S-Table'!$C178-$C$3)*('S-Table'!$C178-$D$3)=0,'S-Table'!D178,0),0)</f>
        <v>420.54</v>
      </c>
      <c r="K178" s="14">
        <f>IF(('S-Table'!$B178-$C$2)*('S-Table'!$B178-$D$2)=0,IF(('S-Table'!$C178-$C$3)*('S-Table'!$C178-$D$3)=0,'S-Table'!E178,0),0)</f>
        <v>145.76</v>
      </c>
    </row>
    <row r="179" spans="6:11" x14ac:dyDescent="0.2">
      <c r="F179" s="14">
        <f>IF(G179=0,IF(G178=0,F178,F178+1),IF(G178=0,MAX(F$1:F178),MAX(F$1:F178)+1))</f>
        <v>8</v>
      </c>
      <c r="G179" s="14">
        <f>IF(('S-Table'!$B179-$C$2)*('S-Table'!$B179-$D$2)=0,IF(('S-Table'!$C179-$C$3)*('S-Table'!$C179-$D$3)=0,'S-Table'!A179,0),0)</f>
        <v>-25</v>
      </c>
      <c r="H179" s="14">
        <f>IF(('S-Table'!$B179-$C$2)*('S-Table'!$B179-$D$2)=0,IF(('S-Table'!$C179-$C$3)*('S-Table'!$C179-$D$3)=0,'S-Table'!B179,0),0)</f>
        <v>6.5</v>
      </c>
      <c r="I179" s="14">
        <f>IF(('S-Table'!$B179-$C$2)*('S-Table'!$B179-$D$2)=0,IF(('S-Table'!$C179-$C$3)*('S-Table'!$C179-$D$3)=0,'S-Table'!C179,0),0)</f>
        <v>100</v>
      </c>
      <c r="J179" s="14">
        <f>IF(('S-Table'!$B179-$C$2)*('S-Table'!$B179-$D$2)=0,IF(('S-Table'!$C179-$C$3)*('S-Table'!$C179-$D$3)=0,'S-Table'!D179,0),0)</f>
        <v>400.19</v>
      </c>
      <c r="K179" s="14">
        <f>IF(('S-Table'!$B179-$C$2)*('S-Table'!$B179-$D$2)=0,IF(('S-Table'!$C179-$C$3)*('S-Table'!$C179-$D$3)=0,'S-Table'!E179,0),0)</f>
        <v>145.85</v>
      </c>
    </row>
    <row r="180" spans="6:11" x14ac:dyDescent="0.2">
      <c r="F180" s="14">
        <f>IF(G180=0,IF(G179=0,F179,F179+1),IF(G179=0,MAX(F$1:F179),MAX(F$1:F179)+1))</f>
        <v>9</v>
      </c>
      <c r="G180" s="14">
        <f>IF(('S-Table'!$B180-$C$2)*('S-Table'!$B180-$D$2)=0,IF(('S-Table'!$C180-$C$3)*('S-Table'!$C180-$D$3)=0,'S-Table'!A180,0),0)</f>
        <v>0</v>
      </c>
      <c r="H180" s="14">
        <f>IF(('S-Table'!$B180-$C$2)*('S-Table'!$B180-$D$2)=0,IF(('S-Table'!$C180-$C$3)*('S-Table'!$C180-$D$3)=0,'S-Table'!B180,0),0)</f>
        <v>0</v>
      </c>
      <c r="I180" s="14">
        <f>IF(('S-Table'!$B180-$C$2)*('S-Table'!$B180-$D$2)=0,IF(('S-Table'!$C180-$C$3)*('S-Table'!$C180-$D$3)=0,'S-Table'!C180,0),0)</f>
        <v>0</v>
      </c>
      <c r="J180" s="14">
        <f>IF(('S-Table'!$B180-$C$2)*('S-Table'!$B180-$D$2)=0,IF(('S-Table'!$C180-$C$3)*('S-Table'!$C180-$D$3)=0,'S-Table'!D180,0),0)</f>
        <v>0</v>
      </c>
      <c r="K180" s="14">
        <f>IF(('S-Table'!$B180-$C$2)*('S-Table'!$B180-$D$2)=0,IF(('S-Table'!$C180-$C$3)*('S-Table'!$C180-$D$3)=0,'S-Table'!E180,0),0)</f>
        <v>0</v>
      </c>
    </row>
    <row r="181" spans="6:11" x14ac:dyDescent="0.2">
      <c r="F181" s="14">
        <f>IF(G181=0,IF(G180=0,F180,F180+1),IF(G180=0,MAX(F$1:F180),MAX(F$1:F180)+1))</f>
        <v>9</v>
      </c>
      <c r="G181" s="14">
        <f>IF(('S-Table'!$B181-$C$2)*('S-Table'!$B181-$D$2)=0,IF(('S-Table'!$C181-$C$3)*('S-Table'!$C181-$D$3)=0,'S-Table'!A181,0),0)</f>
        <v>0</v>
      </c>
      <c r="H181" s="14">
        <f>IF(('S-Table'!$B181-$C$2)*('S-Table'!$B181-$D$2)=0,IF(('S-Table'!$C181-$C$3)*('S-Table'!$C181-$D$3)=0,'S-Table'!B181,0),0)</f>
        <v>0</v>
      </c>
      <c r="I181" s="14">
        <f>IF(('S-Table'!$B181-$C$2)*('S-Table'!$B181-$D$2)=0,IF(('S-Table'!$C181-$C$3)*('S-Table'!$C181-$D$3)=0,'S-Table'!C181,0),0)</f>
        <v>0</v>
      </c>
      <c r="J181" s="14">
        <f>IF(('S-Table'!$B181-$C$2)*('S-Table'!$B181-$D$2)=0,IF(('S-Table'!$C181-$C$3)*('S-Table'!$C181-$D$3)=0,'S-Table'!D181,0),0)</f>
        <v>0</v>
      </c>
      <c r="K181" s="14">
        <f>IF(('S-Table'!$B181-$C$2)*('S-Table'!$B181-$D$2)=0,IF(('S-Table'!$C181-$C$3)*('S-Table'!$C181-$D$3)=0,'S-Table'!E181,0),0)</f>
        <v>0</v>
      </c>
    </row>
    <row r="182" spans="6:11" x14ac:dyDescent="0.2">
      <c r="F182" s="14">
        <f>IF(G182=0,IF(G181=0,F181,F181+1),IF(G181=0,MAX(F$1:F181),MAX(F$1:F181)+1))</f>
        <v>9</v>
      </c>
      <c r="G182" s="14">
        <f>IF(('S-Table'!$B182-$C$2)*('S-Table'!$B182-$D$2)=0,IF(('S-Table'!$C182-$C$3)*('S-Table'!$C182-$D$3)=0,'S-Table'!A182,0),0)</f>
        <v>0</v>
      </c>
      <c r="H182" s="14">
        <f>IF(('S-Table'!$B182-$C$2)*('S-Table'!$B182-$D$2)=0,IF(('S-Table'!$C182-$C$3)*('S-Table'!$C182-$D$3)=0,'S-Table'!B182,0),0)</f>
        <v>0</v>
      </c>
      <c r="I182" s="14">
        <f>IF(('S-Table'!$B182-$C$2)*('S-Table'!$B182-$D$2)=0,IF(('S-Table'!$C182-$C$3)*('S-Table'!$C182-$D$3)=0,'S-Table'!C182,0),0)</f>
        <v>0</v>
      </c>
      <c r="J182" s="14">
        <f>IF(('S-Table'!$B182-$C$2)*('S-Table'!$B182-$D$2)=0,IF(('S-Table'!$C182-$C$3)*('S-Table'!$C182-$D$3)=0,'S-Table'!D182,0),0)</f>
        <v>0</v>
      </c>
      <c r="K182" s="14">
        <f>IF(('S-Table'!$B182-$C$2)*('S-Table'!$B182-$D$2)=0,IF(('S-Table'!$C182-$C$3)*('S-Table'!$C182-$D$3)=0,'S-Table'!E182,0),0)</f>
        <v>0</v>
      </c>
    </row>
    <row r="183" spans="6:11" x14ac:dyDescent="0.2">
      <c r="F183" s="14">
        <f>IF(G183=0,IF(G182=0,F182,F182+1),IF(G182=0,MAX(F$1:F182),MAX(F$1:F182)+1))</f>
        <v>9</v>
      </c>
      <c r="G183" s="14">
        <f>IF(('S-Table'!$B183-$C$2)*('S-Table'!$B183-$D$2)=0,IF(('S-Table'!$C183-$C$3)*('S-Table'!$C183-$D$3)=0,'S-Table'!A183,0),0)</f>
        <v>0</v>
      </c>
      <c r="H183" s="14">
        <f>IF(('S-Table'!$B183-$C$2)*('S-Table'!$B183-$D$2)=0,IF(('S-Table'!$C183-$C$3)*('S-Table'!$C183-$D$3)=0,'S-Table'!B183,0),0)</f>
        <v>0</v>
      </c>
      <c r="I183" s="14">
        <f>IF(('S-Table'!$B183-$C$2)*('S-Table'!$B183-$D$2)=0,IF(('S-Table'!$C183-$C$3)*('S-Table'!$C183-$D$3)=0,'S-Table'!C183,0),0)</f>
        <v>0</v>
      </c>
      <c r="J183" s="14">
        <f>IF(('S-Table'!$B183-$C$2)*('S-Table'!$B183-$D$2)=0,IF(('S-Table'!$C183-$C$3)*('S-Table'!$C183-$D$3)=0,'S-Table'!D183,0),0)</f>
        <v>0</v>
      </c>
      <c r="K183" s="14">
        <f>IF(('S-Table'!$B183-$C$2)*('S-Table'!$B183-$D$2)=0,IF(('S-Table'!$C183-$C$3)*('S-Table'!$C183-$D$3)=0,'S-Table'!E183,0),0)</f>
        <v>0</v>
      </c>
    </row>
    <row r="184" spans="6:11" x14ac:dyDescent="0.2">
      <c r="F184" s="14">
        <f>IF(G184=0,IF(G183=0,F183,F183+1),IF(G183=0,MAX(F$1:F183),MAX(F$1:F183)+1))</f>
        <v>9</v>
      </c>
      <c r="G184" s="14">
        <f>IF(('S-Table'!$B184-$C$2)*('S-Table'!$B184-$D$2)=0,IF(('S-Table'!$C184-$C$3)*('S-Table'!$C184-$D$3)=0,'S-Table'!A184,0),0)</f>
        <v>0</v>
      </c>
      <c r="H184" s="14">
        <f>IF(('S-Table'!$B184-$C$2)*('S-Table'!$B184-$D$2)=0,IF(('S-Table'!$C184-$C$3)*('S-Table'!$C184-$D$3)=0,'S-Table'!B184,0),0)</f>
        <v>0</v>
      </c>
      <c r="I184" s="14">
        <f>IF(('S-Table'!$B184-$C$2)*('S-Table'!$B184-$D$2)=0,IF(('S-Table'!$C184-$C$3)*('S-Table'!$C184-$D$3)=0,'S-Table'!C184,0),0)</f>
        <v>0</v>
      </c>
      <c r="J184" s="14">
        <f>IF(('S-Table'!$B184-$C$2)*('S-Table'!$B184-$D$2)=0,IF(('S-Table'!$C184-$C$3)*('S-Table'!$C184-$D$3)=0,'S-Table'!D184,0),0)</f>
        <v>0</v>
      </c>
      <c r="K184" s="14">
        <f>IF(('S-Table'!$B184-$C$2)*('S-Table'!$B184-$D$2)=0,IF(('S-Table'!$C184-$C$3)*('S-Table'!$C184-$D$3)=0,'S-Table'!E184,0),0)</f>
        <v>0</v>
      </c>
    </row>
    <row r="185" spans="6:11" x14ac:dyDescent="0.2">
      <c r="F185" s="14">
        <f>IF(G185=0,IF(G184=0,F184,F184+1),IF(G184=0,MAX(F$1:F184),MAX(F$1:F184)+1))</f>
        <v>9</v>
      </c>
      <c r="G185" s="14">
        <f>IF(('S-Table'!$B185-$C$2)*('S-Table'!$B185-$D$2)=0,IF(('S-Table'!$C185-$C$3)*('S-Table'!$C185-$D$3)=0,'S-Table'!A185,0),0)</f>
        <v>0</v>
      </c>
      <c r="H185" s="14">
        <f>IF(('S-Table'!$B185-$C$2)*('S-Table'!$B185-$D$2)=0,IF(('S-Table'!$C185-$C$3)*('S-Table'!$C185-$D$3)=0,'S-Table'!B185,0),0)</f>
        <v>0</v>
      </c>
      <c r="I185" s="14">
        <f>IF(('S-Table'!$B185-$C$2)*('S-Table'!$B185-$D$2)=0,IF(('S-Table'!$C185-$C$3)*('S-Table'!$C185-$D$3)=0,'S-Table'!C185,0),0)</f>
        <v>0</v>
      </c>
      <c r="J185" s="14">
        <f>IF(('S-Table'!$B185-$C$2)*('S-Table'!$B185-$D$2)=0,IF(('S-Table'!$C185-$C$3)*('S-Table'!$C185-$D$3)=0,'S-Table'!D185,0),0)</f>
        <v>0</v>
      </c>
      <c r="K185" s="14">
        <f>IF(('S-Table'!$B185-$C$2)*('S-Table'!$B185-$D$2)=0,IF(('S-Table'!$C185-$C$3)*('S-Table'!$C185-$D$3)=0,'S-Table'!E185,0),0)</f>
        <v>0</v>
      </c>
    </row>
    <row r="186" spans="6:11" x14ac:dyDescent="0.2">
      <c r="F186" s="14">
        <f>IF(G186=0,IF(G185=0,F185,F185+1),IF(G185=0,MAX(F$1:F185),MAX(F$1:F185)+1))</f>
        <v>9</v>
      </c>
      <c r="G186" s="14">
        <f>IF(('S-Table'!$B186-$C$2)*('S-Table'!$B186-$D$2)=0,IF(('S-Table'!$C186-$C$3)*('S-Table'!$C186-$D$3)=0,'S-Table'!A186,0),0)</f>
        <v>0</v>
      </c>
      <c r="H186" s="14">
        <f>IF(('S-Table'!$B186-$C$2)*('S-Table'!$B186-$D$2)=0,IF(('S-Table'!$C186-$C$3)*('S-Table'!$C186-$D$3)=0,'S-Table'!B186,0),0)</f>
        <v>0</v>
      </c>
      <c r="I186" s="14">
        <f>IF(('S-Table'!$B186-$C$2)*('S-Table'!$B186-$D$2)=0,IF(('S-Table'!$C186-$C$3)*('S-Table'!$C186-$D$3)=0,'S-Table'!C186,0),0)</f>
        <v>0</v>
      </c>
      <c r="J186" s="14">
        <f>IF(('S-Table'!$B186-$C$2)*('S-Table'!$B186-$D$2)=0,IF(('S-Table'!$C186-$C$3)*('S-Table'!$C186-$D$3)=0,'S-Table'!D186,0),0)</f>
        <v>0</v>
      </c>
      <c r="K186" s="14">
        <f>IF(('S-Table'!$B186-$C$2)*('S-Table'!$B186-$D$2)=0,IF(('S-Table'!$C186-$C$3)*('S-Table'!$C186-$D$3)=0,'S-Table'!E186,0),0)</f>
        <v>0</v>
      </c>
    </row>
    <row r="187" spans="6:11" x14ac:dyDescent="0.2">
      <c r="F187" s="14">
        <f>IF(G187=0,IF(G186=0,F186,F186+1),IF(G186=0,MAX(F$1:F186),MAX(F$1:F186)+1))</f>
        <v>9</v>
      </c>
      <c r="G187" s="14">
        <f>IF(('S-Table'!$B187-$C$2)*('S-Table'!$B187-$D$2)=0,IF(('S-Table'!$C187-$C$3)*('S-Table'!$C187-$D$3)=0,'S-Table'!A187,0),0)</f>
        <v>0</v>
      </c>
      <c r="H187" s="14">
        <f>IF(('S-Table'!$B187-$C$2)*('S-Table'!$B187-$D$2)=0,IF(('S-Table'!$C187-$C$3)*('S-Table'!$C187-$D$3)=0,'S-Table'!B187,0),0)</f>
        <v>0</v>
      </c>
      <c r="I187" s="14">
        <f>IF(('S-Table'!$B187-$C$2)*('S-Table'!$B187-$D$2)=0,IF(('S-Table'!$C187-$C$3)*('S-Table'!$C187-$D$3)=0,'S-Table'!C187,0),0)</f>
        <v>0</v>
      </c>
      <c r="J187" s="14">
        <f>IF(('S-Table'!$B187-$C$2)*('S-Table'!$B187-$D$2)=0,IF(('S-Table'!$C187-$C$3)*('S-Table'!$C187-$D$3)=0,'S-Table'!D187,0),0)</f>
        <v>0</v>
      </c>
      <c r="K187" s="14">
        <f>IF(('S-Table'!$B187-$C$2)*('S-Table'!$B187-$D$2)=0,IF(('S-Table'!$C187-$C$3)*('S-Table'!$C187-$D$3)=0,'S-Table'!E187,0),0)</f>
        <v>0</v>
      </c>
    </row>
    <row r="188" spans="6:11" x14ac:dyDescent="0.2">
      <c r="F188" s="14">
        <f>IF(G188=0,IF(G187=0,F187,F187+1),IF(G187=0,MAX(F$1:F187),MAX(F$1:F187)+1))</f>
        <v>9</v>
      </c>
      <c r="G188" s="14">
        <f>IF(('S-Table'!$B188-$C$2)*('S-Table'!$B188-$D$2)=0,IF(('S-Table'!$C188-$C$3)*('S-Table'!$C188-$D$3)=0,'S-Table'!A188,0),0)</f>
        <v>0</v>
      </c>
      <c r="H188" s="14">
        <f>IF(('S-Table'!$B188-$C$2)*('S-Table'!$B188-$D$2)=0,IF(('S-Table'!$C188-$C$3)*('S-Table'!$C188-$D$3)=0,'S-Table'!B188,0),0)</f>
        <v>0</v>
      </c>
      <c r="I188" s="14">
        <f>IF(('S-Table'!$B188-$C$2)*('S-Table'!$B188-$D$2)=0,IF(('S-Table'!$C188-$C$3)*('S-Table'!$C188-$D$3)=0,'S-Table'!C188,0),0)</f>
        <v>0</v>
      </c>
      <c r="J188" s="14">
        <f>IF(('S-Table'!$B188-$C$2)*('S-Table'!$B188-$D$2)=0,IF(('S-Table'!$C188-$C$3)*('S-Table'!$C188-$D$3)=0,'S-Table'!D188,0),0)</f>
        <v>0</v>
      </c>
      <c r="K188" s="14">
        <f>IF(('S-Table'!$B188-$C$2)*('S-Table'!$B188-$D$2)=0,IF(('S-Table'!$C188-$C$3)*('S-Table'!$C188-$D$3)=0,'S-Table'!E188,0),0)</f>
        <v>0</v>
      </c>
    </row>
    <row r="189" spans="6:11" x14ac:dyDescent="0.2">
      <c r="F189" s="14">
        <f>IF(G189=0,IF(G188=0,F188,F188+1),IF(G188=0,MAX(F$1:F188),MAX(F$1:F188)+1))</f>
        <v>9</v>
      </c>
      <c r="G189" s="14">
        <f>IF(('S-Table'!$B189-$C$2)*('S-Table'!$B189-$D$2)=0,IF(('S-Table'!$C189-$C$3)*('S-Table'!$C189-$D$3)=0,'S-Table'!A189,0),0)</f>
        <v>0</v>
      </c>
      <c r="H189" s="14">
        <f>IF(('S-Table'!$B189-$C$2)*('S-Table'!$B189-$D$2)=0,IF(('S-Table'!$C189-$C$3)*('S-Table'!$C189-$D$3)=0,'S-Table'!B189,0),0)</f>
        <v>0</v>
      </c>
      <c r="I189" s="14">
        <f>IF(('S-Table'!$B189-$C$2)*('S-Table'!$B189-$D$2)=0,IF(('S-Table'!$C189-$C$3)*('S-Table'!$C189-$D$3)=0,'S-Table'!C189,0),0)</f>
        <v>0</v>
      </c>
      <c r="J189" s="14">
        <f>IF(('S-Table'!$B189-$C$2)*('S-Table'!$B189-$D$2)=0,IF(('S-Table'!$C189-$C$3)*('S-Table'!$C189-$D$3)=0,'S-Table'!D189,0),0)</f>
        <v>0</v>
      </c>
      <c r="K189" s="14">
        <f>IF(('S-Table'!$B189-$C$2)*('S-Table'!$B189-$D$2)=0,IF(('S-Table'!$C189-$C$3)*('S-Table'!$C189-$D$3)=0,'S-Table'!E189,0),0)</f>
        <v>0</v>
      </c>
    </row>
    <row r="190" spans="6:11" x14ac:dyDescent="0.2">
      <c r="F190" s="14">
        <f>IF(G190=0,IF(G189=0,F189,F189+1),IF(G189=0,MAX(F$1:F189),MAX(F$1:F189)+1))</f>
        <v>9</v>
      </c>
      <c r="G190" s="14">
        <f>IF(('S-Table'!$B190-$C$2)*('S-Table'!$B190-$D$2)=0,IF(('S-Table'!$C190-$C$3)*('S-Table'!$C190-$D$3)=0,'S-Table'!A190,0),0)</f>
        <v>0</v>
      </c>
      <c r="H190" s="14">
        <f>IF(('S-Table'!$B190-$C$2)*('S-Table'!$B190-$D$2)=0,IF(('S-Table'!$C190-$C$3)*('S-Table'!$C190-$D$3)=0,'S-Table'!B190,0),0)</f>
        <v>0</v>
      </c>
      <c r="I190" s="14">
        <f>IF(('S-Table'!$B190-$C$2)*('S-Table'!$B190-$D$2)=0,IF(('S-Table'!$C190-$C$3)*('S-Table'!$C190-$D$3)=0,'S-Table'!C190,0),0)</f>
        <v>0</v>
      </c>
      <c r="J190" s="14">
        <f>IF(('S-Table'!$B190-$C$2)*('S-Table'!$B190-$D$2)=0,IF(('S-Table'!$C190-$C$3)*('S-Table'!$C190-$D$3)=0,'S-Table'!D190,0),0)</f>
        <v>0</v>
      </c>
      <c r="K190" s="14">
        <f>IF(('S-Table'!$B190-$C$2)*('S-Table'!$B190-$D$2)=0,IF(('S-Table'!$C190-$C$3)*('S-Table'!$C190-$D$3)=0,'S-Table'!E190,0),0)</f>
        <v>0</v>
      </c>
    </row>
    <row r="191" spans="6:11" x14ac:dyDescent="0.2">
      <c r="F191" s="14">
        <f>IF(G191=0,IF(G190=0,F190,F190+1),IF(G190=0,MAX(F$1:F190),MAX(F$1:F190)+1))</f>
        <v>9</v>
      </c>
      <c r="G191" s="14">
        <f>IF(('S-Table'!$B191-$C$2)*('S-Table'!$B191-$D$2)=0,IF(('S-Table'!$C191-$C$3)*('S-Table'!$C191-$D$3)=0,'S-Table'!A191,0),0)</f>
        <v>0</v>
      </c>
      <c r="H191" s="14">
        <f>IF(('S-Table'!$B191-$C$2)*('S-Table'!$B191-$D$2)=0,IF(('S-Table'!$C191-$C$3)*('S-Table'!$C191-$D$3)=0,'S-Table'!B191,0),0)</f>
        <v>0</v>
      </c>
      <c r="I191" s="14">
        <f>IF(('S-Table'!$B191-$C$2)*('S-Table'!$B191-$D$2)=0,IF(('S-Table'!$C191-$C$3)*('S-Table'!$C191-$D$3)=0,'S-Table'!C191,0),0)</f>
        <v>0</v>
      </c>
      <c r="J191" s="14">
        <f>IF(('S-Table'!$B191-$C$2)*('S-Table'!$B191-$D$2)=0,IF(('S-Table'!$C191-$C$3)*('S-Table'!$C191-$D$3)=0,'S-Table'!D191,0),0)</f>
        <v>0</v>
      </c>
      <c r="K191" s="14">
        <f>IF(('S-Table'!$B191-$C$2)*('S-Table'!$B191-$D$2)=0,IF(('S-Table'!$C191-$C$3)*('S-Table'!$C191-$D$3)=0,'S-Table'!E191,0),0)</f>
        <v>0</v>
      </c>
    </row>
    <row r="192" spans="6:11" x14ac:dyDescent="0.2">
      <c r="F192" s="14">
        <f>IF(G192=0,IF(G191=0,F191,F191+1),IF(G191=0,MAX(F$1:F191),MAX(F$1:F191)+1))</f>
        <v>9</v>
      </c>
      <c r="G192" s="14">
        <f>IF(('S-Table'!$B192-$C$2)*('S-Table'!$B192-$D$2)=0,IF(('S-Table'!$C192-$C$3)*('S-Table'!$C192-$D$3)=0,'S-Table'!A192,0),0)</f>
        <v>0</v>
      </c>
      <c r="H192" s="14">
        <f>IF(('S-Table'!$B192-$C$2)*('S-Table'!$B192-$D$2)=0,IF(('S-Table'!$C192-$C$3)*('S-Table'!$C192-$D$3)=0,'S-Table'!B192,0),0)</f>
        <v>0</v>
      </c>
      <c r="I192" s="14">
        <f>IF(('S-Table'!$B192-$C$2)*('S-Table'!$B192-$D$2)=0,IF(('S-Table'!$C192-$C$3)*('S-Table'!$C192-$D$3)=0,'S-Table'!C192,0),0)</f>
        <v>0</v>
      </c>
      <c r="J192" s="14">
        <f>IF(('S-Table'!$B192-$C$2)*('S-Table'!$B192-$D$2)=0,IF(('S-Table'!$C192-$C$3)*('S-Table'!$C192-$D$3)=0,'S-Table'!D192,0),0)</f>
        <v>0</v>
      </c>
      <c r="K192" s="14">
        <f>IF(('S-Table'!$B192-$C$2)*('S-Table'!$B192-$D$2)=0,IF(('S-Table'!$C192-$C$3)*('S-Table'!$C192-$D$3)=0,'S-Table'!E192,0),0)</f>
        <v>0</v>
      </c>
    </row>
    <row r="193" spans="6:11" x14ac:dyDescent="0.2">
      <c r="F193" s="14">
        <f>IF(G193=0,IF(G192=0,F192,F192+1),IF(G192=0,MAX(F$1:F192),MAX(F$1:F192)+1))</f>
        <v>9</v>
      </c>
      <c r="G193" s="14">
        <f>IF(('S-Table'!$B193-$C$2)*('S-Table'!$B193-$D$2)=0,IF(('S-Table'!$C193-$C$3)*('S-Table'!$C193-$D$3)=0,'S-Table'!A193,0),0)</f>
        <v>0</v>
      </c>
      <c r="H193" s="14">
        <f>IF(('S-Table'!$B193-$C$2)*('S-Table'!$B193-$D$2)=0,IF(('S-Table'!$C193-$C$3)*('S-Table'!$C193-$D$3)=0,'S-Table'!B193,0),0)</f>
        <v>0</v>
      </c>
      <c r="I193" s="14">
        <f>IF(('S-Table'!$B193-$C$2)*('S-Table'!$B193-$D$2)=0,IF(('S-Table'!$C193-$C$3)*('S-Table'!$C193-$D$3)=0,'S-Table'!C193,0),0)</f>
        <v>0</v>
      </c>
      <c r="J193" s="14">
        <f>IF(('S-Table'!$B193-$C$2)*('S-Table'!$B193-$D$2)=0,IF(('S-Table'!$C193-$C$3)*('S-Table'!$C193-$D$3)=0,'S-Table'!D193,0),0)</f>
        <v>0</v>
      </c>
      <c r="K193" s="14">
        <f>IF(('S-Table'!$B193-$C$2)*('S-Table'!$B193-$D$2)=0,IF(('S-Table'!$C193-$C$3)*('S-Table'!$C193-$D$3)=0,'S-Table'!E193,0),0)</f>
        <v>0</v>
      </c>
    </row>
    <row r="194" spans="6:11" x14ac:dyDescent="0.2">
      <c r="F194" s="14">
        <f>IF(G194=0,IF(G193=0,F193,F193+1),IF(G193=0,MAX(F$1:F193),MAX(F$1:F193)+1))</f>
        <v>9</v>
      </c>
      <c r="G194" s="14">
        <f>IF(('S-Table'!$B194-$C$2)*('S-Table'!$B194-$D$2)=0,IF(('S-Table'!$C194-$C$3)*('S-Table'!$C194-$D$3)=0,'S-Table'!A194,0),0)</f>
        <v>0</v>
      </c>
      <c r="H194" s="14">
        <f>IF(('S-Table'!$B194-$C$2)*('S-Table'!$B194-$D$2)=0,IF(('S-Table'!$C194-$C$3)*('S-Table'!$C194-$D$3)=0,'S-Table'!B194,0),0)</f>
        <v>0</v>
      </c>
      <c r="I194" s="14">
        <f>IF(('S-Table'!$B194-$C$2)*('S-Table'!$B194-$D$2)=0,IF(('S-Table'!$C194-$C$3)*('S-Table'!$C194-$D$3)=0,'S-Table'!C194,0),0)</f>
        <v>0</v>
      </c>
      <c r="J194" s="14">
        <f>IF(('S-Table'!$B194-$C$2)*('S-Table'!$B194-$D$2)=0,IF(('S-Table'!$C194-$C$3)*('S-Table'!$C194-$D$3)=0,'S-Table'!D194,0),0)</f>
        <v>0</v>
      </c>
      <c r="K194" s="14">
        <f>IF(('S-Table'!$B194-$C$2)*('S-Table'!$B194-$D$2)=0,IF(('S-Table'!$C194-$C$3)*('S-Table'!$C194-$D$3)=0,'S-Table'!E194,0),0)</f>
        <v>0</v>
      </c>
    </row>
    <row r="195" spans="6:11" x14ac:dyDescent="0.2">
      <c r="F195" s="14">
        <f>IF(G195=0,IF(G194=0,F194,F194+1),IF(G194=0,MAX(F$1:F194),MAX(F$1:F194)+1))</f>
        <v>9</v>
      </c>
      <c r="G195" s="14">
        <f>IF(('S-Table'!$B195-$C$2)*('S-Table'!$B195-$D$2)=0,IF(('S-Table'!$C195-$C$3)*('S-Table'!$C195-$D$3)=0,'S-Table'!A195,0),0)</f>
        <v>0</v>
      </c>
      <c r="H195" s="14">
        <f>IF(('S-Table'!$B195-$C$2)*('S-Table'!$B195-$D$2)=0,IF(('S-Table'!$C195-$C$3)*('S-Table'!$C195-$D$3)=0,'S-Table'!B195,0),0)</f>
        <v>0</v>
      </c>
      <c r="I195" s="14">
        <f>IF(('S-Table'!$B195-$C$2)*('S-Table'!$B195-$D$2)=0,IF(('S-Table'!$C195-$C$3)*('S-Table'!$C195-$D$3)=0,'S-Table'!C195,0),0)</f>
        <v>0</v>
      </c>
      <c r="J195" s="14">
        <f>IF(('S-Table'!$B195-$C$2)*('S-Table'!$B195-$D$2)=0,IF(('S-Table'!$C195-$C$3)*('S-Table'!$C195-$D$3)=0,'S-Table'!D195,0),0)</f>
        <v>0</v>
      </c>
      <c r="K195" s="14">
        <f>IF(('S-Table'!$B195-$C$2)*('S-Table'!$B195-$D$2)=0,IF(('S-Table'!$C195-$C$3)*('S-Table'!$C195-$D$3)=0,'S-Table'!E195,0),0)</f>
        <v>0</v>
      </c>
    </row>
    <row r="196" spans="6:11" x14ac:dyDescent="0.2">
      <c r="F196" s="14">
        <f>IF(G196=0,IF(G195=0,F195,F195+1),IF(G195=0,MAX(F$1:F195),MAX(F$1:F195)+1))</f>
        <v>9</v>
      </c>
      <c r="G196" s="14">
        <f>IF(('S-Table'!$B196-$C$2)*('S-Table'!$B196-$D$2)=0,IF(('S-Table'!$C196-$C$3)*('S-Table'!$C196-$D$3)=0,'S-Table'!A196,0),0)</f>
        <v>0</v>
      </c>
      <c r="H196" s="14">
        <f>IF(('S-Table'!$B196-$C$2)*('S-Table'!$B196-$D$2)=0,IF(('S-Table'!$C196-$C$3)*('S-Table'!$C196-$D$3)=0,'S-Table'!B196,0),0)</f>
        <v>0</v>
      </c>
      <c r="I196" s="14">
        <f>IF(('S-Table'!$B196-$C$2)*('S-Table'!$B196-$D$2)=0,IF(('S-Table'!$C196-$C$3)*('S-Table'!$C196-$D$3)=0,'S-Table'!C196,0),0)</f>
        <v>0</v>
      </c>
      <c r="J196" s="14">
        <f>IF(('S-Table'!$B196-$C$2)*('S-Table'!$B196-$D$2)=0,IF(('S-Table'!$C196-$C$3)*('S-Table'!$C196-$D$3)=0,'S-Table'!D196,0),0)</f>
        <v>0</v>
      </c>
      <c r="K196" s="14">
        <f>IF(('S-Table'!$B196-$C$2)*('S-Table'!$B196-$D$2)=0,IF(('S-Table'!$C196-$C$3)*('S-Table'!$C196-$D$3)=0,'S-Table'!E196,0),0)</f>
        <v>0</v>
      </c>
    </row>
    <row r="197" spans="6:11" x14ac:dyDescent="0.2">
      <c r="F197" s="14">
        <f>IF(G197=0,IF(G196=0,F196,F196+1),IF(G196=0,MAX(F$1:F196),MAX(F$1:F196)+1))</f>
        <v>9</v>
      </c>
      <c r="G197" s="14">
        <f>IF(('S-Table'!$B197-$C$2)*('S-Table'!$B197-$D$2)=0,IF(('S-Table'!$C197-$C$3)*('S-Table'!$C197-$D$3)=0,'S-Table'!A197,0),0)</f>
        <v>0</v>
      </c>
      <c r="H197" s="14">
        <f>IF(('S-Table'!$B197-$C$2)*('S-Table'!$B197-$D$2)=0,IF(('S-Table'!$C197-$C$3)*('S-Table'!$C197-$D$3)=0,'S-Table'!B197,0),0)</f>
        <v>0</v>
      </c>
      <c r="I197" s="14">
        <f>IF(('S-Table'!$B197-$C$2)*('S-Table'!$B197-$D$2)=0,IF(('S-Table'!$C197-$C$3)*('S-Table'!$C197-$D$3)=0,'S-Table'!C197,0),0)</f>
        <v>0</v>
      </c>
      <c r="J197" s="14">
        <f>IF(('S-Table'!$B197-$C$2)*('S-Table'!$B197-$D$2)=0,IF(('S-Table'!$C197-$C$3)*('S-Table'!$C197-$D$3)=0,'S-Table'!D197,0),0)</f>
        <v>0</v>
      </c>
      <c r="K197" s="14">
        <f>IF(('S-Table'!$B197-$C$2)*('S-Table'!$B197-$D$2)=0,IF(('S-Table'!$C197-$C$3)*('S-Table'!$C197-$D$3)=0,'S-Table'!E197,0),0)</f>
        <v>0</v>
      </c>
    </row>
    <row r="198" spans="6:11" x14ac:dyDescent="0.2">
      <c r="F198" s="14">
        <f>IF(G198=0,IF(G197=0,F197,F197+1),IF(G197=0,MAX(F$1:F197),MAX(F$1:F197)+1))</f>
        <v>9</v>
      </c>
      <c r="G198" s="14">
        <f>IF(('S-Table'!$B198-$C$2)*('S-Table'!$B198-$D$2)=0,IF(('S-Table'!$C198-$C$3)*('S-Table'!$C198-$D$3)=0,'S-Table'!A198,0),0)</f>
        <v>0</v>
      </c>
      <c r="H198" s="14">
        <f>IF(('S-Table'!$B198-$C$2)*('S-Table'!$B198-$D$2)=0,IF(('S-Table'!$C198-$C$3)*('S-Table'!$C198-$D$3)=0,'S-Table'!B198,0),0)</f>
        <v>0</v>
      </c>
      <c r="I198" s="14">
        <f>IF(('S-Table'!$B198-$C$2)*('S-Table'!$B198-$D$2)=0,IF(('S-Table'!$C198-$C$3)*('S-Table'!$C198-$D$3)=0,'S-Table'!C198,0),0)</f>
        <v>0</v>
      </c>
      <c r="J198" s="14">
        <f>IF(('S-Table'!$B198-$C$2)*('S-Table'!$B198-$D$2)=0,IF(('S-Table'!$C198-$C$3)*('S-Table'!$C198-$D$3)=0,'S-Table'!D198,0),0)</f>
        <v>0</v>
      </c>
      <c r="K198" s="14">
        <f>IF(('S-Table'!$B198-$C$2)*('S-Table'!$B198-$D$2)=0,IF(('S-Table'!$C198-$C$3)*('S-Table'!$C198-$D$3)=0,'S-Table'!E198,0),0)</f>
        <v>0</v>
      </c>
    </row>
    <row r="199" spans="6:11" x14ac:dyDescent="0.2">
      <c r="F199" s="14">
        <f>IF(G199=0,IF(G198=0,F198,F198+1),IF(G198=0,MAX(F$1:F198),MAX(F$1:F198)+1))</f>
        <v>9</v>
      </c>
      <c r="G199" s="14">
        <f>IF(('S-Table'!$B199-$C$2)*('S-Table'!$B199-$D$2)=0,IF(('S-Table'!$C199-$C$3)*('S-Table'!$C199-$D$3)=0,'S-Table'!A199,0),0)</f>
        <v>0</v>
      </c>
      <c r="H199" s="14">
        <f>IF(('S-Table'!$B199-$C$2)*('S-Table'!$B199-$D$2)=0,IF(('S-Table'!$C199-$C$3)*('S-Table'!$C199-$D$3)=0,'S-Table'!B199,0),0)</f>
        <v>0</v>
      </c>
      <c r="I199" s="14">
        <f>IF(('S-Table'!$B199-$C$2)*('S-Table'!$B199-$D$2)=0,IF(('S-Table'!$C199-$C$3)*('S-Table'!$C199-$D$3)=0,'S-Table'!C199,0),0)</f>
        <v>0</v>
      </c>
      <c r="J199" s="14">
        <f>IF(('S-Table'!$B199-$C$2)*('S-Table'!$B199-$D$2)=0,IF(('S-Table'!$C199-$C$3)*('S-Table'!$C199-$D$3)=0,'S-Table'!D199,0),0)</f>
        <v>0</v>
      </c>
      <c r="K199" s="14">
        <f>IF(('S-Table'!$B199-$C$2)*('S-Table'!$B199-$D$2)=0,IF(('S-Table'!$C199-$C$3)*('S-Table'!$C199-$D$3)=0,'S-Table'!E199,0),0)</f>
        <v>0</v>
      </c>
    </row>
    <row r="200" spans="6:11" x14ac:dyDescent="0.2">
      <c r="F200" s="14">
        <f>IF(G200=0,IF(G199=0,F199,F199+1),IF(G199=0,MAX(F$1:F199),MAX(F$1:F199)+1))</f>
        <v>9</v>
      </c>
      <c r="G200" s="14">
        <f>IF(('S-Table'!$B200-$C$2)*('S-Table'!$B200-$D$2)=0,IF(('S-Table'!$C200-$C$3)*('S-Table'!$C200-$D$3)=0,'S-Table'!A200,0),0)</f>
        <v>0</v>
      </c>
      <c r="H200" s="14">
        <f>IF(('S-Table'!$B200-$C$2)*('S-Table'!$B200-$D$2)=0,IF(('S-Table'!$C200-$C$3)*('S-Table'!$C200-$D$3)=0,'S-Table'!B200,0),0)</f>
        <v>0</v>
      </c>
      <c r="I200" s="14">
        <f>IF(('S-Table'!$B200-$C$2)*('S-Table'!$B200-$D$2)=0,IF(('S-Table'!$C200-$C$3)*('S-Table'!$C200-$D$3)=0,'S-Table'!C200,0),0)</f>
        <v>0</v>
      </c>
      <c r="J200" s="14">
        <f>IF(('S-Table'!$B200-$C$2)*('S-Table'!$B200-$D$2)=0,IF(('S-Table'!$C200-$C$3)*('S-Table'!$C200-$D$3)=0,'S-Table'!D200,0),0)</f>
        <v>0</v>
      </c>
      <c r="K200" s="14">
        <f>IF(('S-Table'!$B200-$C$2)*('S-Table'!$B200-$D$2)=0,IF(('S-Table'!$C200-$C$3)*('S-Table'!$C200-$D$3)=0,'S-Table'!E200,0),0)</f>
        <v>0</v>
      </c>
    </row>
    <row r="201" spans="6:11" x14ac:dyDescent="0.2">
      <c r="F201" s="14">
        <f>IF(G201=0,IF(G200=0,F200,F200+1),IF(G200=0,MAX(F$1:F200),MAX(F$1:F200)+1))</f>
        <v>9</v>
      </c>
      <c r="G201" s="14">
        <f>IF(('S-Table'!$B201-$C$2)*('S-Table'!$B201-$D$2)=0,IF(('S-Table'!$C201-$C$3)*('S-Table'!$C201-$D$3)=0,'S-Table'!A201,0),0)</f>
        <v>0</v>
      </c>
      <c r="H201" s="14">
        <f>IF(('S-Table'!$B201-$C$2)*('S-Table'!$B201-$D$2)=0,IF(('S-Table'!$C201-$C$3)*('S-Table'!$C201-$D$3)=0,'S-Table'!B201,0),0)</f>
        <v>0</v>
      </c>
      <c r="I201" s="14">
        <f>IF(('S-Table'!$B201-$C$2)*('S-Table'!$B201-$D$2)=0,IF(('S-Table'!$C201-$C$3)*('S-Table'!$C201-$D$3)=0,'S-Table'!C201,0),0)</f>
        <v>0</v>
      </c>
      <c r="J201" s="14">
        <f>IF(('S-Table'!$B201-$C$2)*('S-Table'!$B201-$D$2)=0,IF(('S-Table'!$C201-$C$3)*('S-Table'!$C201-$D$3)=0,'S-Table'!D201,0),0)</f>
        <v>0</v>
      </c>
      <c r="K201" s="14">
        <f>IF(('S-Table'!$B201-$C$2)*('S-Table'!$B201-$D$2)=0,IF(('S-Table'!$C201-$C$3)*('S-Table'!$C201-$D$3)=0,'S-Table'!E201,0),0)</f>
        <v>0</v>
      </c>
    </row>
    <row r="202" spans="6:11" x14ac:dyDescent="0.2">
      <c r="F202" s="14">
        <f>IF(G202=0,IF(G201=0,F201,F201+1),IF(G201=0,MAX(F$1:F201),MAX(F$1:F201)+1))</f>
        <v>9</v>
      </c>
      <c r="G202" s="14">
        <f>IF(('S-Table'!$B202-$C$2)*('S-Table'!$B202-$D$2)=0,IF(('S-Table'!$C202-$C$3)*('S-Table'!$C202-$D$3)=0,'S-Table'!A202,0),0)</f>
        <v>0</v>
      </c>
      <c r="H202" s="14">
        <f>IF(('S-Table'!$B202-$C$2)*('S-Table'!$B202-$D$2)=0,IF(('S-Table'!$C202-$C$3)*('S-Table'!$C202-$D$3)=0,'S-Table'!B202,0),0)</f>
        <v>0</v>
      </c>
      <c r="I202" s="14">
        <f>IF(('S-Table'!$B202-$C$2)*('S-Table'!$B202-$D$2)=0,IF(('S-Table'!$C202-$C$3)*('S-Table'!$C202-$D$3)=0,'S-Table'!C202,0),0)</f>
        <v>0</v>
      </c>
      <c r="J202" s="14">
        <f>IF(('S-Table'!$B202-$C$2)*('S-Table'!$B202-$D$2)=0,IF(('S-Table'!$C202-$C$3)*('S-Table'!$C202-$D$3)=0,'S-Table'!D202,0),0)</f>
        <v>0</v>
      </c>
      <c r="K202" s="14">
        <f>IF(('S-Table'!$B202-$C$2)*('S-Table'!$B202-$D$2)=0,IF(('S-Table'!$C202-$C$3)*('S-Table'!$C202-$D$3)=0,'S-Table'!E202,0),0)</f>
        <v>0</v>
      </c>
    </row>
    <row r="203" spans="6:11" x14ac:dyDescent="0.2">
      <c r="F203" s="14">
        <f>IF(G203=0,IF(G202=0,F202,F202+1),IF(G202=0,MAX(F$1:F202),MAX(F$1:F202)+1))</f>
        <v>9</v>
      </c>
      <c r="G203" s="14">
        <f>IF(('S-Table'!$B203-$C$2)*('S-Table'!$B203-$D$2)=0,IF(('S-Table'!$C203-$C$3)*('S-Table'!$C203-$D$3)=0,'S-Table'!A203,0),0)</f>
        <v>0</v>
      </c>
      <c r="H203" s="14">
        <f>IF(('S-Table'!$B203-$C$2)*('S-Table'!$B203-$D$2)=0,IF(('S-Table'!$C203-$C$3)*('S-Table'!$C203-$D$3)=0,'S-Table'!B203,0),0)</f>
        <v>0</v>
      </c>
      <c r="I203" s="14">
        <f>IF(('S-Table'!$B203-$C$2)*('S-Table'!$B203-$D$2)=0,IF(('S-Table'!$C203-$C$3)*('S-Table'!$C203-$D$3)=0,'S-Table'!C203,0),0)</f>
        <v>0</v>
      </c>
      <c r="J203" s="14">
        <f>IF(('S-Table'!$B203-$C$2)*('S-Table'!$B203-$D$2)=0,IF(('S-Table'!$C203-$C$3)*('S-Table'!$C203-$D$3)=0,'S-Table'!D203,0),0)</f>
        <v>0</v>
      </c>
      <c r="K203" s="14">
        <f>IF(('S-Table'!$B203-$C$2)*('S-Table'!$B203-$D$2)=0,IF(('S-Table'!$C203-$C$3)*('S-Table'!$C203-$D$3)=0,'S-Table'!E203,0),0)</f>
        <v>0</v>
      </c>
    </row>
    <row r="204" spans="6:11" x14ac:dyDescent="0.2">
      <c r="F204" s="14">
        <f>IF(G204=0,IF(G203=0,F203,F203+1),IF(G203=0,MAX(F$1:F203),MAX(F$1:F203)+1))</f>
        <v>9</v>
      </c>
      <c r="G204" s="14">
        <f>IF(('S-Table'!$B204-$C$2)*('S-Table'!$B204-$D$2)=0,IF(('S-Table'!$C204-$C$3)*('S-Table'!$C204-$D$3)=0,'S-Table'!A204,0),0)</f>
        <v>0</v>
      </c>
      <c r="H204" s="14">
        <f>IF(('S-Table'!$B204-$C$2)*('S-Table'!$B204-$D$2)=0,IF(('S-Table'!$C204-$C$3)*('S-Table'!$C204-$D$3)=0,'S-Table'!B204,0),0)</f>
        <v>0</v>
      </c>
      <c r="I204" s="14">
        <f>IF(('S-Table'!$B204-$C$2)*('S-Table'!$B204-$D$2)=0,IF(('S-Table'!$C204-$C$3)*('S-Table'!$C204-$D$3)=0,'S-Table'!C204,0),0)</f>
        <v>0</v>
      </c>
      <c r="J204" s="14">
        <f>IF(('S-Table'!$B204-$C$2)*('S-Table'!$B204-$D$2)=0,IF(('S-Table'!$C204-$C$3)*('S-Table'!$C204-$D$3)=0,'S-Table'!D204,0),0)</f>
        <v>0</v>
      </c>
      <c r="K204" s="14">
        <f>IF(('S-Table'!$B204-$C$2)*('S-Table'!$B204-$D$2)=0,IF(('S-Table'!$C204-$C$3)*('S-Table'!$C204-$D$3)=0,'S-Table'!E204,0),0)</f>
        <v>0</v>
      </c>
    </row>
    <row r="205" spans="6:11" x14ac:dyDescent="0.2">
      <c r="F205" s="14">
        <f>IF(G205=0,IF(G204=0,F204,F204+1),IF(G204=0,MAX(F$1:F204),MAX(F$1:F204)+1))</f>
        <v>9</v>
      </c>
      <c r="G205" s="14">
        <f>IF(('S-Table'!$B205-$C$2)*('S-Table'!$B205-$D$2)=0,IF(('S-Table'!$C205-$C$3)*('S-Table'!$C205-$D$3)=0,'S-Table'!A205,0),0)</f>
        <v>0</v>
      </c>
      <c r="H205" s="14">
        <f>IF(('S-Table'!$B205-$C$2)*('S-Table'!$B205-$D$2)=0,IF(('S-Table'!$C205-$C$3)*('S-Table'!$C205-$D$3)=0,'S-Table'!B205,0),0)</f>
        <v>0</v>
      </c>
      <c r="I205" s="14">
        <f>IF(('S-Table'!$B205-$C$2)*('S-Table'!$B205-$D$2)=0,IF(('S-Table'!$C205-$C$3)*('S-Table'!$C205-$D$3)=0,'S-Table'!C205,0),0)</f>
        <v>0</v>
      </c>
      <c r="J205" s="14">
        <f>IF(('S-Table'!$B205-$C$2)*('S-Table'!$B205-$D$2)=0,IF(('S-Table'!$C205-$C$3)*('S-Table'!$C205-$D$3)=0,'S-Table'!D205,0),0)</f>
        <v>0</v>
      </c>
      <c r="K205" s="14">
        <f>IF(('S-Table'!$B205-$C$2)*('S-Table'!$B205-$D$2)=0,IF(('S-Table'!$C205-$C$3)*('S-Table'!$C205-$D$3)=0,'S-Table'!E205,0),0)</f>
        <v>0</v>
      </c>
    </row>
    <row r="206" spans="6:11" x14ac:dyDescent="0.2">
      <c r="F206" s="14">
        <f>IF(G206=0,IF(G205=0,F205,F205+1),IF(G205=0,MAX(F$1:F205),MAX(F$1:F205)+1))</f>
        <v>9</v>
      </c>
      <c r="G206" s="14">
        <f>IF(('S-Table'!$B206-$C$2)*('S-Table'!$B206-$D$2)=0,IF(('S-Table'!$C206-$C$3)*('S-Table'!$C206-$D$3)=0,'S-Table'!A206,0),0)</f>
        <v>0</v>
      </c>
      <c r="H206" s="14">
        <f>IF(('S-Table'!$B206-$C$2)*('S-Table'!$B206-$D$2)=0,IF(('S-Table'!$C206-$C$3)*('S-Table'!$C206-$D$3)=0,'S-Table'!B206,0),0)</f>
        <v>0</v>
      </c>
      <c r="I206" s="14">
        <f>IF(('S-Table'!$B206-$C$2)*('S-Table'!$B206-$D$2)=0,IF(('S-Table'!$C206-$C$3)*('S-Table'!$C206-$D$3)=0,'S-Table'!C206,0),0)</f>
        <v>0</v>
      </c>
      <c r="J206" s="14">
        <f>IF(('S-Table'!$B206-$C$2)*('S-Table'!$B206-$D$2)=0,IF(('S-Table'!$C206-$C$3)*('S-Table'!$C206-$D$3)=0,'S-Table'!D206,0),0)</f>
        <v>0</v>
      </c>
      <c r="K206" s="14">
        <f>IF(('S-Table'!$B206-$C$2)*('S-Table'!$B206-$D$2)=0,IF(('S-Table'!$C206-$C$3)*('S-Table'!$C206-$D$3)=0,'S-Table'!E206,0),0)</f>
        <v>0</v>
      </c>
    </row>
    <row r="207" spans="6:11" x14ac:dyDescent="0.2">
      <c r="F207" s="14">
        <f>IF(G207=0,IF(G206=0,F206,F206+1),IF(G206=0,MAX(F$1:F206),MAX(F$1:F206)+1))</f>
        <v>9</v>
      </c>
      <c r="G207" s="14">
        <f>IF(('S-Table'!$B207-$C$2)*('S-Table'!$B207-$D$2)=0,IF(('S-Table'!$C207-$C$3)*('S-Table'!$C207-$D$3)=0,'S-Table'!A207,0),0)</f>
        <v>0</v>
      </c>
      <c r="H207" s="14">
        <f>IF(('S-Table'!$B207-$C$2)*('S-Table'!$B207-$D$2)=0,IF(('S-Table'!$C207-$C$3)*('S-Table'!$C207-$D$3)=0,'S-Table'!B207,0),0)</f>
        <v>0</v>
      </c>
      <c r="I207" s="14">
        <f>IF(('S-Table'!$B207-$C$2)*('S-Table'!$B207-$D$2)=0,IF(('S-Table'!$C207-$C$3)*('S-Table'!$C207-$D$3)=0,'S-Table'!C207,0),0)</f>
        <v>0</v>
      </c>
      <c r="J207" s="14">
        <f>IF(('S-Table'!$B207-$C$2)*('S-Table'!$B207-$D$2)=0,IF(('S-Table'!$C207-$C$3)*('S-Table'!$C207-$D$3)=0,'S-Table'!D207,0),0)</f>
        <v>0</v>
      </c>
      <c r="K207" s="14">
        <f>IF(('S-Table'!$B207-$C$2)*('S-Table'!$B207-$D$2)=0,IF(('S-Table'!$C207-$C$3)*('S-Table'!$C207-$D$3)=0,'S-Table'!E207,0),0)</f>
        <v>0</v>
      </c>
    </row>
    <row r="208" spans="6:11" x14ac:dyDescent="0.2">
      <c r="F208" s="14">
        <f>IF(G208=0,IF(G207=0,F207,F207+1),IF(G207=0,MAX(F$1:F207),MAX(F$1:F207)+1))</f>
        <v>9</v>
      </c>
      <c r="G208" s="14">
        <f>IF(('S-Table'!$B208-$C$2)*('S-Table'!$B208-$D$2)=0,IF(('S-Table'!$C208-$C$3)*('S-Table'!$C208-$D$3)=0,'S-Table'!A208,0),0)</f>
        <v>0</v>
      </c>
      <c r="H208" s="14">
        <f>IF(('S-Table'!$B208-$C$2)*('S-Table'!$B208-$D$2)=0,IF(('S-Table'!$C208-$C$3)*('S-Table'!$C208-$D$3)=0,'S-Table'!B208,0),0)</f>
        <v>0</v>
      </c>
      <c r="I208" s="14">
        <f>IF(('S-Table'!$B208-$C$2)*('S-Table'!$B208-$D$2)=0,IF(('S-Table'!$C208-$C$3)*('S-Table'!$C208-$D$3)=0,'S-Table'!C208,0),0)</f>
        <v>0</v>
      </c>
      <c r="J208" s="14">
        <f>IF(('S-Table'!$B208-$C$2)*('S-Table'!$B208-$D$2)=0,IF(('S-Table'!$C208-$C$3)*('S-Table'!$C208-$D$3)=0,'S-Table'!D208,0),0)</f>
        <v>0</v>
      </c>
      <c r="K208" s="14">
        <f>IF(('S-Table'!$B208-$C$2)*('S-Table'!$B208-$D$2)=0,IF(('S-Table'!$C208-$C$3)*('S-Table'!$C208-$D$3)=0,'S-Table'!E208,0),0)</f>
        <v>0</v>
      </c>
    </row>
    <row r="209" spans="6:11" x14ac:dyDescent="0.2">
      <c r="F209" s="14">
        <f>IF(G209=0,IF(G208=0,F208,F208+1),IF(G208=0,MAX(F$1:F208),MAX(F$1:F208)+1))</f>
        <v>9</v>
      </c>
      <c r="G209" s="14">
        <f>IF(('S-Table'!$B209-$C$2)*('S-Table'!$B209-$D$2)=0,IF(('S-Table'!$C209-$C$3)*('S-Table'!$C209-$D$3)=0,'S-Table'!A209,0),0)</f>
        <v>0</v>
      </c>
      <c r="H209" s="14">
        <f>IF(('S-Table'!$B209-$C$2)*('S-Table'!$B209-$D$2)=0,IF(('S-Table'!$C209-$C$3)*('S-Table'!$C209-$D$3)=0,'S-Table'!B209,0),0)</f>
        <v>0</v>
      </c>
      <c r="I209" s="14">
        <f>IF(('S-Table'!$B209-$C$2)*('S-Table'!$B209-$D$2)=0,IF(('S-Table'!$C209-$C$3)*('S-Table'!$C209-$D$3)=0,'S-Table'!C209,0),0)</f>
        <v>0</v>
      </c>
      <c r="J209" s="14">
        <f>IF(('S-Table'!$B209-$C$2)*('S-Table'!$B209-$D$2)=0,IF(('S-Table'!$C209-$C$3)*('S-Table'!$C209-$D$3)=0,'S-Table'!D209,0),0)</f>
        <v>0</v>
      </c>
      <c r="K209" s="14">
        <f>IF(('S-Table'!$B209-$C$2)*('S-Table'!$B209-$D$2)=0,IF(('S-Table'!$C209-$C$3)*('S-Table'!$C209-$D$3)=0,'S-Table'!E209,0),0)</f>
        <v>0</v>
      </c>
    </row>
    <row r="210" spans="6:11" x14ac:dyDescent="0.2">
      <c r="F210" s="14">
        <f>IF(G210=0,IF(G209=0,F209,F209+1),IF(G209=0,MAX(F$1:F209),MAX(F$1:F209)+1))</f>
        <v>9</v>
      </c>
      <c r="G210" s="14">
        <f>IF(('S-Table'!$B210-$C$2)*('S-Table'!$B210-$D$2)=0,IF(('S-Table'!$C210-$C$3)*('S-Table'!$C210-$D$3)=0,'S-Table'!A210,0),0)</f>
        <v>0</v>
      </c>
      <c r="H210" s="14">
        <f>IF(('S-Table'!$B210-$C$2)*('S-Table'!$B210-$D$2)=0,IF(('S-Table'!$C210-$C$3)*('S-Table'!$C210-$D$3)=0,'S-Table'!B210,0),0)</f>
        <v>0</v>
      </c>
      <c r="I210" s="14">
        <f>IF(('S-Table'!$B210-$C$2)*('S-Table'!$B210-$D$2)=0,IF(('S-Table'!$C210-$C$3)*('S-Table'!$C210-$D$3)=0,'S-Table'!C210,0),0)</f>
        <v>0</v>
      </c>
      <c r="J210" s="14">
        <f>IF(('S-Table'!$B210-$C$2)*('S-Table'!$B210-$D$2)=0,IF(('S-Table'!$C210-$C$3)*('S-Table'!$C210-$D$3)=0,'S-Table'!D210,0),0)</f>
        <v>0</v>
      </c>
      <c r="K210" s="14">
        <f>IF(('S-Table'!$B210-$C$2)*('S-Table'!$B210-$D$2)=0,IF(('S-Table'!$C210-$C$3)*('S-Table'!$C210-$D$3)=0,'S-Table'!E210,0),0)</f>
        <v>0</v>
      </c>
    </row>
    <row r="211" spans="6:11" x14ac:dyDescent="0.2">
      <c r="F211" s="14">
        <f>IF(G211=0,IF(G210=0,F210,F210+1),IF(G210=0,MAX(F$1:F210),MAX(F$1:F210)+1))</f>
        <v>9</v>
      </c>
      <c r="G211" s="14">
        <f>IF(('S-Table'!$B211-$C$2)*('S-Table'!$B211-$D$2)=0,IF(('S-Table'!$C211-$C$3)*('S-Table'!$C211-$D$3)=0,'S-Table'!A211,0),0)</f>
        <v>0</v>
      </c>
      <c r="H211" s="14">
        <f>IF(('S-Table'!$B211-$C$2)*('S-Table'!$B211-$D$2)=0,IF(('S-Table'!$C211-$C$3)*('S-Table'!$C211-$D$3)=0,'S-Table'!B211,0),0)</f>
        <v>0</v>
      </c>
      <c r="I211" s="14">
        <f>IF(('S-Table'!$B211-$C$2)*('S-Table'!$B211-$D$2)=0,IF(('S-Table'!$C211-$C$3)*('S-Table'!$C211-$D$3)=0,'S-Table'!C211,0),0)</f>
        <v>0</v>
      </c>
      <c r="J211" s="14">
        <f>IF(('S-Table'!$B211-$C$2)*('S-Table'!$B211-$D$2)=0,IF(('S-Table'!$C211-$C$3)*('S-Table'!$C211-$D$3)=0,'S-Table'!D211,0),0)</f>
        <v>0</v>
      </c>
      <c r="K211" s="14">
        <f>IF(('S-Table'!$B211-$C$2)*('S-Table'!$B211-$D$2)=0,IF(('S-Table'!$C211-$C$3)*('S-Table'!$C211-$D$3)=0,'S-Table'!E211,0),0)</f>
        <v>0</v>
      </c>
    </row>
    <row r="212" spans="6:11" x14ac:dyDescent="0.2">
      <c r="F212" s="14">
        <f>IF(G212=0,IF(G211=0,F211,F211+1),IF(G211=0,MAX(F$1:F211),MAX(F$1:F211)+1))</f>
        <v>9</v>
      </c>
      <c r="G212" s="14">
        <f>IF(('S-Table'!$B212-$C$2)*('S-Table'!$B212-$D$2)=0,IF(('S-Table'!$C212-$C$3)*('S-Table'!$C212-$D$3)=0,'S-Table'!A212,0),0)</f>
        <v>0</v>
      </c>
      <c r="H212" s="14">
        <f>IF(('S-Table'!$B212-$C$2)*('S-Table'!$B212-$D$2)=0,IF(('S-Table'!$C212-$C$3)*('S-Table'!$C212-$D$3)=0,'S-Table'!B212,0),0)</f>
        <v>0</v>
      </c>
      <c r="I212" s="14">
        <f>IF(('S-Table'!$B212-$C$2)*('S-Table'!$B212-$D$2)=0,IF(('S-Table'!$C212-$C$3)*('S-Table'!$C212-$D$3)=0,'S-Table'!C212,0),0)</f>
        <v>0</v>
      </c>
      <c r="J212" s="14">
        <f>IF(('S-Table'!$B212-$C$2)*('S-Table'!$B212-$D$2)=0,IF(('S-Table'!$C212-$C$3)*('S-Table'!$C212-$D$3)=0,'S-Table'!D212,0),0)</f>
        <v>0</v>
      </c>
      <c r="K212" s="14">
        <f>IF(('S-Table'!$B212-$C$2)*('S-Table'!$B212-$D$2)=0,IF(('S-Table'!$C212-$C$3)*('S-Table'!$C212-$D$3)=0,'S-Table'!E212,0),0)</f>
        <v>0</v>
      </c>
    </row>
    <row r="213" spans="6:11" x14ac:dyDescent="0.2">
      <c r="F213" s="14">
        <f>IF(G213=0,IF(G212=0,F212,F212+1),IF(G212=0,MAX(F$1:F212),MAX(F$1:F212)+1))</f>
        <v>9</v>
      </c>
      <c r="G213" s="14">
        <f>IF(('S-Table'!$B213-$C$2)*('S-Table'!$B213-$D$2)=0,IF(('S-Table'!$C213-$C$3)*('S-Table'!$C213-$D$3)=0,'S-Table'!A213,0),0)</f>
        <v>0</v>
      </c>
      <c r="H213" s="14">
        <f>IF(('S-Table'!$B213-$C$2)*('S-Table'!$B213-$D$2)=0,IF(('S-Table'!$C213-$C$3)*('S-Table'!$C213-$D$3)=0,'S-Table'!B213,0),0)</f>
        <v>0</v>
      </c>
      <c r="I213" s="14">
        <f>IF(('S-Table'!$B213-$C$2)*('S-Table'!$B213-$D$2)=0,IF(('S-Table'!$C213-$C$3)*('S-Table'!$C213-$D$3)=0,'S-Table'!C213,0),0)</f>
        <v>0</v>
      </c>
      <c r="J213" s="14">
        <f>IF(('S-Table'!$B213-$C$2)*('S-Table'!$B213-$D$2)=0,IF(('S-Table'!$C213-$C$3)*('S-Table'!$C213-$D$3)=0,'S-Table'!D213,0),0)</f>
        <v>0</v>
      </c>
      <c r="K213" s="14">
        <f>IF(('S-Table'!$B213-$C$2)*('S-Table'!$B213-$D$2)=0,IF(('S-Table'!$C213-$C$3)*('S-Table'!$C213-$D$3)=0,'S-Table'!E213,0),0)</f>
        <v>0</v>
      </c>
    </row>
    <row r="214" spans="6:11" x14ac:dyDescent="0.2">
      <c r="F214" s="14">
        <f>IF(G214=0,IF(G213=0,F213,F213+1),IF(G213=0,MAX(F$1:F213),MAX(F$1:F213)+1))</f>
        <v>9</v>
      </c>
      <c r="G214" s="14">
        <f>IF(('S-Table'!$B214-$C$2)*('S-Table'!$B214-$D$2)=0,IF(('S-Table'!$C214-$C$3)*('S-Table'!$C214-$D$3)=0,'S-Table'!A214,0),0)</f>
        <v>0</v>
      </c>
      <c r="H214" s="14">
        <f>IF(('S-Table'!$B214-$C$2)*('S-Table'!$B214-$D$2)=0,IF(('S-Table'!$C214-$C$3)*('S-Table'!$C214-$D$3)=0,'S-Table'!B214,0),0)</f>
        <v>0</v>
      </c>
      <c r="I214" s="14">
        <f>IF(('S-Table'!$B214-$C$2)*('S-Table'!$B214-$D$2)=0,IF(('S-Table'!$C214-$C$3)*('S-Table'!$C214-$D$3)=0,'S-Table'!C214,0),0)</f>
        <v>0</v>
      </c>
      <c r="J214" s="14">
        <f>IF(('S-Table'!$B214-$C$2)*('S-Table'!$B214-$D$2)=0,IF(('S-Table'!$C214-$C$3)*('S-Table'!$C214-$D$3)=0,'S-Table'!D214,0),0)</f>
        <v>0</v>
      </c>
      <c r="K214" s="14">
        <f>IF(('S-Table'!$B214-$C$2)*('S-Table'!$B214-$D$2)=0,IF(('S-Table'!$C214-$C$3)*('S-Table'!$C214-$D$3)=0,'S-Table'!E214,0),0)</f>
        <v>0</v>
      </c>
    </row>
    <row r="215" spans="6:11" x14ac:dyDescent="0.2">
      <c r="F215" s="14">
        <f>IF(G215=0,IF(G214=0,F214,F214+1),IF(G214=0,MAX(F$1:F214),MAX(F$1:F214)+1))</f>
        <v>9</v>
      </c>
      <c r="G215" s="14">
        <f>IF(('S-Table'!$B215-$C$2)*('S-Table'!$B215-$D$2)=0,IF(('S-Table'!$C215-$C$3)*('S-Table'!$C215-$D$3)=0,'S-Table'!A215,0),0)</f>
        <v>0</v>
      </c>
      <c r="H215" s="14">
        <f>IF(('S-Table'!$B215-$C$2)*('S-Table'!$B215-$D$2)=0,IF(('S-Table'!$C215-$C$3)*('S-Table'!$C215-$D$3)=0,'S-Table'!B215,0),0)</f>
        <v>0</v>
      </c>
      <c r="I215" s="14">
        <f>IF(('S-Table'!$B215-$C$2)*('S-Table'!$B215-$D$2)=0,IF(('S-Table'!$C215-$C$3)*('S-Table'!$C215-$D$3)=0,'S-Table'!C215,0),0)</f>
        <v>0</v>
      </c>
      <c r="J215" s="14">
        <f>IF(('S-Table'!$B215-$C$2)*('S-Table'!$B215-$D$2)=0,IF(('S-Table'!$C215-$C$3)*('S-Table'!$C215-$D$3)=0,'S-Table'!D215,0),0)</f>
        <v>0</v>
      </c>
      <c r="K215" s="14">
        <f>IF(('S-Table'!$B215-$C$2)*('S-Table'!$B215-$D$2)=0,IF(('S-Table'!$C215-$C$3)*('S-Table'!$C215-$D$3)=0,'S-Table'!E215,0),0)</f>
        <v>0</v>
      </c>
    </row>
    <row r="216" spans="6:11" x14ac:dyDescent="0.2">
      <c r="F216" s="14">
        <f>IF(G216=0,IF(G215=0,F215,F215+1),IF(G215=0,MAX(F$1:F215),MAX(F$1:F215)+1))</f>
        <v>9</v>
      </c>
      <c r="G216" s="14">
        <f>IF(('S-Table'!$B216-$C$2)*('S-Table'!$B216-$D$2)=0,IF(('S-Table'!$C216-$C$3)*('S-Table'!$C216-$D$3)=0,'S-Table'!A216,0),0)</f>
        <v>0</v>
      </c>
      <c r="H216" s="14">
        <f>IF(('S-Table'!$B216-$C$2)*('S-Table'!$B216-$D$2)=0,IF(('S-Table'!$C216-$C$3)*('S-Table'!$C216-$D$3)=0,'S-Table'!B216,0),0)</f>
        <v>0</v>
      </c>
      <c r="I216" s="14">
        <f>IF(('S-Table'!$B216-$C$2)*('S-Table'!$B216-$D$2)=0,IF(('S-Table'!$C216-$C$3)*('S-Table'!$C216-$D$3)=0,'S-Table'!C216,0),0)</f>
        <v>0</v>
      </c>
      <c r="J216" s="14">
        <f>IF(('S-Table'!$B216-$C$2)*('S-Table'!$B216-$D$2)=0,IF(('S-Table'!$C216-$C$3)*('S-Table'!$C216-$D$3)=0,'S-Table'!D216,0),0)</f>
        <v>0</v>
      </c>
      <c r="K216" s="14">
        <f>IF(('S-Table'!$B216-$C$2)*('S-Table'!$B216-$D$2)=0,IF(('S-Table'!$C216-$C$3)*('S-Table'!$C216-$D$3)=0,'S-Table'!E216,0),0)</f>
        <v>0</v>
      </c>
    </row>
    <row r="217" spans="6:11" x14ac:dyDescent="0.2">
      <c r="F217" s="14">
        <f>IF(G217=0,IF(G216=0,F216,F216+1),IF(G216=0,MAX(F$1:F216),MAX(F$1:F216)+1))</f>
        <v>9</v>
      </c>
      <c r="G217" s="14">
        <f>IF(('S-Table'!$B217-$C$2)*('S-Table'!$B217-$D$2)=0,IF(('S-Table'!$C217-$C$3)*('S-Table'!$C217-$D$3)=0,'S-Table'!A217,0),0)</f>
        <v>0</v>
      </c>
      <c r="H217" s="14">
        <f>IF(('S-Table'!$B217-$C$2)*('S-Table'!$B217-$D$2)=0,IF(('S-Table'!$C217-$C$3)*('S-Table'!$C217-$D$3)=0,'S-Table'!B217,0),0)</f>
        <v>0</v>
      </c>
      <c r="I217" s="14">
        <f>IF(('S-Table'!$B217-$C$2)*('S-Table'!$B217-$D$2)=0,IF(('S-Table'!$C217-$C$3)*('S-Table'!$C217-$D$3)=0,'S-Table'!C217,0),0)</f>
        <v>0</v>
      </c>
      <c r="J217" s="14">
        <f>IF(('S-Table'!$B217-$C$2)*('S-Table'!$B217-$D$2)=0,IF(('S-Table'!$C217-$C$3)*('S-Table'!$C217-$D$3)=0,'S-Table'!D217,0),0)</f>
        <v>0</v>
      </c>
      <c r="K217" s="14">
        <f>IF(('S-Table'!$B217-$C$2)*('S-Table'!$B217-$D$2)=0,IF(('S-Table'!$C217-$C$3)*('S-Table'!$C217-$D$3)=0,'S-Table'!E217,0),0)</f>
        <v>0</v>
      </c>
    </row>
    <row r="218" spans="6:11" x14ac:dyDescent="0.2">
      <c r="F218" s="14">
        <f>IF(G218=0,IF(G217=0,F217,F217+1),IF(G217=0,MAX(F$1:F217),MAX(F$1:F217)+1))</f>
        <v>9</v>
      </c>
      <c r="G218" s="14">
        <f>IF(('S-Table'!$B218-$C$2)*('S-Table'!$B218-$D$2)=0,IF(('S-Table'!$C218-$C$3)*('S-Table'!$C218-$D$3)=0,'S-Table'!A218,0),0)</f>
        <v>0</v>
      </c>
      <c r="H218" s="14">
        <f>IF(('S-Table'!$B218-$C$2)*('S-Table'!$B218-$D$2)=0,IF(('S-Table'!$C218-$C$3)*('S-Table'!$C218-$D$3)=0,'S-Table'!B218,0),0)</f>
        <v>0</v>
      </c>
      <c r="I218" s="14">
        <f>IF(('S-Table'!$B218-$C$2)*('S-Table'!$B218-$D$2)=0,IF(('S-Table'!$C218-$C$3)*('S-Table'!$C218-$D$3)=0,'S-Table'!C218,0),0)</f>
        <v>0</v>
      </c>
      <c r="J218" s="14">
        <f>IF(('S-Table'!$B218-$C$2)*('S-Table'!$B218-$D$2)=0,IF(('S-Table'!$C218-$C$3)*('S-Table'!$C218-$D$3)=0,'S-Table'!D218,0),0)</f>
        <v>0</v>
      </c>
      <c r="K218" s="14">
        <f>IF(('S-Table'!$B218-$C$2)*('S-Table'!$B218-$D$2)=0,IF(('S-Table'!$C218-$C$3)*('S-Table'!$C218-$D$3)=0,'S-Table'!E218,0),0)</f>
        <v>0</v>
      </c>
    </row>
    <row r="219" spans="6:11" x14ac:dyDescent="0.2">
      <c r="F219" s="14">
        <f>IF(G219=0,IF(G218=0,F218,F218+1),IF(G218=0,MAX(F$1:F218),MAX(F$1:F218)+1))</f>
        <v>9</v>
      </c>
      <c r="G219" s="14">
        <f>IF(('S-Table'!$B219-$C$2)*('S-Table'!$B219-$D$2)=0,IF(('S-Table'!$C219-$C$3)*('S-Table'!$C219-$D$3)=0,'S-Table'!A219,0),0)</f>
        <v>0</v>
      </c>
      <c r="H219" s="14">
        <f>IF(('S-Table'!$B219-$C$2)*('S-Table'!$B219-$D$2)=0,IF(('S-Table'!$C219-$C$3)*('S-Table'!$C219-$D$3)=0,'S-Table'!B219,0),0)</f>
        <v>0</v>
      </c>
      <c r="I219" s="14">
        <f>IF(('S-Table'!$B219-$C$2)*('S-Table'!$B219-$D$2)=0,IF(('S-Table'!$C219-$C$3)*('S-Table'!$C219-$D$3)=0,'S-Table'!C219,0),0)</f>
        <v>0</v>
      </c>
      <c r="J219" s="14">
        <f>IF(('S-Table'!$B219-$C$2)*('S-Table'!$B219-$D$2)=0,IF(('S-Table'!$C219-$C$3)*('S-Table'!$C219-$D$3)=0,'S-Table'!D219,0),0)</f>
        <v>0</v>
      </c>
      <c r="K219" s="14">
        <f>IF(('S-Table'!$B219-$C$2)*('S-Table'!$B219-$D$2)=0,IF(('S-Table'!$C219-$C$3)*('S-Table'!$C219-$D$3)=0,'S-Table'!E219,0),0)</f>
        <v>0</v>
      </c>
    </row>
    <row r="220" spans="6:11" x14ac:dyDescent="0.2">
      <c r="F220" s="14">
        <f>IF(G220=0,IF(G219=0,F219,F219+1),IF(G219=0,MAX(F$1:F219),MAX(F$1:F219)+1))</f>
        <v>9</v>
      </c>
      <c r="G220" s="14">
        <f>IF(('S-Table'!$B220-$C$2)*('S-Table'!$B220-$D$2)=0,IF(('S-Table'!$C220-$C$3)*('S-Table'!$C220-$D$3)=0,'S-Table'!A220,0),0)</f>
        <v>0</v>
      </c>
      <c r="H220" s="14">
        <f>IF(('S-Table'!$B220-$C$2)*('S-Table'!$B220-$D$2)=0,IF(('S-Table'!$C220-$C$3)*('S-Table'!$C220-$D$3)=0,'S-Table'!B220,0),0)</f>
        <v>0</v>
      </c>
      <c r="I220" s="14">
        <f>IF(('S-Table'!$B220-$C$2)*('S-Table'!$B220-$D$2)=0,IF(('S-Table'!$C220-$C$3)*('S-Table'!$C220-$D$3)=0,'S-Table'!C220,0),0)</f>
        <v>0</v>
      </c>
      <c r="J220" s="14">
        <f>IF(('S-Table'!$B220-$C$2)*('S-Table'!$B220-$D$2)=0,IF(('S-Table'!$C220-$C$3)*('S-Table'!$C220-$D$3)=0,'S-Table'!D220,0),0)</f>
        <v>0</v>
      </c>
      <c r="K220" s="14">
        <f>IF(('S-Table'!$B220-$C$2)*('S-Table'!$B220-$D$2)=0,IF(('S-Table'!$C220-$C$3)*('S-Table'!$C220-$D$3)=0,'S-Table'!E220,0),0)</f>
        <v>0</v>
      </c>
    </row>
    <row r="221" spans="6:11" x14ac:dyDescent="0.2">
      <c r="F221" s="14">
        <f>IF(G221=0,IF(G220=0,F220,F220+1),IF(G220=0,MAX(F$1:F220),MAX(F$1:F220)+1))</f>
        <v>9</v>
      </c>
      <c r="G221" s="14">
        <f>IF(('S-Table'!$B221-$C$2)*('S-Table'!$B221-$D$2)=0,IF(('S-Table'!$C221-$C$3)*('S-Table'!$C221-$D$3)=0,'S-Table'!A221,0),0)</f>
        <v>0</v>
      </c>
      <c r="H221" s="14">
        <f>IF(('S-Table'!$B221-$C$2)*('S-Table'!$B221-$D$2)=0,IF(('S-Table'!$C221-$C$3)*('S-Table'!$C221-$D$3)=0,'S-Table'!B221,0),0)</f>
        <v>0</v>
      </c>
      <c r="I221" s="14">
        <f>IF(('S-Table'!$B221-$C$2)*('S-Table'!$B221-$D$2)=0,IF(('S-Table'!$C221-$C$3)*('S-Table'!$C221-$D$3)=0,'S-Table'!C221,0),0)</f>
        <v>0</v>
      </c>
      <c r="J221" s="14">
        <f>IF(('S-Table'!$B221-$C$2)*('S-Table'!$B221-$D$2)=0,IF(('S-Table'!$C221-$C$3)*('S-Table'!$C221-$D$3)=0,'S-Table'!D221,0),0)</f>
        <v>0</v>
      </c>
      <c r="K221" s="14">
        <f>IF(('S-Table'!$B221-$C$2)*('S-Table'!$B221-$D$2)=0,IF(('S-Table'!$C221-$C$3)*('S-Table'!$C221-$D$3)=0,'S-Table'!E221,0),0)</f>
        <v>0</v>
      </c>
    </row>
    <row r="222" spans="6:11" x14ac:dyDescent="0.2">
      <c r="F222" s="14">
        <f>IF(G222=0,IF(G221=0,F221,F221+1),IF(G221=0,MAX(F$1:F221),MAX(F$1:F221)+1))</f>
        <v>9</v>
      </c>
      <c r="G222" s="14">
        <f>IF(('S-Table'!$B222-$C$2)*('S-Table'!$B222-$D$2)=0,IF(('S-Table'!$C222-$C$3)*('S-Table'!$C222-$D$3)=0,'S-Table'!A222,0),0)</f>
        <v>0</v>
      </c>
      <c r="H222" s="14">
        <f>IF(('S-Table'!$B222-$C$2)*('S-Table'!$B222-$D$2)=0,IF(('S-Table'!$C222-$C$3)*('S-Table'!$C222-$D$3)=0,'S-Table'!B222,0),0)</f>
        <v>0</v>
      </c>
      <c r="I222" s="14">
        <f>IF(('S-Table'!$B222-$C$2)*('S-Table'!$B222-$D$2)=0,IF(('S-Table'!$C222-$C$3)*('S-Table'!$C222-$D$3)=0,'S-Table'!C222,0),0)</f>
        <v>0</v>
      </c>
      <c r="J222" s="14">
        <f>IF(('S-Table'!$B222-$C$2)*('S-Table'!$B222-$D$2)=0,IF(('S-Table'!$C222-$C$3)*('S-Table'!$C222-$D$3)=0,'S-Table'!D222,0),0)</f>
        <v>0</v>
      </c>
      <c r="K222" s="14">
        <f>IF(('S-Table'!$B222-$C$2)*('S-Table'!$B222-$D$2)=0,IF(('S-Table'!$C222-$C$3)*('S-Table'!$C222-$D$3)=0,'S-Table'!E222,0),0)</f>
        <v>0</v>
      </c>
    </row>
    <row r="223" spans="6:11" x14ac:dyDescent="0.2">
      <c r="F223" s="14">
        <f>IF(G223=0,IF(G222=0,F222,F222+1),IF(G222=0,MAX(F$1:F222),MAX(F$1:F222)+1))</f>
        <v>9</v>
      </c>
      <c r="G223" s="14">
        <f>IF(('S-Table'!$B223-$C$2)*('S-Table'!$B223-$D$2)=0,IF(('S-Table'!$C223-$C$3)*('S-Table'!$C223-$D$3)=0,'S-Table'!A223,0),0)</f>
        <v>0</v>
      </c>
      <c r="H223" s="14">
        <f>IF(('S-Table'!$B223-$C$2)*('S-Table'!$B223-$D$2)=0,IF(('S-Table'!$C223-$C$3)*('S-Table'!$C223-$D$3)=0,'S-Table'!B223,0),0)</f>
        <v>0</v>
      </c>
      <c r="I223" s="14">
        <f>IF(('S-Table'!$B223-$C$2)*('S-Table'!$B223-$D$2)=0,IF(('S-Table'!$C223-$C$3)*('S-Table'!$C223-$D$3)=0,'S-Table'!C223,0),0)</f>
        <v>0</v>
      </c>
      <c r="J223" s="14">
        <f>IF(('S-Table'!$B223-$C$2)*('S-Table'!$B223-$D$2)=0,IF(('S-Table'!$C223-$C$3)*('S-Table'!$C223-$D$3)=0,'S-Table'!D223,0),0)</f>
        <v>0</v>
      </c>
      <c r="K223" s="14">
        <f>IF(('S-Table'!$B223-$C$2)*('S-Table'!$B223-$D$2)=0,IF(('S-Table'!$C223-$C$3)*('S-Table'!$C223-$D$3)=0,'S-Table'!E223,0),0)</f>
        <v>0</v>
      </c>
    </row>
    <row r="224" spans="6:11" x14ac:dyDescent="0.2">
      <c r="F224" s="14">
        <f>IF(G224=0,IF(G223=0,F223,F223+1),IF(G223=0,MAX(F$1:F223),MAX(F$1:F223)+1))</f>
        <v>9</v>
      </c>
      <c r="G224" s="14">
        <f>IF(('S-Table'!$B224-$C$2)*('S-Table'!$B224-$D$2)=0,IF(('S-Table'!$C224-$C$3)*('S-Table'!$C224-$D$3)=0,'S-Table'!A224,0),0)</f>
        <v>0</v>
      </c>
      <c r="H224" s="14">
        <f>IF(('S-Table'!$B224-$C$2)*('S-Table'!$B224-$D$2)=0,IF(('S-Table'!$C224-$C$3)*('S-Table'!$C224-$D$3)=0,'S-Table'!B224,0),0)</f>
        <v>0</v>
      </c>
      <c r="I224" s="14">
        <f>IF(('S-Table'!$B224-$C$2)*('S-Table'!$B224-$D$2)=0,IF(('S-Table'!$C224-$C$3)*('S-Table'!$C224-$D$3)=0,'S-Table'!C224,0),0)</f>
        <v>0</v>
      </c>
      <c r="J224" s="14">
        <f>IF(('S-Table'!$B224-$C$2)*('S-Table'!$B224-$D$2)=0,IF(('S-Table'!$C224-$C$3)*('S-Table'!$C224-$D$3)=0,'S-Table'!D224,0),0)</f>
        <v>0</v>
      </c>
      <c r="K224" s="14">
        <f>IF(('S-Table'!$B224-$C$2)*('S-Table'!$B224-$D$2)=0,IF(('S-Table'!$C224-$C$3)*('S-Table'!$C224-$D$3)=0,'S-Table'!E224,0),0)</f>
        <v>0</v>
      </c>
    </row>
    <row r="225" spans="6:11" x14ac:dyDescent="0.2">
      <c r="F225" s="14">
        <f>IF(G225=0,IF(G224=0,F224,F224+1),IF(G224=0,MAX(F$1:F224),MAX(F$1:F224)+1))</f>
        <v>9</v>
      </c>
      <c r="G225" s="14">
        <f>IF(('S-Table'!$B225-$C$2)*('S-Table'!$B225-$D$2)=0,IF(('S-Table'!$C225-$C$3)*('S-Table'!$C225-$D$3)=0,'S-Table'!A225,0),0)</f>
        <v>0</v>
      </c>
      <c r="H225" s="14">
        <f>IF(('S-Table'!$B225-$C$2)*('S-Table'!$B225-$D$2)=0,IF(('S-Table'!$C225-$C$3)*('S-Table'!$C225-$D$3)=0,'S-Table'!B225,0),0)</f>
        <v>0</v>
      </c>
      <c r="I225" s="14">
        <f>IF(('S-Table'!$B225-$C$2)*('S-Table'!$B225-$D$2)=0,IF(('S-Table'!$C225-$C$3)*('S-Table'!$C225-$D$3)=0,'S-Table'!C225,0),0)</f>
        <v>0</v>
      </c>
      <c r="J225" s="14">
        <f>IF(('S-Table'!$B225-$C$2)*('S-Table'!$B225-$D$2)=0,IF(('S-Table'!$C225-$C$3)*('S-Table'!$C225-$D$3)=0,'S-Table'!D225,0),0)</f>
        <v>0</v>
      </c>
      <c r="K225" s="14">
        <f>IF(('S-Table'!$B225-$C$2)*('S-Table'!$B225-$D$2)=0,IF(('S-Table'!$C225-$C$3)*('S-Table'!$C225-$D$3)=0,'S-Table'!E225,0),0)</f>
        <v>0</v>
      </c>
    </row>
    <row r="226" spans="6:11" x14ac:dyDescent="0.2">
      <c r="F226" s="14">
        <f>IF(G226=0,IF(G225=0,F225,F225+1),IF(G225=0,MAX(F$1:F225),MAX(F$1:F225)+1))</f>
        <v>9</v>
      </c>
      <c r="G226" s="14">
        <f>IF(('S-Table'!$B226-$C$2)*('S-Table'!$B226-$D$2)=0,IF(('S-Table'!$C226-$C$3)*('S-Table'!$C226-$D$3)=0,'S-Table'!A226,0),0)</f>
        <v>0</v>
      </c>
      <c r="H226" s="14">
        <f>IF(('S-Table'!$B226-$C$2)*('S-Table'!$B226-$D$2)=0,IF(('S-Table'!$C226-$C$3)*('S-Table'!$C226-$D$3)=0,'S-Table'!B226,0),0)</f>
        <v>0</v>
      </c>
      <c r="I226" s="14">
        <f>IF(('S-Table'!$B226-$C$2)*('S-Table'!$B226-$D$2)=0,IF(('S-Table'!$C226-$C$3)*('S-Table'!$C226-$D$3)=0,'S-Table'!C226,0),0)</f>
        <v>0</v>
      </c>
      <c r="J226" s="14">
        <f>IF(('S-Table'!$B226-$C$2)*('S-Table'!$B226-$D$2)=0,IF(('S-Table'!$C226-$C$3)*('S-Table'!$C226-$D$3)=0,'S-Table'!D226,0),0)</f>
        <v>0</v>
      </c>
      <c r="K226" s="14">
        <f>IF(('S-Table'!$B226-$C$2)*('S-Table'!$B226-$D$2)=0,IF(('S-Table'!$C226-$C$3)*('S-Table'!$C226-$D$3)=0,'S-Table'!E226,0),0)</f>
        <v>0</v>
      </c>
    </row>
    <row r="227" spans="6:11" x14ac:dyDescent="0.2">
      <c r="F227" s="14">
        <f>IF(G227=0,IF(G226=0,F226,F226+1),IF(G226=0,MAX(F$1:F226),MAX(F$1:F226)+1))</f>
        <v>9</v>
      </c>
      <c r="G227" s="14">
        <f>IF(('S-Table'!$B227-$C$2)*('S-Table'!$B227-$D$2)=0,IF(('S-Table'!$C227-$C$3)*('S-Table'!$C227-$D$3)=0,'S-Table'!A227,0),0)</f>
        <v>0</v>
      </c>
      <c r="H227" s="14">
        <f>IF(('S-Table'!$B227-$C$2)*('S-Table'!$B227-$D$2)=0,IF(('S-Table'!$C227-$C$3)*('S-Table'!$C227-$D$3)=0,'S-Table'!B227,0),0)</f>
        <v>0</v>
      </c>
      <c r="I227" s="14">
        <f>IF(('S-Table'!$B227-$C$2)*('S-Table'!$B227-$D$2)=0,IF(('S-Table'!$C227-$C$3)*('S-Table'!$C227-$D$3)=0,'S-Table'!C227,0),0)</f>
        <v>0</v>
      </c>
      <c r="J227" s="14">
        <f>IF(('S-Table'!$B227-$C$2)*('S-Table'!$B227-$D$2)=0,IF(('S-Table'!$C227-$C$3)*('S-Table'!$C227-$D$3)=0,'S-Table'!D227,0),0)</f>
        <v>0</v>
      </c>
      <c r="K227" s="14">
        <f>IF(('S-Table'!$B227-$C$2)*('S-Table'!$B227-$D$2)=0,IF(('S-Table'!$C227-$C$3)*('S-Table'!$C227-$D$3)=0,'S-Table'!E227,0),0)</f>
        <v>0</v>
      </c>
    </row>
    <row r="228" spans="6:11" x14ac:dyDescent="0.2">
      <c r="F228" s="14">
        <f>IF(G228=0,IF(G227=0,F227,F227+1),IF(G227=0,MAX(F$1:F227),MAX(F$1:F227)+1))</f>
        <v>9</v>
      </c>
      <c r="G228" s="14">
        <f>IF(('S-Table'!$B228-$C$2)*('S-Table'!$B228-$D$2)=0,IF(('S-Table'!$C228-$C$3)*('S-Table'!$C228-$D$3)=0,'S-Table'!A228,0),0)</f>
        <v>0</v>
      </c>
      <c r="H228" s="14">
        <f>IF(('S-Table'!$B228-$C$2)*('S-Table'!$B228-$D$2)=0,IF(('S-Table'!$C228-$C$3)*('S-Table'!$C228-$D$3)=0,'S-Table'!B228,0),0)</f>
        <v>0</v>
      </c>
      <c r="I228" s="14">
        <f>IF(('S-Table'!$B228-$C$2)*('S-Table'!$B228-$D$2)=0,IF(('S-Table'!$C228-$C$3)*('S-Table'!$C228-$D$3)=0,'S-Table'!C228,0),0)</f>
        <v>0</v>
      </c>
      <c r="J228" s="14">
        <f>IF(('S-Table'!$B228-$C$2)*('S-Table'!$B228-$D$2)=0,IF(('S-Table'!$C228-$C$3)*('S-Table'!$C228-$D$3)=0,'S-Table'!D228,0),0)</f>
        <v>0</v>
      </c>
      <c r="K228" s="14">
        <f>IF(('S-Table'!$B228-$C$2)*('S-Table'!$B228-$D$2)=0,IF(('S-Table'!$C228-$C$3)*('S-Table'!$C228-$D$3)=0,'S-Table'!E228,0),0)</f>
        <v>0</v>
      </c>
    </row>
    <row r="229" spans="6:11" x14ac:dyDescent="0.2">
      <c r="F229" s="14">
        <f>IF(G229=0,IF(G228=0,F228,F228+1),IF(G228=0,MAX(F$1:F228),MAX(F$1:F228)+1))</f>
        <v>9</v>
      </c>
      <c r="G229" s="14">
        <f>IF(('S-Table'!$B229-$C$2)*('S-Table'!$B229-$D$2)=0,IF(('S-Table'!$C229-$C$3)*('S-Table'!$C229-$D$3)=0,'S-Table'!A229,0),0)</f>
        <v>0</v>
      </c>
      <c r="H229" s="14">
        <f>IF(('S-Table'!$B229-$C$2)*('S-Table'!$B229-$D$2)=0,IF(('S-Table'!$C229-$C$3)*('S-Table'!$C229-$D$3)=0,'S-Table'!B229,0),0)</f>
        <v>0</v>
      </c>
      <c r="I229" s="14">
        <f>IF(('S-Table'!$B229-$C$2)*('S-Table'!$B229-$D$2)=0,IF(('S-Table'!$C229-$C$3)*('S-Table'!$C229-$D$3)=0,'S-Table'!C229,0),0)</f>
        <v>0</v>
      </c>
      <c r="J229" s="14">
        <f>IF(('S-Table'!$B229-$C$2)*('S-Table'!$B229-$D$2)=0,IF(('S-Table'!$C229-$C$3)*('S-Table'!$C229-$D$3)=0,'S-Table'!D229,0),0)</f>
        <v>0</v>
      </c>
      <c r="K229" s="14">
        <f>IF(('S-Table'!$B229-$C$2)*('S-Table'!$B229-$D$2)=0,IF(('S-Table'!$C229-$C$3)*('S-Table'!$C229-$D$3)=0,'S-Table'!E229,0),0)</f>
        <v>0</v>
      </c>
    </row>
    <row r="230" spans="6:11" x14ac:dyDescent="0.2">
      <c r="F230" s="14">
        <f>IF(G230=0,IF(G229=0,F229,F229+1),IF(G229=0,MAX(F$1:F229),MAX(F$1:F229)+1))</f>
        <v>9</v>
      </c>
      <c r="G230" s="14">
        <f>IF(('S-Table'!$B230-$C$2)*('S-Table'!$B230-$D$2)=0,IF(('S-Table'!$C230-$C$3)*('S-Table'!$C230-$D$3)=0,'S-Table'!A230,0),0)</f>
        <v>0</v>
      </c>
      <c r="H230" s="14">
        <f>IF(('S-Table'!$B230-$C$2)*('S-Table'!$B230-$D$2)=0,IF(('S-Table'!$C230-$C$3)*('S-Table'!$C230-$D$3)=0,'S-Table'!B230,0),0)</f>
        <v>0</v>
      </c>
      <c r="I230" s="14">
        <f>IF(('S-Table'!$B230-$C$2)*('S-Table'!$B230-$D$2)=0,IF(('S-Table'!$C230-$C$3)*('S-Table'!$C230-$D$3)=0,'S-Table'!C230,0),0)</f>
        <v>0</v>
      </c>
      <c r="J230" s="14">
        <f>IF(('S-Table'!$B230-$C$2)*('S-Table'!$B230-$D$2)=0,IF(('S-Table'!$C230-$C$3)*('S-Table'!$C230-$D$3)=0,'S-Table'!D230,0),0)</f>
        <v>0</v>
      </c>
      <c r="K230" s="14">
        <f>IF(('S-Table'!$B230-$C$2)*('S-Table'!$B230-$D$2)=0,IF(('S-Table'!$C230-$C$3)*('S-Table'!$C230-$D$3)=0,'S-Table'!E230,0),0)</f>
        <v>0</v>
      </c>
    </row>
    <row r="231" spans="6:11" x14ac:dyDescent="0.2">
      <c r="F231" s="14">
        <f>IF(G231=0,IF(G230=0,F230,F230+1),IF(G230=0,MAX(F$1:F230),MAX(F$1:F230)+1))</f>
        <v>9</v>
      </c>
      <c r="G231" s="14">
        <f>IF(('S-Table'!$B231-$C$2)*('S-Table'!$B231-$D$2)=0,IF(('S-Table'!$C231-$C$3)*('S-Table'!$C231-$D$3)=0,'S-Table'!A231,0),0)</f>
        <v>0</v>
      </c>
      <c r="H231" s="14">
        <f>IF(('S-Table'!$B231-$C$2)*('S-Table'!$B231-$D$2)=0,IF(('S-Table'!$C231-$C$3)*('S-Table'!$C231-$D$3)=0,'S-Table'!B231,0),0)</f>
        <v>0</v>
      </c>
      <c r="I231" s="14">
        <f>IF(('S-Table'!$B231-$C$2)*('S-Table'!$B231-$D$2)=0,IF(('S-Table'!$C231-$C$3)*('S-Table'!$C231-$D$3)=0,'S-Table'!C231,0),0)</f>
        <v>0</v>
      </c>
      <c r="J231" s="14">
        <f>IF(('S-Table'!$B231-$C$2)*('S-Table'!$B231-$D$2)=0,IF(('S-Table'!$C231-$C$3)*('S-Table'!$C231-$D$3)=0,'S-Table'!D231,0),0)</f>
        <v>0</v>
      </c>
      <c r="K231" s="14">
        <f>IF(('S-Table'!$B231-$C$2)*('S-Table'!$B231-$D$2)=0,IF(('S-Table'!$C231-$C$3)*('S-Table'!$C231-$D$3)=0,'S-Table'!E231,0),0)</f>
        <v>0</v>
      </c>
    </row>
    <row r="232" spans="6:11" x14ac:dyDescent="0.2">
      <c r="F232" s="14">
        <f>IF(G232=0,IF(G231=0,F231,F231+1),IF(G231=0,MAX(F$1:F231),MAX(F$1:F231)+1))</f>
        <v>9</v>
      </c>
      <c r="G232" s="14">
        <f>IF(('S-Table'!$B232-$C$2)*('S-Table'!$B232-$D$2)=0,IF(('S-Table'!$C232-$C$3)*('S-Table'!$C232-$D$3)=0,'S-Table'!A232,0),0)</f>
        <v>0</v>
      </c>
      <c r="H232" s="14">
        <f>IF(('S-Table'!$B232-$C$2)*('S-Table'!$B232-$D$2)=0,IF(('S-Table'!$C232-$C$3)*('S-Table'!$C232-$D$3)=0,'S-Table'!B232,0),0)</f>
        <v>0</v>
      </c>
      <c r="I232" s="14">
        <f>IF(('S-Table'!$B232-$C$2)*('S-Table'!$B232-$D$2)=0,IF(('S-Table'!$C232-$C$3)*('S-Table'!$C232-$D$3)=0,'S-Table'!C232,0),0)</f>
        <v>0</v>
      </c>
      <c r="J232" s="14">
        <f>IF(('S-Table'!$B232-$C$2)*('S-Table'!$B232-$D$2)=0,IF(('S-Table'!$C232-$C$3)*('S-Table'!$C232-$D$3)=0,'S-Table'!D232,0),0)</f>
        <v>0</v>
      </c>
      <c r="K232" s="14">
        <f>IF(('S-Table'!$B232-$C$2)*('S-Table'!$B232-$D$2)=0,IF(('S-Table'!$C232-$C$3)*('S-Table'!$C232-$D$3)=0,'S-Table'!E232,0),0)</f>
        <v>0</v>
      </c>
    </row>
    <row r="233" spans="6:11" x14ac:dyDescent="0.2">
      <c r="F233" s="14">
        <f>IF(G233=0,IF(G232=0,F232,F232+1),IF(G232=0,MAX(F$1:F232),MAX(F$1:F232)+1))</f>
        <v>9</v>
      </c>
      <c r="G233" s="14">
        <f>IF(('S-Table'!$B233-$C$2)*('S-Table'!$B233-$D$2)=0,IF(('S-Table'!$C233-$C$3)*('S-Table'!$C233-$D$3)=0,'S-Table'!A233,0),0)</f>
        <v>0</v>
      </c>
      <c r="H233" s="14">
        <f>IF(('S-Table'!$B233-$C$2)*('S-Table'!$B233-$D$2)=0,IF(('S-Table'!$C233-$C$3)*('S-Table'!$C233-$D$3)=0,'S-Table'!B233,0),0)</f>
        <v>0</v>
      </c>
      <c r="I233" s="14">
        <f>IF(('S-Table'!$B233-$C$2)*('S-Table'!$B233-$D$2)=0,IF(('S-Table'!$C233-$C$3)*('S-Table'!$C233-$D$3)=0,'S-Table'!C233,0),0)</f>
        <v>0</v>
      </c>
      <c r="J233" s="14">
        <f>IF(('S-Table'!$B233-$C$2)*('S-Table'!$B233-$D$2)=0,IF(('S-Table'!$C233-$C$3)*('S-Table'!$C233-$D$3)=0,'S-Table'!D233,0),0)</f>
        <v>0</v>
      </c>
      <c r="K233" s="14">
        <f>IF(('S-Table'!$B233-$C$2)*('S-Table'!$B233-$D$2)=0,IF(('S-Table'!$C233-$C$3)*('S-Table'!$C233-$D$3)=0,'S-Table'!E233,0),0)</f>
        <v>0</v>
      </c>
    </row>
    <row r="234" spans="6:11" x14ac:dyDescent="0.2">
      <c r="F234" s="14">
        <f>IF(G234=0,IF(G233=0,F233,F233+1),IF(G233=0,MAX(F$1:F233),MAX(F$1:F233)+1))</f>
        <v>9</v>
      </c>
      <c r="G234" s="14">
        <f>IF(('S-Table'!$B234-$C$2)*('S-Table'!$B234-$D$2)=0,IF(('S-Table'!$C234-$C$3)*('S-Table'!$C234-$D$3)=0,'S-Table'!A234,0),0)</f>
        <v>0</v>
      </c>
      <c r="H234" s="14">
        <f>IF(('S-Table'!$B234-$C$2)*('S-Table'!$B234-$D$2)=0,IF(('S-Table'!$C234-$C$3)*('S-Table'!$C234-$D$3)=0,'S-Table'!B234,0),0)</f>
        <v>0</v>
      </c>
      <c r="I234" s="14">
        <f>IF(('S-Table'!$B234-$C$2)*('S-Table'!$B234-$D$2)=0,IF(('S-Table'!$C234-$C$3)*('S-Table'!$C234-$D$3)=0,'S-Table'!C234,0),0)</f>
        <v>0</v>
      </c>
      <c r="J234" s="14">
        <f>IF(('S-Table'!$B234-$C$2)*('S-Table'!$B234-$D$2)=0,IF(('S-Table'!$C234-$C$3)*('S-Table'!$C234-$D$3)=0,'S-Table'!D234,0),0)</f>
        <v>0</v>
      </c>
      <c r="K234" s="14">
        <f>IF(('S-Table'!$B234-$C$2)*('S-Table'!$B234-$D$2)=0,IF(('S-Table'!$C234-$C$3)*('S-Table'!$C234-$D$3)=0,'S-Table'!E234,0),0)</f>
        <v>0</v>
      </c>
    </row>
    <row r="235" spans="6:11" x14ac:dyDescent="0.2">
      <c r="F235" s="14">
        <f>IF(G235=0,IF(G234=0,F234,F234+1),IF(G234=0,MAX(F$1:F234),MAX(F$1:F234)+1))</f>
        <v>9</v>
      </c>
      <c r="G235" s="14">
        <f>IF(('S-Table'!$B235-$C$2)*('S-Table'!$B235-$D$2)=0,IF(('S-Table'!$C235-$C$3)*('S-Table'!$C235-$D$3)=0,'S-Table'!A235,0),0)</f>
        <v>0</v>
      </c>
      <c r="H235" s="14">
        <f>IF(('S-Table'!$B235-$C$2)*('S-Table'!$B235-$D$2)=0,IF(('S-Table'!$C235-$C$3)*('S-Table'!$C235-$D$3)=0,'S-Table'!B235,0),0)</f>
        <v>0</v>
      </c>
      <c r="I235" s="14">
        <f>IF(('S-Table'!$B235-$C$2)*('S-Table'!$B235-$D$2)=0,IF(('S-Table'!$C235-$C$3)*('S-Table'!$C235-$D$3)=0,'S-Table'!C235,0),0)</f>
        <v>0</v>
      </c>
      <c r="J235" s="14">
        <f>IF(('S-Table'!$B235-$C$2)*('S-Table'!$B235-$D$2)=0,IF(('S-Table'!$C235-$C$3)*('S-Table'!$C235-$D$3)=0,'S-Table'!D235,0),0)</f>
        <v>0</v>
      </c>
      <c r="K235" s="14">
        <f>IF(('S-Table'!$B235-$C$2)*('S-Table'!$B235-$D$2)=0,IF(('S-Table'!$C235-$C$3)*('S-Table'!$C235-$D$3)=0,'S-Table'!E235,0),0)</f>
        <v>0</v>
      </c>
    </row>
    <row r="236" spans="6:11" x14ac:dyDescent="0.2">
      <c r="F236" s="14">
        <f>IF(G236=0,IF(G235=0,F235,F235+1),IF(G235=0,MAX(F$1:F235),MAX(F$1:F235)+1))</f>
        <v>9</v>
      </c>
      <c r="G236" s="14">
        <f>IF(('S-Table'!$B236-$C$2)*('S-Table'!$B236-$D$2)=0,IF(('S-Table'!$C236-$C$3)*('S-Table'!$C236-$D$3)=0,'S-Table'!A236,0),0)</f>
        <v>0</v>
      </c>
      <c r="H236" s="14">
        <f>IF(('S-Table'!$B236-$C$2)*('S-Table'!$B236-$D$2)=0,IF(('S-Table'!$C236-$C$3)*('S-Table'!$C236-$D$3)=0,'S-Table'!B236,0),0)</f>
        <v>0</v>
      </c>
      <c r="I236" s="14">
        <f>IF(('S-Table'!$B236-$C$2)*('S-Table'!$B236-$D$2)=0,IF(('S-Table'!$C236-$C$3)*('S-Table'!$C236-$D$3)=0,'S-Table'!C236,0),0)</f>
        <v>0</v>
      </c>
      <c r="J236" s="14">
        <f>IF(('S-Table'!$B236-$C$2)*('S-Table'!$B236-$D$2)=0,IF(('S-Table'!$C236-$C$3)*('S-Table'!$C236-$D$3)=0,'S-Table'!D236,0),0)</f>
        <v>0</v>
      </c>
      <c r="K236" s="14">
        <f>IF(('S-Table'!$B236-$C$2)*('S-Table'!$B236-$D$2)=0,IF(('S-Table'!$C236-$C$3)*('S-Table'!$C236-$D$3)=0,'S-Table'!E236,0),0)</f>
        <v>0</v>
      </c>
    </row>
    <row r="237" spans="6:11" x14ac:dyDescent="0.2">
      <c r="F237" s="14">
        <f>IF(G237=0,IF(G236=0,F236,F236+1),IF(G236=0,MAX(F$1:F236),MAX(F$1:F236)+1))</f>
        <v>9</v>
      </c>
      <c r="G237" s="14">
        <f>IF(('S-Table'!$B237-$C$2)*('S-Table'!$B237-$D$2)=0,IF(('S-Table'!$C237-$C$3)*('S-Table'!$C237-$D$3)=0,'S-Table'!A237,0),0)</f>
        <v>0</v>
      </c>
      <c r="H237" s="14">
        <f>IF(('S-Table'!$B237-$C$2)*('S-Table'!$B237-$D$2)=0,IF(('S-Table'!$C237-$C$3)*('S-Table'!$C237-$D$3)=0,'S-Table'!B237,0),0)</f>
        <v>0</v>
      </c>
      <c r="I237" s="14">
        <f>IF(('S-Table'!$B237-$C$2)*('S-Table'!$B237-$D$2)=0,IF(('S-Table'!$C237-$C$3)*('S-Table'!$C237-$D$3)=0,'S-Table'!C237,0),0)</f>
        <v>0</v>
      </c>
      <c r="J237" s="14">
        <f>IF(('S-Table'!$B237-$C$2)*('S-Table'!$B237-$D$2)=0,IF(('S-Table'!$C237-$C$3)*('S-Table'!$C237-$D$3)=0,'S-Table'!D237,0),0)</f>
        <v>0</v>
      </c>
      <c r="K237" s="14">
        <f>IF(('S-Table'!$B237-$C$2)*('S-Table'!$B237-$D$2)=0,IF(('S-Table'!$C237-$C$3)*('S-Table'!$C237-$D$3)=0,'S-Table'!E237,0),0)</f>
        <v>0</v>
      </c>
    </row>
    <row r="238" spans="6:11" x14ac:dyDescent="0.2">
      <c r="F238" s="14">
        <f>IF(G238=0,IF(G237=0,F237,F237+1),IF(G237=0,MAX(F$1:F237),MAX(F$1:F237)+1))</f>
        <v>9</v>
      </c>
      <c r="G238" s="14">
        <f>IF(('S-Table'!$B238-$C$2)*('S-Table'!$B238-$D$2)=0,IF(('S-Table'!$C238-$C$3)*('S-Table'!$C238-$D$3)=0,'S-Table'!A238,0),0)</f>
        <v>0</v>
      </c>
      <c r="H238" s="14">
        <f>IF(('S-Table'!$B238-$C$2)*('S-Table'!$B238-$D$2)=0,IF(('S-Table'!$C238-$C$3)*('S-Table'!$C238-$D$3)=0,'S-Table'!B238,0),0)</f>
        <v>0</v>
      </c>
      <c r="I238" s="14">
        <f>IF(('S-Table'!$B238-$C$2)*('S-Table'!$B238-$D$2)=0,IF(('S-Table'!$C238-$C$3)*('S-Table'!$C238-$D$3)=0,'S-Table'!C238,0),0)</f>
        <v>0</v>
      </c>
      <c r="J238" s="14">
        <f>IF(('S-Table'!$B238-$C$2)*('S-Table'!$B238-$D$2)=0,IF(('S-Table'!$C238-$C$3)*('S-Table'!$C238-$D$3)=0,'S-Table'!D238,0),0)</f>
        <v>0</v>
      </c>
      <c r="K238" s="14">
        <f>IF(('S-Table'!$B238-$C$2)*('S-Table'!$B238-$D$2)=0,IF(('S-Table'!$C238-$C$3)*('S-Table'!$C238-$D$3)=0,'S-Table'!E238,0),0)</f>
        <v>0</v>
      </c>
    </row>
    <row r="239" spans="6:11" x14ac:dyDescent="0.2">
      <c r="F239" s="14">
        <f>IF(G239=0,IF(G238=0,F238,F238+1),IF(G238=0,MAX(F$1:F238),MAX(F$1:F238)+1))</f>
        <v>9</v>
      </c>
      <c r="G239" s="14">
        <f>IF(('S-Table'!$B239-$C$2)*('S-Table'!$B239-$D$2)=0,IF(('S-Table'!$C239-$C$3)*('S-Table'!$C239-$D$3)=0,'S-Table'!A239,0),0)</f>
        <v>0</v>
      </c>
      <c r="H239" s="14">
        <f>IF(('S-Table'!$B239-$C$2)*('S-Table'!$B239-$D$2)=0,IF(('S-Table'!$C239-$C$3)*('S-Table'!$C239-$D$3)=0,'S-Table'!B239,0),0)</f>
        <v>0</v>
      </c>
      <c r="I239" s="14">
        <f>IF(('S-Table'!$B239-$C$2)*('S-Table'!$B239-$D$2)=0,IF(('S-Table'!$C239-$C$3)*('S-Table'!$C239-$D$3)=0,'S-Table'!C239,0),0)</f>
        <v>0</v>
      </c>
      <c r="J239" s="14">
        <f>IF(('S-Table'!$B239-$C$2)*('S-Table'!$B239-$D$2)=0,IF(('S-Table'!$C239-$C$3)*('S-Table'!$C239-$D$3)=0,'S-Table'!D239,0),0)</f>
        <v>0</v>
      </c>
      <c r="K239" s="14">
        <f>IF(('S-Table'!$B239-$C$2)*('S-Table'!$B239-$D$2)=0,IF(('S-Table'!$C239-$C$3)*('S-Table'!$C239-$D$3)=0,'S-Table'!E239,0),0)</f>
        <v>0</v>
      </c>
    </row>
    <row r="240" spans="6:11" x14ac:dyDescent="0.2">
      <c r="F240" s="14">
        <f>IF(G240=0,IF(G239=0,F239,F239+1),IF(G239=0,MAX(F$1:F239),MAX(F$1:F239)+1))</f>
        <v>9</v>
      </c>
      <c r="G240" s="14">
        <f>IF(('S-Table'!$B240-$C$2)*('S-Table'!$B240-$D$2)=0,IF(('S-Table'!$C240-$C$3)*('S-Table'!$C240-$D$3)=0,'S-Table'!A240,0),0)</f>
        <v>0</v>
      </c>
      <c r="H240" s="14">
        <f>IF(('S-Table'!$B240-$C$2)*('S-Table'!$B240-$D$2)=0,IF(('S-Table'!$C240-$C$3)*('S-Table'!$C240-$D$3)=0,'S-Table'!B240,0),0)</f>
        <v>0</v>
      </c>
      <c r="I240" s="14">
        <f>IF(('S-Table'!$B240-$C$2)*('S-Table'!$B240-$D$2)=0,IF(('S-Table'!$C240-$C$3)*('S-Table'!$C240-$D$3)=0,'S-Table'!C240,0),0)</f>
        <v>0</v>
      </c>
      <c r="J240" s="14">
        <f>IF(('S-Table'!$B240-$C$2)*('S-Table'!$B240-$D$2)=0,IF(('S-Table'!$C240-$C$3)*('S-Table'!$C240-$D$3)=0,'S-Table'!D240,0),0)</f>
        <v>0</v>
      </c>
      <c r="K240" s="14">
        <f>IF(('S-Table'!$B240-$C$2)*('S-Table'!$B240-$D$2)=0,IF(('S-Table'!$C240-$C$3)*('S-Table'!$C240-$D$3)=0,'S-Table'!E240,0),0)</f>
        <v>0</v>
      </c>
    </row>
    <row r="241" spans="6:11" x14ac:dyDescent="0.2">
      <c r="F241" s="14">
        <f>IF(G241=0,IF(G240=0,F240,F240+1),IF(G240=0,MAX(F$1:F240),MAX(F$1:F240)+1))</f>
        <v>9</v>
      </c>
      <c r="G241" s="14">
        <f>IF(('S-Table'!$B241-$C$2)*('S-Table'!$B241-$D$2)=0,IF(('S-Table'!$C241-$C$3)*('S-Table'!$C241-$D$3)=0,'S-Table'!A241,0),0)</f>
        <v>0</v>
      </c>
      <c r="H241" s="14">
        <f>IF(('S-Table'!$B241-$C$2)*('S-Table'!$B241-$D$2)=0,IF(('S-Table'!$C241-$C$3)*('S-Table'!$C241-$D$3)=0,'S-Table'!B241,0),0)</f>
        <v>0</v>
      </c>
      <c r="I241" s="14">
        <f>IF(('S-Table'!$B241-$C$2)*('S-Table'!$B241-$D$2)=0,IF(('S-Table'!$C241-$C$3)*('S-Table'!$C241-$D$3)=0,'S-Table'!C241,0),0)</f>
        <v>0</v>
      </c>
      <c r="J241" s="14">
        <f>IF(('S-Table'!$B241-$C$2)*('S-Table'!$B241-$D$2)=0,IF(('S-Table'!$C241-$C$3)*('S-Table'!$C241-$D$3)=0,'S-Table'!D241,0),0)</f>
        <v>0</v>
      </c>
      <c r="K241" s="14">
        <f>IF(('S-Table'!$B241-$C$2)*('S-Table'!$B241-$D$2)=0,IF(('S-Table'!$C241-$C$3)*('S-Table'!$C241-$D$3)=0,'S-Table'!E241,0),0)</f>
        <v>0</v>
      </c>
    </row>
    <row r="242" spans="6:11" x14ac:dyDescent="0.2">
      <c r="F242" s="14">
        <f>IF(G242=0,IF(G241=0,F241,F241+1),IF(G241=0,MAX(F$1:F241),MAX(F$1:F241)+1))</f>
        <v>9</v>
      </c>
      <c r="G242" s="14">
        <f>IF(('S-Table'!$B242-$C$2)*('S-Table'!$B242-$D$2)=0,IF(('S-Table'!$C242-$C$3)*('S-Table'!$C242-$D$3)=0,'S-Table'!A242,0),0)</f>
        <v>0</v>
      </c>
      <c r="H242" s="14">
        <f>IF(('S-Table'!$B242-$C$2)*('S-Table'!$B242-$D$2)=0,IF(('S-Table'!$C242-$C$3)*('S-Table'!$C242-$D$3)=0,'S-Table'!B242,0),0)</f>
        <v>0</v>
      </c>
      <c r="I242" s="14">
        <f>IF(('S-Table'!$B242-$C$2)*('S-Table'!$B242-$D$2)=0,IF(('S-Table'!$C242-$C$3)*('S-Table'!$C242-$D$3)=0,'S-Table'!C242,0),0)</f>
        <v>0</v>
      </c>
      <c r="J242" s="14">
        <f>IF(('S-Table'!$B242-$C$2)*('S-Table'!$B242-$D$2)=0,IF(('S-Table'!$C242-$C$3)*('S-Table'!$C242-$D$3)=0,'S-Table'!D242,0),0)</f>
        <v>0</v>
      </c>
      <c r="K242" s="14">
        <f>IF(('S-Table'!$B242-$C$2)*('S-Table'!$B242-$D$2)=0,IF(('S-Table'!$C242-$C$3)*('S-Table'!$C242-$D$3)=0,'S-Table'!E242,0),0)</f>
        <v>0</v>
      </c>
    </row>
    <row r="243" spans="6:11" x14ac:dyDescent="0.2">
      <c r="F243" s="14">
        <f>IF(G243=0,IF(G242=0,F242,F242+1),IF(G242=0,MAX(F$1:F242),MAX(F$1:F242)+1))</f>
        <v>9</v>
      </c>
      <c r="G243" s="14">
        <f>IF(('S-Table'!$B243-$C$2)*('S-Table'!$B243-$D$2)=0,IF(('S-Table'!$C243-$C$3)*('S-Table'!$C243-$D$3)=0,'S-Table'!A243,0),0)</f>
        <v>0</v>
      </c>
      <c r="H243" s="14">
        <f>IF(('S-Table'!$B243-$C$2)*('S-Table'!$B243-$D$2)=0,IF(('S-Table'!$C243-$C$3)*('S-Table'!$C243-$D$3)=0,'S-Table'!B243,0),0)</f>
        <v>0</v>
      </c>
      <c r="I243" s="14">
        <f>IF(('S-Table'!$B243-$C$2)*('S-Table'!$B243-$D$2)=0,IF(('S-Table'!$C243-$C$3)*('S-Table'!$C243-$D$3)=0,'S-Table'!C243,0),0)</f>
        <v>0</v>
      </c>
      <c r="J243" s="14">
        <f>IF(('S-Table'!$B243-$C$2)*('S-Table'!$B243-$D$2)=0,IF(('S-Table'!$C243-$C$3)*('S-Table'!$C243-$D$3)=0,'S-Table'!D243,0),0)</f>
        <v>0</v>
      </c>
      <c r="K243" s="14">
        <f>IF(('S-Table'!$B243-$C$2)*('S-Table'!$B243-$D$2)=0,IF(('S-Table'!$C243-$C$3)*('S-Table'!$C243-$D$3)=0,'S-Table'!E243,0),0)</f>
        <v>0</v>
      </c>
    </row>
    <row r="244" spans="6:11" x14ac:dyDescent="0.2">
      <c r="F244" s="14">
        <f>IF(G244=0,IF(G243=0,F243,F243+1),IF(G243=0,MAX(F$1:F243),MAX(F$1:F243)+1))</f>
        <v>9</v>
      </c>
      <c r="G244" s="14">
        <f>IF(('S-Table'!$B244-$C$2)*('S-Table'!$B244-$D$2)=0,IF(('S-Table'!$C244-$C$3)*('S-Table'!$C244-$D$3)=0,'S-Table'!A244,0),0)</f>
        <v>0</v>
      </c>
      <c r="H244" s="14">
        <f>IF(('S-Table'!$B244-$C$2)*('S-Table'!$B244-$D$2)=0,IF(('S-Table'!$C244-$C$3)*('S-Table'!$C244-$D$3)=0,'S-Table'!B244,0),0)</f>
        <v>0</v>
      </c>
      <c r="I244" s="14">
        <f>IF(('S-Table'!$B244-$C$2)*('S-Table'!$B244-$D$2)=0,IF(('S-Table'!$C244-$C$3)*('S-Table'!$C244-$D$3)=0,'S-Table'!C244,0),0)</f>
        <v>0</v>
      </c>
      <c r="J244" s="14">
        <f>IF(('S-Table'!$B244-$C$2)*('S-Table'!$B244-$D$2)=0,IF(('S-Table'!$C244-$C$3)*('S-Table'!$C244-$D$3)=0,'S-Table'!D244,0),0)</f>
        <v>0</v>
      </c>
      <c r="K244" s="14">
        <f>IF(('S-Table'!$B244-$C$2)*('S-Table'!$B244-$D$2)=0,IF(('S-Table'!$C244-$C$3)*('S-Table'!$C244-$D$3)=0,'S-Table'!E244,0),0)</f>
        <v>0</v>
      </c>
    </row>
    <row r="245" spans="6:11" x14ac:dyDescent="0.2">
      <c r="F245" s="14">
        <f>IF(G245=0,IF(G244=0,F244,F244+1),IF(G244=0,MAX(F$1:F244),MAX(F$1:F244)+1))</f>
        <v>9</v>
      </c>
      <c r="G245" s="14">
        <f>IF(('S-Table'!$B245-$C$2)*('S-Table'!$B245-$D$2)=0,IF(('S-Table'!$C245-$C$3)*('S-Table'!$C245-$D$3)=0,'S-Table'!A245,0),0)</f>
        <v>0</v>
      </c>
      <c r="H245" s="14">
        <f>IF(('S-Table'!$B245-$C$2)*('S-Table'!$B245-$D$2)=0,IF(('S-Table'!$C245-$C$3)*('S-Table'!$C245-$D$3)=0,'S-Table'!B245,0),0)</f>
        <v>0</v>
      </c>
      <c r="I245" s="14">
        <f>IF(('S-Table'!$B245-$C$2)*('S-Table'!$B245-$D$2)=0,IF(('S-Table'!$C245-$C$3)*('S-Table'!$C245-$D$3)=0,'S-Table'!C245,0),0)</f>
        <v>0</v>
      </c>
      <c r="J245" s="14">
        <f>IF(('S-Table'!$B245-$C$2)*('S-Table'!$B245-$D$2)=0,IF(('S-Table'!$C245-$C$3)*('S-Table'!$C245-$D$3)=0,'S-Table'!D245,0),0)</f>
        <v>0</v>
      </c>
      <c r="K245" s="14">
        <f>IF(('S-Table'!$B245-$C$2)*('S-Table'!$B245-$D$2)=0,IF(('S-Table'!$C245-$C$3)*('S-Table'!$C245-$D$3)=0,'S-Table'!E245,0),0)</f>
        <v>0</v>
      </c>
    </row>
    <row r="246" spans="6:11" x14ac:dyDescent="0.2">
      <c r="F246" s="14">
        <f>IF(G246=0,IF(G245=0,F245,F245+1),IF(G245=0,MAX(F$1:F245),MAX(F$1:F245)+1))</f>
        <v>9</v>
      </c>
      <c r="G246" s="14">
        <f>IF(('S-Table'!$B246-$C$2)*('S-Table'!$B246-$D$2)=0,IF(('S-Table'!$C246-$C$3)*('S-Table'!$C246-$D$3)=0,'S-Table'!A246,0),0)</f>
        <v>0</v>
      </c>
      <c r="H246" s="14">
        <f>IF(('S-Table'!$B246-$C$2)*('S-Table'!$B246-$D$2)=0,IF(('S-Table'!$C246-$C$3)*('S-Table'!$C246-$D$3)=0,'S-Table'!B246,0),0)</f>
        <v>0</v>
      </c>
      <c r="I246" s="14">
        <f>IF(('S-Table'!$B246-$C$2)*('S-Table'!$B246-$D$2)=0,IF(('S-Table'!$C246-$C$3)*('S-Table'!$C246-$D$3)=0,'S-Table'!C246,0),0)</f>
        <v>0</v>
      </c>
      <c r="J246" s="14">
        <f>IF(('S-Table'!$B246-$C$2)*('S-Table'!$B246-$D$2)=0,IF(('S-Table'!$C246-$C$3)*('S-Table'!$C246-$D$3)=0,'S-Table'!D246,0),0)</f>
        <v>0</v>
      </c>
      <c r="K246" s="14">
        <f>IF(('S-Table'!$B246-$C$2)*('S-Table'!$B246-$D$2)=0,IF(('S-Table'!$C246-$C$3)*('S-Table'!$C246-$D$3)=0,'S-Table'!E246,0),0)</f>
        <v>0</v>
      </c>
    </row>
    <row r="247" spans="6:11" x14ac:dyDescent="0.2">
      <c r="F247" s="14">
        <f>IF(G247=0,IF(G246=0,F246,F246+1),IF(G246=0,MAX(F$1:F246),MAX(F$1:F246)+1))</f>
        <v>9</v>
      </c>
      <c r="G247" s="14">
        <f>IF(('S-Table'!$B247-$C$2)*('S-Table'!$B247-$D$2)=0,IF(('S-Table'!$C247-$C$3)*('S-Table'!$C247-$D$3)=0,'S-Table'!A247,0),0)</f>
        <v>0</v>
      </c>
      <c r="H247" s="14">
        <f>IF(('S-Table'!$B247-$C$2)*('S-Table'!$B247-$D$2)=0,IF(('S-Table'!$C247-$C$3)*('S-Table'!$C247-$D$3)=0,'S-Table'!B247,0),0)</f>
        <v>0</v>
      </c>
      <c r="I247" s="14">
        <f>IF(('S-Table'!$B247-$C$2)*('S-Table'!$B247-$D$2)=0,IF(('S-Table'!$C247-$C$3)*('S-Table'!$C247-$D$3)=0,'S-Table'!C247,0),0)</f>
        <v>0</v>
      </c>
      <c r="J247" s="14">
        <f>IF(('S-Table'!$B247-$C$2)*('S-Table'!$B247-$D$2)=0,IF(('S-Table'!$C247-$C$3)*('S-Table'!$C247-$D$3)=0,'S-Table'!D247,0),0)</f>
        <v>0</v>
      </c>
      <c r="K247" s="14">
        <f>IF(('S-Table'!$B247-$C$2)*('S-Table'!$B247-$D$2)=0,IF(('S-Table'!$C247-$C$3)*('S-Table'!$C247-$D$3)=0,'S-Table'!E247,0),0)</f>
        <v>0</v>
      </c>
    </row>
    <row r="248" spans="6:11" x14ac:dyDescent="0.2">
      <c r="F248" s="14">
        <f>IF(G248=0,IF(G247=0,F247,F247+1),IF(G247=0,MAX(F$1:F247),MAX(F$1:F247)+1))</f>
        <v>9</v>
      </c>
      <c r="G248" s="14">
        <f>IF(('S-Table'!$B248-$C$2)*('S-Table'!$B248-$D$2)=0,IF(('S-Table'!$C248-$C$3)*('S-Table'!$C248-$D$3)=0,'S-Table'!A248,0),0)</f>
        <v>0</v>
      </c>
      <c r="H248" s="14">
        <f>IF(('S-Table'!$B248-$C$2)*('S-Table'!$B248-$D$2)=0,IF(('S-Table'!$C248-$C$3)*('S-Table'!$C248-$D$3)=0,'S-Table'!B248,0),0)</f>
        <v>0</v>
      </c>
      <c r="I248" s="14">
        <f>IF(('S-Table'!$B248-$C$2)*('S-Table'!$B248-$D$2)=0,IF(('S-Table'!$C248-$C$3)*('S-Table'!$C248-$D$3)=0,'S-Table'!C248,0),0)</f>
        <v>0</v>
      </c>
      <c r="J248" s="14">
        <f>IF(('S-Table'!$B248-$C$2)*('S-Table'!$B248-$D$2)=0,IF(('S-Table'!$C248-$C$3)*('S-Table'!$C248-$D$3)=0,'S-Table'!D248,0),0)</f>
        <v>0</v>
      </c>
      <c r="K248" s="14">
        <f>IF(('S-Table'!$B248-$C$2)*('S-Table'!$B248-$D$2)=0,IF(('S-Table'!$C248-$C$3)*('S-Table'!$C248-$D$3)=0,'S-Table'!E248,0),0)</f>
        <v>0</v>
      </c>
    </row>
    <row r="249" spans="6:11" x14ac:dyDescent="0.2">
      <c r="F249" s="14">
        <f>IF(G249=0,IF(G248=0,F248,F248+1),IF(G248=0,MAX(F$1:F248),MAX(F$1:F248)+1))</f>
        <v>9</v>
      </c>
      <c r="G249" s="14">
        <f>IF(('S-Table'!$B249-$C$2)*('S-Table'!$B249-$D$2)=0,IF(('S-Table'!$C249-$C$3)*('S-Table'!$C249-$D$3)=0,'S-Table'!A249,0),0)</f>
        <v>0</v>
      </c>
      <c r="H249" s="14">
        <f>IF(('S-Table'!$B249-$C$2)*('S-Table'!$B249-$D$2)=0,IF(('S-Table'!$C249-$C$3)*('S-Table'!$C249-$D$3)=0,'S-Table'!B249,0),0)</f>
        <v>0</v>
      </c>
      <c r="I249" s="14">
        <f>IF(('S-Table'!$B249-$C$2)*('S-Table'!$B249-$D$2)=0,IF(('S-Table'!$C249-$C$3)*('S-Table'!$C249-$D$3)=0,'S-Table'!C249,0),0)</f>
        <v>0</v>
      </c>
      <c r="J249" s="14">
        <f>IF(('S-Table'!$B249-$C$2)*('S-Table'!$B249-$D$2)=0,IF(('S-Table'!$C249-$C$3)*('S-Table'!$C249-$D$3)=0,'S-Table'!D249,0),0)</f>
        <v>0</v>
      </c>
      <c r="K249" s="14">
        <f>IF(('S-Table'!$B249-$C$2)*('S-Table'!$B249-$D$2)=0,IF(('S-Table'!$C249-$C$3)*('S-Table'!$C249-$D$3)=0,'S-Table'!E249,0),0)</f>
        <v>0</v>
      </c>
    </row>
    <row r="250" spans="6:11" x14ac:dyDescent="0.2">
      <c r="F250" s="14">
        <f>IF(G250=0,IF(G249=0,F249,F249+1),IF(G249=0,MAX(F$1:F249),MAX(F$1:F249)+1))</f>
        <v>9</v>
      </c>
      <c r="G250" s="14">
        <f>IF(('S-Table'!$B250-$C$2)*('S-Table'!$B250-$D$2)=0,IF(('S-Table'!$C250-$C$3)*('S-Table'!$C250-$D$3)=0,'S-Table'!A250,0),0)</f>
        <v>0</v>
      </c>
      <c r="H250" s="14">
        <f>IF(('S-Table'!$B250-$C$2)*('S-Table'!$B250-$D$2)=0,IF(('S-Table'!$C250-$C$3)*('S-Table'!$C250-$D$3)=0,'S-Table'!B250,0),0)</f>
        <v>0</v>
      </c>
      <c r="I250" s="14">
        <f>IF(('S-Table'!$B250-$C$2)*('S-Table'!$B250-$D$2)=0,IF(('S-Table'!$C250-$C$3)*('S-Table'!$C250-$D$3)=0,'S-Table'!C250,0),0)</f>
        <v>0</v>
      </c>
      <c r="J250" s="14">
        <f>IF(('S-Table'!$B250-$C$2)*('S-Table'!$B250-$D$2)=0,IF(('S-Table'!$C250-$C$3)*('S-Table'!$C250-$D$3)=0,'S-Table'!D250,0),0)</f>
        <v>0</v>
      </c>
      <c r="K250" s="14">
        <f>IF(('S-Table'!$B250-$C$2)*('S-Table'!$B250-$D$2)=0,IF(('S-Table'!$C250-$C$3)*('S-Table'!$C250-$D$3)=0,'S-Table'!E250,0),0)</f>
        <v>0</v>
      </c>
    </row>
    <row r="251" spans="6:11" x14ac:dyDescent="0.2">
      <c r="F251" s="14">
        <f>IF(G251=0,IF(G250=0,F250,F250+1),IF(G250=0,MAX(F$1:F250),MAX(F$1:F250)+1))</f>
        <v>9</v>
      </c>
      <c r="G251" s="14">
        <f>IF(('S-Table'!$B251-$C$2)*('S-Table'!$B251-$D$2)=0,IF(('S-Table'!$C251-$C$3)*('S-Table'!$C251-$D$3)=0,'S-Table'!A251,0),0)</f>
        <v>0</v>
      </c>
      <c r="H251" s="14">
        <f>IF(('S-Table'!$B251-$C$2)*('S-Table'!$B251-$D$2)=0,IF(('S-Table'!$C251-$C$3)*('S-Table'!$C251-$D$3)=0,'S-Table'!B251,0),0)</f>
        <v>0</v>
      </c>
      <c r="I251" s="14">
        <f>IF(('S-Table'!$B251-$C$2)*('S-Table'!$B251-$D$2)=0,IF(('S-Table'!$C251-$C$3)*('S-Table'!$C251-$D$3)=0,'S-Table'!C251,0),0)</f>
        <v>0</v>
      </c>
      <c r="J251" s="14">
        <f>IF(('S-Table'!$B251-$C$2)*('S-Table'!$B251-$D$2)=0,IF(('S-Table'!$C251-$C$3)*('S-Table'!$C251-$D$3)=0,'S-Table'!D251,0),0)</f>
        <v>0</v>
      </c>
      <c r="K251" s="14">
        <f>IF(('S-Table'!$B251-$C$2)*('S-Table'!$B251-$D$2)=0,IF(('S-Table'!$C251-$C$3)*('S-Table'!$C251-$D$3)=0,'S-Table'!E251,0),0)</f>
        <v>0</v>
      </c>
    </row>
    <row r="252" spans="6:11" x14ac:dyDescent="0.2">
      <c r="F252" s="14">
        <f>IF(G252=0,IF(G251=0,F251,F251+1),IF(G251=0,MAX(F$1:F251),MAX(F$1:F251)+1))</f>
        <v>9</v>
      </c>
      <c r="G252" s="14">
        <f>IF(('S-Table'!$B252-$C$2)*('S-Table'!$B252-$D$2)=0,IF(('S-Table'!$C252-$C$3)*('S-Table'!$C252-$D$3)=0,'S-Table'!A252,0),0)</f>
        <v>0</v>
      </c>
      <c r="H252" s="14">
        <f>IF(('S-Table'!$B252-$C$2)*('S-Table'!$B252-$D$2)=0,IF(('S-Table'!$C252-$C$3)*('S-Table'!$C252-$D$3)=0,'S-Table'!B252,0),0)</f>
        <v>0</v>
      </c>
      <c r="I252" s="14">
        <f>IF(('S-Table'!$B252-$C$2)*('S-Table'!$B252-$D$2)=0,IF(('S-Table'!$C252-$C$3)*('S-Table'!$C252-$D$3)=0,'S-Table'!C252,0),0)</f>
        <v>0</v>
      </c>
      <c r="J252" s="14">
        <f>IF(('S-Table'!$B252-$C$2)*('S-Table'!$B252-$D$2)=0,IF(('S-Table'!$C252-$C$3)*('S-Table'!$C252-$D$3)=0,'S-Table'!D252,0),0)</f>
        <v>0</v>
      </c>
      <c r="K252" s="14">
        <f>IF(('S-Table'!$B252-$C$2)*('S-Table'!$B252-$D$2)=0,IF(('S-Table'!$C252-$C$3)*('S-Table'!$C252-$D$3)=0,'S-Table'!E252,0),0)</f>
        <v>0</v>
      </c>
    </row>
    <row r="253" spans="6:11" x14ac:dyDescent="0.2">
      <c r="F253" s="14">
        <f>IF(G253=0,IF(G252=0,F252,F252+1),IF(G252=0,MAX(F$1:F252),MAX(F$1:F252)+1))</f>
        <v>9</v>
      </c>
      <c r="G253" s="14">
        <f>IF(('S-Table'!$B253-$C$2)*('S-Table'!$B253-$D$2)=0,IF(('S-Table'!$C253-$C$3)*('S-Table'!$C253-$D$3)=0,'S-Table'!A253,0),0)</f>
        <v>0</v>
      </c>
      <c r="H253" s="14">
        <f>IF(('S-Table'!$B253-$C$2)*('S-Table'!$B253-$D$2)=0,IF(('S-Table'!$C253-$C$3)*('S-Table'!$C253-$D$3)=0,'S-Table'!B253,0),0)</f>
        <v>0</v>
      </c>
      <c r="I253" s="14">
        <f>IF(('S-Table'!$B253-$C$2)*('S-Table'!$B253-$D$2)=0,IF(('S-Table'!$C253-$C$3)*('S-Table'!$C253-$D$3)=0,'S-Table'!C253,0),0)</f>
        <v>0</v>
      </c>
      <c r="J253" s="14">
        <f>IF(('S-Table'!$B253-$C$2)*('S-Table'!$B253-$D$2)=0,IF(('S-Table'!$C253-$C$3)*('S-Table'!$C253-$D$3)=0,'S-Table'!D253,0),0)</f>
        <v>0</v>
      </c>
      <c r="K253" s="14">
        <f>IF(('S-Table'!$B253-$C$2)*('S-Table'!$B253-$D$2)=0,IF(('S-Table'!$C253-$C$3)*('S-Table'!$C253-$D$3)=0,'S-Table'!E253,0),0)</f>
        <v>0</v>
      </c>
    </row>
    <row r="254" spans="6:11" x14ac:dyDescent="0.2">
      <c r="F254" s="14">
        <f>IF(G254=0,IF(G253=0,F253,F253+1),IF(G253=0,MAX(F$1:F253),MAX(F$1:F253)+1))</f>
        <v>9</v>
      </c>
      <c r="G254" s="14">
        <f>IF(('S-Table'!$B254-$C$2)*('S-Table'!$B254-$D$2)=0,IF(('S-Table'!$C254-$C$3)*('S-Table'!$C254-$D$3)=0,'S-Table'!A254,0),0)</f>
        <v>0</v>
      </c>
      <c r="H254" s="14">
        <f>IF(('S-Table'!$B254-$C$2)*('S-Table'!$B254-$D$2)=0,IF(('S-Table'!$C254-$C$3)*('S-Table'!$C254-$D$3)=0,'S-Table'!B254,0),0)</f>
        <v>0</v>
      </c>
      <c r="I254" s="14">
        <f>IF(('S-Table'!$B254-$C$2)*('S-Table'!$B254-$D$2)=0,IF(('S-Table'!$C254-$C$3)*('S-Table'!$C254-$D$3)=0,'S-Table'!C254,0),0)</f>
        <v>0</v>
      </c>
      <c r="J254" s="14">
        <f>IF(('S-Table'!$B254-$C$2)*('S-Table'!$B254-$D$2)=0,IF(('S-Table'!$C254-$C$3)*('S-Table'!$C254-$D$3)=0,'S-Table'!D254,0),0)</f>
        <v>0</v>
      </c>
      <c r="K254" s="14">
        <f>IF(('S-Table'!$B254-$C$2)*('S-Table'!$B254-$D$2)=0,IF(('S-Table'!$C254-$C$3)*('S-Table'!$C254-$D$3)=0,'S-Table'!E254,0),0)</f>
        <v>0</v>
      </c>
    </row>
    <row r="255" spans="6:11" x14ac:dyDescent="0.2">
      <c r="F255" s="14">
        <f>IF(G255=0,IF(G254=0,F254,F254+1),IF(G254=0,MAX(F$1:F254),MAX(F$1:F254)+1))</f>
        <v>9</v>
      </c>
      <c r="G255" s="14">
        <f>IF(('S-Table'!$B255-$C$2)*('S-Table'!$B255-$D$2)=0,IF(('S-Table'!$C255-$C$3)*('S-Table'!$C255-$D$3)=0,'S-Table'!A255,0),0)</f>
        <v>0</v>
      </c>
      <c r="H255" s="14">
        <f>IF(('S-Table'!$B255-$C$2)*('S-Table'!$B255-$D$2)=0,IF(('S-Table'!$C255-$C$3)*('S-Table'!$C255-$D$3)=0,'S-Table'!B255,0),0)</f>
        <v>0</v>
      </c>
      <c r="I255" s="14">
        <f>IF(('S-Table'!$B255-$C$2)*('S-Table'!$B255-$D$2)=0,IF(('S-Table'!$C255-$C$3)*('S-Table'!$C255-$D$3)=0,'S-Table'!C255,0),0)</f>
        <v>0</v>
      </c>
      <c r="J255" s="14">
        <f>IF(('S-Table'!$B255-$C$2)*('S-Table'!$B255-$D$2)=0,IF(('S-Table'!$C255-$C$3)*('S-Table'!$C255-$D$3)=0,'S-Table'!D255,0),0)</f>
        <v>0</v>
      </c>
      <c r="K255" s="14">
        <f>IF(('S-Table'!$B255-$C$2)*('S-Table'!$B255-$D$2)=0,IF(('S-Table'!$C255-$C$3)*('S-Table'!$C255-$D$3)=0,'S-Table'!E255,0),0)</f>
        <v>0</v>
      </c>
    </row>
    <row r="256" spans="6:11" x14ac:dyDescent="0.2">
      <c r="F256" s="14">
        <f>IF(G256=0,IF(G255=0,F255,F255+1),IF(G255=0,MAX(F$1:F255),MAX(F$1:F255)+1))</f>
        <v>9</v>
      </c>
      <c r="G256" s="14">
        <f>IF(('S-Table'!$B256-$C$2)*('S-Table'!$B256-$D$2)=0,IF(('S-Table'!$C256-$C$3)*('S-Table'!$C256-$D$3)=0,'S-Table'!A256,0),0)</f>
        <v>0</v>
      </c>
      <c r="H256" s="14">
        <f>IF(('S-Table'!$B256-$C$2)*('S-Table'!$B256-$D$2)=0,IF(('S-Table'!$C256-$C$3)*('S-Table'!$C256-$D$3)=0,'S-Table'!B256,0),0)</f>
        <v>0</v>
      </c>
      <c r="I256" s="14">
        <f>IF(('S-Table'!$B256-$C$2)*('S-Table'!$B256-$D$2)=0,IF(('S-Table'!$C256-$C$3)*('S-Table'!$C256-$D$3)=0,'S-Table'!C256,0),0)</f>
        <v>0</v>
      </c>
      <c r="J256" s="14">
        <f>IF(('S-Table'!$B256-$C$2)*('S-Table'!$B256-$D$2)=0,IF(('S-Table'!$C256-$C$3)*('S-Table'!$C256-$D$3)=0,'S-Table'!D256,0),0)</f>
        <v>0</v>
      </c>
      <c r="K256" s="14">
        <f>IF(('S-Table'!$B256-$C$2)*('S-Table'!$B256-$D$2)=0,IF(('S-Table'!$C256-$C$3)*('S-Table'!$C256-$D$3)=0,'S-Table'!E256,0),0)</f>
        <v>0</v>
      </c>
    </row>
    <row r="257" spans="6:11" x14ac:dyDescent="0.2">
      <c r="F257" s="14">
        <f>IF(G257=0,IF(G256=0,F256,F256+1),IF(G256=0,MAX(F$1:F256),MAX(F$1:F256)+1))</f>
        <v>9</v>
      </c>
      <c r="G257" s="14">
        <f>IF(('S-Table'!$B257-$C$2)*('S-Table'!$B257-$D$2)=0,IF(('S-Table'!$C257-$C$3)*('S-Table'!$C257-$D$3)=0,'S-Table'!A257,0),0)</f>
        <v>0</v>
      </c>
      <c r="H257" s="14">
        <f>IF(('S-Table'!$B257-$C$2)*('S-Table'!$B257-$D$2)=0,IF(('S-Table'!$C257-$C$3)*('S-Table'!$C257-$D$3)=0,'S-Table'!B257,0),0)</f>
        <v>0</v>
      </c>
      <c r="I257" s="14">
        <f>IF(('S-Table'!$B257-$C$2)*('S-Table'!$B257-$D$2)=0,IF(('S-Table'!$C257-$C$3)*('S-Table'!$C257-$D$3)=0,'S-Table'!C257,0),0)</f>
        <v>0</v>
      </c>
      <c r="J257" s="14">
        <f>IF(('S-Table'!$B257-$C$2)*('S-Table'!$B257-$D$2)=0,IF(('S-Table'!$C257-$C$3)*('S-Table'!$C257-$D$3)=0,'S-Table'!D257,0),0)</f>
        <v>0</v>
      </c>
      <c r="K257" s="14">
        <f>IF(('S-Table'!$B257-$C$2)*('S-Table'!$B257-$D$2)=0,IF(('S-Table'!$C257-$C$3)*('S-Table'!$C257-$D$3)=0,'S-Table'!E257,0),0)</f>
        <v>0</v>
      </c>
    </row>
    <row r="258" spans="6:11" x14ac:dyDescent="0.2">
      <c r="F258" s="14">
        <f>IF(G258=0,IF(G257=0,F257,F257+1),IF(G257=0,MAX(F$1:F257),MAX(F$1:F257)+1))</f>
        <v>9</v>
      </c>
      <c r="G258" s="14">
        <f>IF(('S-Table'!$B258-$C$2)*('S-Table'!$B258-$D$2)=0,IF(('S-Table'!$C258-$C$3)*('S-Table'!$C258-$D$3)=0,'S-Table'!A258,0),0)</f>
        <v>0</v>
      </c>
      <c r="H258" s="14">
        <f>IF(('S-Table'!$B258-$C$2)*('S-Table'!$B258-$D$2)=0,IF(('S-Table'!$C258-$C$3)*('S-Table'!$C258-$D$3)=0,'S-Table'!B258,0),0)</f>
        <v>0</v>
      </c>
      <c r="I258" s="14">
        <f>IF(('S-Table'!$B258-$C$2)*('S-Table'!$B258-$D$2)=0,IF(('S-Table'!$C258-$C$3)*('S-Table'!$C258-$D$3)=0,'S-Table'!C258,0),0)</f>
        <v>0</v>
      </c>
      <c r="J258" s="14">
        <f>IF(('S-Table'!$B258-$C$2)*('S-Table'!$B258-$D$2)=0,IF(('S-Table'!$C258-$C$3)*('S-Table'!$C258-$D$3)=0,'S-Table'!D258,0),0)</f>
        <v>0</v>
      </c>
      <c r="K258" s="14">
        <f>IF(('S-Table'!$B258-$C$2)*('S-Table'!$B258-$D$2)=0,IF(('S-Table'!$C258-$C$3)*('S-Table'!$C258-$D$3)=0,'S-Table'!E258,0),0)</f>
        <v>0</v>
      </c>
    </row>
    <row r="259" spans="6:11" x14ac:dyDescent="0.2">
      <c r="F259" s="14">
        <f>IF(G259=0,IF(G258=0,F258,F258+1),IF(G258=0,MAX(F$1:F258),MAX(F$1:F258)+1))</f>
        <v>9</v>
      </c>
      <c r="G259" s="14">
        <f>IF(('S-Table'!$B259-$C$2)*('S-Table'!$B259-$D$2)=0,IF(('S-Table'!$C259-$C$3)*('S-Table'!$C259-$D$3)=0,'S-Table'!A259,0),0)</f>
        <v>0</v>
      </c>
      <c r="H259" s="14">
        <f>IF(('S-Table'!$B259-$C$2)*('S-Table'!$B259-$D$2)=0,IF(('S-Table'!$C259-$C$3)*('S-Table'!$C259-$D$3)=0,'S-Table'!B259,0),0)</f>
        <v>0</v>
      </c>
      <c r="I259" s="14">
        <f>IF(('S-Table'!$B259-$C$2)*('S-Table'!$B259-$D$2)=0,IF(('S-Table'!$C259-$C$3)*('S-Table'!$C259-$D$3)=0,'S-Table'!C259,0),0)</f>
        <v>0</v>
      </c>
      <c r="J259" s="14">
        <f>IF(('S-Table'!$B259-$C$2)*('S-Table'!$B259-$D$2)=0,IF(('S-Table'!$C259-$C$3)*('S-Table'!$C259-$D$3)=0,'S-Table'!D259,0),0)</f>
        <v>0</v>
      </c>
      <c r="K259" s="14">
        <f>IF(('S-Table'!$B259-$C$2)*('S-Table'!$B259-$D$2)=0,IF(('S-Table'!$C259-$C$3)*('S-Table'!$C259-$D$3)=0,'S-Table'!E259,0),0)</f>
        <v>0</v>
      </c>
    </row>
    <row r="260" spans="6:11" x14ac:dyDescent="0.2">
      <c r="F260" s="14">
        <f>IF(G260=0,IF(G259=0,F259,F259+1),IF(G259=0,MAX(F$1:F259),MAX(F$1:F259)+1))</f>
        <v>9</v>
      </c>
      <c r="G260" s="14">
        <f>IF(('S-Table'!$B260-$C$2)*('S-Table'!$B260-$D$2)=0,IF(('S-Table'!$C260-$C$3)*('S-Table'!$C260-$D$3)=0,'S-Table'!A260,0),0)</f>
        <v>0</v>
      </c>
      <c r="H260" s="14">
        <f>IF(('S-Table'!$B260-$C$2)*('S-Table'!$B260-$D$2)=0,IF(('S-Table'!$C260-$C$3)*('S-Table'!$C260-$D$3)=0,'S-Table'!B260,0),0)</f>
        <v>0</v>
      </c>
      <c r="I260" s="14">
        <f>IF(('S-Table'!$B260-$C$2)*('S-Table'!$B260-$D$2)=0,IF(('S-Table'!$C260-$C$3)*('S-Table'!$C260-$D$3)=0,'S-Table'!C260,0),0)</f>
        <v>0</v>
      </c>
      <c r="J260" s="14">
        <f>IF(('S-Table'!$B260-$C$2)*('S-Table'!$B260-$D$2)=0,IF(('S-Table'!$C260-$C$3)*('S-Table'!$C260-$D$3)=0,'S-Table'!D260,0),0)</f>
        <v>0</v>
      </c>
      <c r="K260" s="14">
        <f>IF(('S-Table'!$B260-$C$2)*('S-Table'!$B260-$D$2)=0,IF(('S-Table'!$C260-$C$3)*('S-Table'!$C260-$D$3)=0,'S-Table'!E260,0),0)</f>
        <v>0</v>
      </c>
    </row>
    <row r="261" spans="6:11" x14ac:dyDescent="0.2">
      <c r="F261" s="14">
        <f>IF(G261=0,IF(G260=0,F260,F260+1),IF(G260=0,MAX(F$1:F260),MAX(F$1:F260)+1))</f>
        <v>9</v>
      </c>
      <c r="G261" s="14">
        <f>IF(('S-Table'!$B261-$C$2)*('S-Table'!$B261-$D$2)=0,IF(('S-Table'!$C261-$C$3)*('S-Table'!$C261-$D$3)=0,'S-Table'!A261,0),0)</f>
        <v>0</v>
      </c>
      <c r="H261" s="14">
        <f>IF(('S-Table'!$B261-$C$2)*('S-Table'!$B261-$D$2)=0,IF(('S-Table'!$C261-$C$3)*('S-Table'!$C261-$D$3)=0,'S-Table'!B261,0),0)</f>
        <v>0</v>
      </c>
      <c r="I261" s="14">
        <f>IF(('S-Table'!$B261-$C$2)*('S-Table'!$B261-$D$2)=0,IF(('S-Table'!$C261-$C$3)*('S-Table'!$C261-$D$3)=0,'S-Table'!C261,0),0)</f>
        <v>0</v>
      </c>
      <c r="J261" s="14">
        <f>IF(('S-Table'!$B261-$C$2)*('S-Table'!$B261-$D$2)=0,IF(('S-Table'!$C261-$C$3)*('S-Table'!$C261-$D$3)=0,'S-Table'!D261,0),0)</f>
        <v>0</v>
      </c>
      <c r="K261" s="14">
        <f>IF(('S-Table'!$B261-$C$2)*('S-Table'!$B261-$D$2)=0,IF(('S-Table'!$C261-$C$3)*('S-Table'!$C261-$D$3)=0,'S-Table'!E261,0),0)</f>
        <v>0</v>
      </c>
    </row>
    <row r="262" spans="6:11" x14ac:dyDescent="0.2">
      <c r="F262" s="14">
        <f>IF(G262=0,IF(G261=0,F261,F261+1),IF(G261=0,MAX(F$1:F261),MAX(F$1:F261)+1))</f>
        <v>9</v>
      </c>
      <c r="G262" s="14">
        <f>IF(('S-Table'!$B262-$C$2)*('S-Table'!$B262-$D$2)=0,IF(('S-Table'!$C262-$C$3)*('S-Table'!$C262-$D$3)=0,'S-Table'!A262,0),0)</f>
        <v>0</v>
      </c>
      <c r="H262" s="14">
        <f>IF(('S-Table'!$B262-$C$2)*('S-Table'!$B262-$D$2)=0,IF(('S-Table'!$C262-$C$3)*('S-Table'!$C262-$D$3)=0,'S-Table'!B262,0),0)</f>
        <v>0</v>
      </c>
      <c r="I262" s="14">
        <f>IF(('S-Table'!$B262-$C$2)*('S-Table'!$B262-$D$2)=0,IF(('S-Table'!$C262-$C$3)*('S-Table'!$C262-$D$3)=0,'S-Table'!C262,0),0)</f>
        <v>0</v>
      </c>
      <c r="J262" s="14">
        <f>IF(('S-Table'!$B262-$C$2)*('S-Table'!$B262-$D$2)=0,IF(('S-Table'!$C262-$C$3)*('S-Table'!$C262-$D$3)=0,'S-Table'!D262,0),0)</f>
        <v>0</v>
      </c>
      <c r="K262" s="14">
        <f>IF(('S-Table'!$B262-$C$2)*('S-Table'!$B262-$D$2)=0,IF(('S-Table'!$C262-$C$3)*('S-Table'!$C262-$D$3)=0,'S-Table'!E262,0),0)</f>
        <v>0</v>
      </c>
    </row>
    <row r="263" spans="6:11" x14ac:dyDescent="0.2">
      <c r="F263" s="14">
        <f>IF(G263=0,IF(G262=0,F262,F262+1),IF(G262=0,MAX(F$1:F262),MAX(F$1:F262)+1))</f>
        <v>9</v>
      </c>
      <c r="G263" s="14">
        <f>IF(('S-Table'!$B263-$C$2)*('S-Table'!$B263-$D$2)=0,IF(('S-Table'!$C263-$C$3)*('S-Table'!$C263-$D$3)=0,'S-Table'!A263,0),0)</f>
        <v>0</v>
      </c>
      <c r="H263" s="14">
        <f>IF(('S-Table'!$B263-$C$2)*('S-Table'!$B263-$D$2)=0,IF(('S-Table'!$C263-$C$3)*('S-Table'!$C263-$D$3)=0,'S-Table'!B263,0),0)</f>
        <v>0</v>
      </c>
      <c r="I263" s="14">
        <f>IF(('S-Table'!$B263-$C$2)*('S-Table'!$B263-$D$2)=0,IF(('S-Table'!$C263-$C$3)*('S-Table'!$C263-$D$3)=0,'S-Table'!C263,0),0)</f>
        <v>0</v>
      </c>
      <c r="J263" s="14">
        <f>IF(('S-Table'!$B263-$C$2)*('S-Table'!$B263-$D$2)=0,IF(('S-Table'!$C263-$C$3)*('S-Table'!$C263-$D$3)=0,'S-Table'!D263,0),0)</f>
        <v>0</v>
      </c>
      <c r="K263" s="14">
        <f>IF(('S-Table'!$B263-$C$2)*('S-Table'!$B263-$D$2)=0,IF(('S-Table'!$C263-$C$3)*('S-Table'!$C263-$D$3)=0,'S-Table'!E263,0),0)</f>
        <v>0</v>
      </c>
    </row>
    <row r="264" spans="6:11" x14ac:dyDescent="0.2">
      <c r="F264" s="14">
        <f>IF(G264=0,IF(G263=0,F263,F263+1),IF(G263=0,MAX(F$1:F263),MAX(F$1:F263)+1))</f>
        <v>9</v>
      </c>
      <c r="G264" s="14">
        <f>IF(('S-Table'!$B264-$C$2)*('S-Table'!$B264-$D$2)=0,IF(('S-Table'!$C264-$C$3)*('S-Table'!$C264-$D$3)=0,'S-Table'!A264,0),0)</f>
        <v>0</v>
      </c>
      <c r="H264" s="14">
        <f>IF(('S-Table'!$B264-$C$2)*('S-Table'!$B264-$D$2)=0,IF(('S-Table'!$C264-$C$3)*('S-Table'!$C264-$D$3)=0,'S-Table'!B264,0),0)</f>
        <v>0</v>
      </c>
      <c r="I264" s="14">
        <f>IF(('S-Table'!$B264-$C$2)*('S-Table'!$B264-$D$2)=0,IF(('S-Table'!$C264-$C$3)*('S-Table'!$C264-$D$3)=0,'S-Table'!C264,0),0)</f>
        <v>0</v>
      </c>
      <c r="J264" s="14">
        <f>IF(('S-Table'!$B264-$C$2)*('S-Table'!$B264-$D$2)=0,IF(('S-Table'!$C264-$C$3)*('S-Table'!$C264-$D$3)=0,'S-Table'!D264,0),0)</f>
        <v>0</v>
      </c>
      <c r="K264" s="14">
        <f>IF(('S-Table'!$B264-$C$2)*('S-Table'!$B264-$D$2)=0,IF(('S-Table'!$C264-$C$3)*('S-Table'!$C264-$D$3)=0,'S-Table'!E264,0),0)</f>
        <v>0</v>
      </c>
    </row>
    <row r="265" spans="6:11" x14ac:dyDescent="0.2">
      <c r="F265" s="14">
        <f>IF(G265=0,IF(G264=0,F264,F264+1),IF(G264=0,MAX(F$1:F264),MAX(F$1:F264)+1))</f>
        <v>9</v>
      </c>
      <c r="G265" s="14">
        <f>IF(('S-Table'!$B265-$C$2)*('S-Table'!$B265-$D$2)=0,IF(('S-Table'!$C265-$C$3)*('S-Table'!$C265-$D$3)=0,'S-Table'!A265,0),0)</f>
        <v>0</v>
      </c>
      <c r="H265" s="14">
        <f>IF(('S-Table'!$B265-$C$2)*('S-Table'!$B265-$D$2)=0,IF(('S-Table'!$C265-$C$3)*('S-Table'!$C265-$D$3)=0,'S-Table'!B265,0),0)</f>
        <v>0</v>
      </c>
      <c r="I265" s="14">
        <f>IF(('S-Table'!$B265-$C$2)*('S-Table'!$B265-$D$2)=0,IF(('S-Table'!$C265-$C$3)*('S-Table'!$C265-$D$3)=0,'S-Table'!C265,0),0)</f>
        <v>0</v>
      </c>
      <c r="J265" s="14">
        <f>IF(('S-Table'!$B265-$C$2)*('S-Table'!$B265-$D$2)=0,IF(('S-Table'!$C265-$C$3)*('S-Table'!$C265-$D$3)=0,'S-Table'!D265,0),0)</f>
        <v>0</v>
      </c>
      <c r="K265" s="14">
        <f>IF(('S-Table'!$B265-$C$2)*('S-Table'!$B265-$D$2)=0,IF(('S-Table'!$C265-$C$3)*('S-Table'!$C265-$D$3)=0,'S-Table'!E265,0),0)</f>
        <v>0</v>
      </c>
    </row>
    <row r="266" spans="6:11" x14ac:dyDescent="0.2">
      <c r="F266" s="14">
        <f>IF(G266=0,IF(G265=0,F265,F265+1),IF(G265=0,MAX(F$1:F265),MAX(F$1:F265)+1))</f>
        <v>9</v>
      </c>
      <c r="G266" s="14">
        <f>IF(('S-Table'!$B266-$C$2)*('S-Table'!$B266-$D$2)=0,IF(('S-Table'!$C266-$C$3)*('S-Table'!$C266-$D$3)=0,'S-Table'!A266,0),0)</f>
        <v>0</v>
      </c>
      <c r="H266" s="14">
        <f>IF(('S-Table'!$B266-$C$2)*('S-Table'!$B266-$D$2)=0,IF(('S-Table'!$C266-$C$3)*('S-Table'!$C266-$D$3)=0,'S-Table'!B266,0),0)</f>
        <v>0</v>
      </c>
      <c r="I266" s="14">
        <f>IF(('S-Table'!$B266-$C$2)*('S-Table'!$B266-$D$2)=0,IF(('S-Table'!$C266-$C$3)*('S-Table'!$C266-$D$3)=0,'S-Table'!C266,0),0)</f>
        <v>0</v>
      </c>
      <c r="J266" s="14">
        <f>IF(('S-Table'!$B266-$C$2)*('S-Table'!$B266-$D$2)=0,IF(('S-Table'!$C266-$C$3)*('S-Table'!$C266-$D$3)=0,'S-Table'!D266,0),0)</f>
        <v>0</v>
      </c>
      <c r="K266" s="14">
        <f>IF(('S-Table'!$B266-$C$2)*('S-Table'!$B266-$D$2)=0,IF(('S-Table'!$C266-$C$3)*('S-Table'!$C266-$D$3)=0,'S-Table'!E266,0),0)</f>
        <v>0</v>
      </c>
    </row>
    <row r="267" spans="6:11" x14ac:dyDescent="0.2">
      <c r="F267" s="14">
        <f>IF(G267=0,IF(G266=0,F266,F266+1),IF(G266=0,MAX(F$1:F266),MAX(F$1:F266)+1))</f>
        <v>9</v>
      </c>
      <c r="G267" s="14">
        <f>IF(('S-Table'!$B267-$C$2)*('S-Table'!$B267-$D$2)=0,IF(('S-Table'!$C267-$C$3)*('S-Table'!$C267-$D$3)=0,'S-Table'!A267,0),0)</f>
        <v>0</v>
      </c>
      <c r="H267" s="14">
        <f>IF(('S-Table'!$B267-$C$2)*('S-Table'!$B267-$D$2)=0,IF(('S-Table'!$C267-$C$3)*('S-Table'!$C267-$D$3)=0,'S-Table'!B267,0),0)</f>
        <v>0</v>
      </c>
      <c r="I267" s="14">
        <f>IF(('S-Table'!$B267-$C$2)*('S-Table'!$B267-$D$2)=0,IF(('S-Table'!$C267-$C$3)*('S-Table'!$C267-$D$3)=0,'S-Table'!C267,0),0)</f>
        <v>0</v>
      </c>
      <c r="J267" s="14">
        <f>IF(('S-Table'!$B267-$C$2)*('S-Table'!$B267-$D$2)=0,IF(('S-Table'!$C267-$C$3)*('S-Table'!$C267-$D$3)=0,'S-Table'!D267,0),0)</f>
        <v>0</v>
      </c>
      <c r="K267" s="14">
        <f>IF(('S-Table'!$B267-$C$2)*('S-Table'!$B267-$D$2)=0,IF(('S-Table'!$C267-$C$3)*('S-Table'!$C267-$D$3)=0,'S-Table'!E267,0),0)</f>
        <v>0</v>
      </c>
    </row>
    <row r="268" spans="6:11" x14ac:dyDescent="0.2">
      <c r="F268" s="14">
        <f>IF(G268=0,IF(G267=0,F267,F267+1),IF(G267=0,MAX(F$1:F267),MAX(F$1:F267)+1))</f>
        <v>9</v>
      </c>
      <c r="G268" s="14">
        <f>IF(('S-Table'!$B268-$C$2)*('S-Table'!$B268-$D$2)=0,IF(('S-Table'!$C268-$C$3)*('S-Table'!$C268-$D$3)=0,'S-Table'!A268,0),0)</f>
        <v>0</v>
      </c>
      <c r="H268" s="14">
        <f>IF(('S-Table'!$B268-$C$2)*('S-Table'!$B268-$D$2)=0,IF(('S-Table'!$C268-$C$3)*('S-Table'!$C268-$D$3)=0,'S-Table'!B268,0),0)</f>
        <v>0</v>
      </c>
      <c r="I268" s="14">
        <f>IF(('S-Table'!$B268-$C$2)*('S-Table'!$B268-$D$2)=0,IF(('S-Table'!$C268-$C$3)*('S-Table'!$C268-$D$3)=0,'S-Table'!C268,0),0)</f>
        <v>0</v>
      </c>
      <c r="J268" s="14">
        <f>IF(('S-Table'!$B268-$C$2)*('S-Table'!$B268-$D$2)=0,IF(('S-Table'!$C268-$C$3)*('S-Table'!$C268-$D$3)=0,'S-Table'!D268,0),0)</f>
        <v>0</v>
      </c>
      <c r="K268" s="14">
        <f>IF(('S-Table'!$B268-$C$2)*('S-Table'!$B268-$D$2)=0,IF(('S-Table'!$C268-$C$3)*('S-Table'!$C268-$D$3)=0,'S-Table'!E268,0),0)</f>
        <v>0</v>
      </c>
    </row>
    <row r="269" spans="6:11" x14ac:dyDescent="0.2">
      <c r="F269" s="14">
        <f>IF(G269=0,IF(G268=0,F268,F268+1),IF(G268=0,MAX(F$1:F268),MAX(F$1:F268)+1))</f>
        <v>9</v>
      </c>
      <c r="G269" s="14">
        <f>IF(('S-Table'!$B269-$C$2)*('S-Table'!$B269-$D$2)=0,IF(('S-Table'!$C269-$C$3)*('S-Table'!$C269-$D$3)=0,'S-Table'!A269,0),0)</f>
        <v>0</v>
      </c>
      <c r="H269" s="14">
        <f>IF(('S-Table'!$B269-$C$2)*('S-Table'!$B269-$D$2)=0,IF(('S-Table'!$C269-$C$3)*('S-Table'!$C269-$D$3)=0,'S-Table'!B269,0),0)</f>
        <v>0</v>
      </c>
      <c r="I269" s="14">
        <f>IF(('S-Table'!$B269-$C$2)*('S-Table'!$B269-$D$2)=0,IF(('S-Table'!$C269-$C$3)*('S-Table'!$C269-$D$3)=0,'S-Table'!C269,0),0)</f>
        <v>0</v>
      </c>
      <c r="J269" s="14">
        <f>IF(('S-Table'!$B269-$C$2)*('S-Table'!$B269-$D$2)=0,IF(('S-Table'!$C269-$C$3)*('S-Table'!$C269-$D$3)=0,'S-Table'!D269,0),0)</f>
        <v>0</v>
      </c>
      <c r="K269" s="14">
        <f>IF(('S-Table'!$B269-$C$2)*('S-Table'!$B269-$D$2)=0,IF(('S-Table'!$C269-$C$3)*('S-Table'!$C269-$D$3)=0,'S-Table'!E269,0),0)</f>
        <v>0</v>
      </c>
    </row>
    <row r="270" spans="6:11" x14ac:dyDescent="0.2">
      <c r="F270" s="14">
        <f>IF(G270=0,IF(G269=0,F269,F269+1),IF(G269=0,MAX(F$1:F269),MAX(F$1:F269)+1))</f>
        <v>9</v>
      </c>
      <c r="G270" s="14">
        <f>IF(('S-Table'!$B270-$C$2)*('S-Table'!$B270-$D$2)=0,IF(('S-Table'!$C270-$C$3)*('S-Table'!$C270-$D$3)=0,'S-Table'!A270,0),0)</f>
        <v>0</v>
      </c>
      <c r="H270" s="14">
        <f>IF(('S-Table'!$B270-$C$2)*('S-Table'!$B270-$D$2)=0,IF(('S-Table'!$C270-$C$3)*('S-Table'!$C270-$D$3)=0,'S-Table'!B270,0),0)</f>
        <v>0</v>
      </c>
      <c r="I270" s="14">
        <f>IF(('S-Table'!$B270-$C$2)*('S-Table'!$B270-$D$2)=0,IF(('S-Table'!$C270-$C$3)*('S-Table'!$C270-$D$3)=0,'S-Table'!C270,0),0)</f>
        <v>0</v>
      </c>
      <c r="J270" s="14">
        <f>IF(('S-Table'!$B270-$C$2)*('S-Table'!$B270-$D$2)=0,IF(('S-Table'!$C270-$C$3)*('S-Table'!$C270-$D$3)=0,'S-Table'!D270,0),0)</f>
        <v>0</v>
      </c>
      <c r="K270" s="14">
        <f>IF(('S-Table'!$B270-$C$2)*('S-Table'!$B270-$D$2)=0,IF(('S-Table'!$C270-$C$3)*('S-Table'!$C270-$D$3)=0,'S-Table'!E270,0),0)</f>
        <v>0</v>
      </c>
    </row>
    <row r="271" spans="6:11" x14ac:dyDescent="0.2">
      <c r="F271" s="14">
        <f>IF(G271=0,IF(G270=0,F270,F270+1),IF(G270=0,MAX(F$1:F270),MAX(F$1:F270)+1))</f>
        <v>9</v>
      </c>
      <c r="G271" s="14">
        <f>IF(('S-Table'!$B271-$C$2)*('S-Table'!$B271-$D$2)=0,IF(('S-Table'!$C271-$C$3)*('S-Table'!$C271-$D$3)=0,'S-Table'!A271,0),0)</f>
        <v>0</v>
      </c>
      <c r="H271" s="14">
        <f>IF(('S-Table'!$B271-$C$2)*('S-Table'!$B271-$D$2)=0,IF(('S-Table'!$C271-$C$3)*('S-Table'!$C271-$D$3)=0,'S-Table'!B271,0),0)</f>
        <v>0</v>
      </c>
      <c r="I271" s="14">
        <f>IF(('S-Table'!$B271-$C$2)*('S-Table'!$B271-$D$2)=0,IF(('S-Table'!$C271-$C$3)*('S-Table'!$C271-$D$3)=0,'S-Table'!C271,0),0)</f>
        <v>0</v>
      </c>
      <c r="J271" s="14">
        <f>IF(('S-Table'!$B271-$C$2)*('S-Table'!$B271-$D$2)=0,IF(('S-Table'!$C271-$C$3)*('S-Table'!$C271-$D$3)=0,'S-Table'!D271,0),0)</f>
        <v>0</v>
      </c>
      <c r="K271" s="14">
        <f>IF(('S-Table'!$B271-$C$2)*('S-Table'!$B271-$D$2)=0,IF(('S-Table'!$C271-$C$3)*('S-Table'!$C271-$D$3)=0,'S-Table'!E271,0),0)</f>
        <v>0</v>
      </c>
    </row>
    <row r="272" spans="6:11" x14ac:dyDescent="0.2">
      <c r="F272" s="14">
        <f>IF(G272=0,IF(G271=0,F271,F271+1),IF(G271=0,MAX(F$1:F271),MAX(F$1:F271)+1))</f>
        <v>9</v>
      </c>
      <c r="G272" s="14">
        <f>IF(('S-Table'!$B272-$C$2)*('S-Table'!$B272-$D$2)=0,IF(('S-Table'!$C272-$C$3)*('S-Table'!$C272-$D$3)=0,'S-Table'!A272,0),0)</f>
        <v>0</v>
      </c>
      <c r="H272" s="14">
        <f>IF(('S-Table'!$B272-$C$2)*('S-Table'!$B272-$D$2)=0,IF(('S-Table'!$C272-$C$3)*('S-Table'!$C272-$D$3)=0,'S-Table'!B272,0),0)</f>
        <v>0</v>
      </c>
      <c r="I272" s="14">
        <f>IF(('S-Table'!$B272-$C$2)*('S-Table'!$B272-$D$2)=0,IF(('S-Table'!$C272-$C$3)*('S-Table'!$C272-$D$3)=0,'S-Table'!C272,0),0)</f>
        <v>0</v>
      </c>
      <c r="J272" s="14">
        <f>IF(('S-Table'!$B272-$C$2)*('S-Table'!$B272-$D$2)=0,IF(('S-Table'!$C272-$C$3)*('S-Table'!$C272-$D$3)=0,'S-Table'!D272,0),0)</f>
        <v>0</v>
      </c>
      <c r="K272" s="14">
        <f>IF(('S-Table'!$B272-$C$2)*('S-Table'!$B272-$D$2)=0,IF(('S-Table'!$C272-$C$3)*('S-Table'!$C272-$D$3)=0,'S-Table'!E272,0),0)</f>
        <v>0</v>
      </c>
    </row>
    <row r="273" spans="6:11" x14ac:dyDescent="0.2">
      <c r="F273" s="14">
        <f>IF(G273=0,IF(G272=0,F272,F272+1),IF(G272=0,MAX(F$1:F272),MAX(F$1:F272)+1))</f>
        <v>9</v>
      </c>
      <c r="G273" s="14">
        <f>IF(('S-Table'!$B273-$C$2)*('S-Table'!$B273-$D$2)=0,IF(('S-Table'!$C273-$C$3)*('S-Table'!$C273-$D$3)=0,'S-Table'!A273,0),0)</f>
        <v>0</v>
      </c>
      <c r="H273" s="14">
        <f>IF(('S-Table'!$B273-$C$2)*('S-Table'!$B273-$D$2)=0,IF(('S-Table'!$C273-$C$3)*('S-Table'!$C273-$D$3)=0,'S-Table'!B273,0),0)</f>
        <v>0</v>
      </c>
      <c r="I273" s="14">
        <f>IF(('S-Table'!$B273-$C$2)*('S-Table'!$B273-$D$2)=0,IF(('S-Table'!$C273-$C$3)*('S-Table'!$C273-$D$3)=0,'S-Table'!C273,0),0)</f>
        <v>0</v>
      </c>
      <c r="J273" s="14">
        <f>IF(('S-Table'!$B273-$C$2)*('S-Table'!$B273-$D$2)=0,IF(('S-Table'!$C273-$C$3)*('S-Table'!$C273-$D$3)=0,'S-Table'!D273,0),0)</f>
        <v>0</v>
      </c>
      <c r="K273" s="14">
        <f>IF(('S-Table'!$B273-$C$2)*('S-Table'!$B273-$D$2)=0,IF(('S-Table'!$C273-$C$3)*('S-Table'!$C273-$D$3)=0,'S-Table'!E273,0),0)</f>
        <v>0</v>
      </c>
    </row>
    <row r="274" spans="6:11" x14ac:dyDescent="0.2">
      <c r="F274" s="14">
        <f>IF(G274=0,IF(G273=0,F273,F273+1),IF(G273=0,MAX(F$1:F273),MAX(F$1:F273)+1))</f>
        <v>9</v>
      </c>
      <c r="G274" s="14">
        <f>IF(('S-Table'!$B274-$C$2)*('S-Table'!$B274-$D$2)=0,IF(('S-Table'!$C274-$C$3)*('S-Table'!$C274-$D$3)=0,'S-Table'!A274,0),0)</f>
        <v>0</v>
      </c>
      <c r="H274" s="14">
        <f>IF(('S-Table'!$B274-$C$2)*('S-Table'!$B274-$D$2)=0,IF(('S-Table'!$C274-$C$3)*('S-Table'!$C274-$D$3)=0,'S-Table'!B274,0),0)</f>
        <v>0</v>
      </c>
      <c r="I274" s="14">
        <f>IF(('S-Table'!$B274-$C$2)*('S-Table'!$B274-$D$2)=0,IF(('S-Table'!$C274-$C$3)*('S-Table'!$C274-$D$3)=0,'S-Table'!C274,0),0)</f>
        <v>0</v>
      </c>
      <c r="J274" s="14">
        <f>IF(('S-Table'!$B274-$C$2)*('S-Table'!$B274-$D$2)=0,IF(('S-Table'!$C274-$C$3)*('S-Table'!$C274-$D$3)=0,'S-Table'!D274,0),0)</f>
        <v>0</v>
      </c>
      <c r="K274" s="14">
        <f>IF(('S-Table'!$B274-$C$2)*('S-Table'!$B274-$D$2)=0,IF(('S-Table'!$C274-$C$3)*('S-Table'!$C274-$D$3)=0,'S-Table'!E274,0),0)</f>
        <v>0</v>
      </c>
    </row>
    <row r="275" spans="6:11" x14ac:dyDescent="0.2">
      <c r="F275" s="14">
        <f>IF(G275=0,IF(G274=0,F274,F274+1),IF(G274=0,MAX(F$1:F274),MAX(F$1:F274)+1))</f>
        <v>9</v>
      </c>
      <c r="G275" s="14">
        <f>IF(('S-Table'!$B275-$C$2)*('S-Table'!$B275-$D$2)=0,IF(('S-Table'!$C275-$C$3)*('S-Table'!$C275-$D$3)=0,'S-Table'!A275,0),0)</f>
        <v>0</v>
      </c>
      <c r="H275" s="14">
        <f>IF(('S-Table'!$B275-$C$2)*('S-Table'!$B275-$D$2)=0,IF(('S-Table'!$C275-$C$3)*('S-Table'!$C275-$D$3)=0,'S-Table'!B275,0),0)</f>
        <v>0</v>
      </c>
      <c r="I275" s="14">
        <f>IF(('S-Table'!$B275-$C$2)*('S-Table'!$B275-$D$2)=0,IF(('S-Table'!$C275-$C$3)*('S-Table'!$C275-$D$3)=0,'S-Table'!C275,0),0)</f>
        <v>0</v>
      </c>
      <c r="J275" s="14">
        <f>IF(('S-Table'!$B275-$C$2)*('S-Table'!$B275-$D$2)=0,IF(('S-Table'!$C275-$C$3)*('S-Table'!$C275-$D$3)=0,'S-Table'!D275,0),0)</f>
        <v>0</v>
      </c>
      <c r="K275" s="14">
        <f>IF(('S-Table'!$B275-$C$2)*('S-Table'!$B275-$D$2)=0,IF(('S-Table'!$C275-$C$3)*('S-Table'!$C275-$D$3)=0,'S-Table'!E275,0),0)</f>
        <v>0</v>
      </c>
    </row>
    <row r="276" spans="6:11" x14ac:dyDescent="0.2">
      <c r="F276" s="14">
        <f>IF(G276=0,IF(G275=0,F275,F275+1),IF(G275=0,MAX(F$1:F275),MAX(F$1:F275)+1))</f>
        <v>9</v>
      </c>
      <c r="G276" s="14">
        <f>IF(('S-Table'!$B276-$C$2)*('S-Table'!$B276-$D$2)=0,IF(('S-Table'!$C276-$C$3)*('S-Table'!$C276-$D$3)=0,'S-Table'!A276,0),0)</f>
        <v>0</v>
      </c>
      <c r="H276" s="14">
        <f>IF(('S-Table'!$B276-$C$2)*('S-Table'!$B276-$D$2)=0,IF(('S-Table'!$C276-$C$3)*('S-Table'!$C276-$D$3)=0,'S-Table'!B276,0),0)</f>
        <v>0</v>
      </c>
      <c r="I276" s="14">
        <f>IF(('S-Table'!$B276-$C$2)*('S-Table'!$B276-$D$2)=0,IF(('S-Table'!$C276-$C$3)*('S-Table'!$C276-$D$3)=0,'S-Table'!C276,0),0)</f>
        <v>0</v>
      </c>
      <c r="J276" s="14">
        <f>IF(('S-Table'!$B276-$C$2)*('S-Table'!$B276-$D$2)=0,IF(('S-Table'!$C276-$C$3)*('S-Table'!$C276-$D$3)=0,'S-Table'!D276,0),0)</f>
        <v>0</v>
      </c>
      <c r="K276" s="14">
        <f>IF(('S-Table'!$B276-$C$2)*('S-Table'!$B276-$D$2)=0,IF(('S-Table'!$C276-$C$3)*('S-Table'!$C276-$D$3)=0,'S-Table'!E276,0),0)</f>
        <v>0</v>
      </c>
    </row>
    <row r="277" spans="6:11" x14ac:dyDescent="0.2">
      <c r="F277" s="14">
        <f>IF(G277=0,IF(G276=0,F276,F276+1),IF(G276=0,MAX(F$1:F276),MAX(F$1:F276)+1))</f>
        <v>9</v>
      </c>
      <c r="G277" s="14">
        <f>IF(('S-Table'!$B277-$C$2)*('S-Table'!$B277-$D$2)=0,IF(('S-Table'!$C277-$C$3)*('S-Table'!$C277-$D$3)=0,'S-Table'!A277,0),0)</f>
        <v>0</v>
      </c>
      <c r="H277" s="14">
        <f>IF(('S-Table'!$B277-$C$2)*('S-Table'!$B277-$D$2)=0,IF(('S-Table'!$C277-$C$3)*('S-Table'!$C277-$D$3)=0,'S-Table'!B277,0),0)</f>
        <v>0</v>
      </c>
      <c r="I277" s="14">
        <f>IF(('S-Table'!$B277-$C$2)*('S-Table'!$B277-$D$2)=0,IF(('S-Table'!$C277-$C$3)*('S-Table'!$C277-$D$3)=0,'S-Table'!C277,0),0)</f>
        <v>0</v>
      </c>
      <c r="J277" s="14">
        <f>IF(('S-Table'!$B277-$C$2)*('S-Table'!$B277-$D$2)=0,IF(('S-Table'!$C277-$C$3)*('S-Table'!$C277-$D$3)=0,'S-Table'!D277,0),0)</f>
        <v>0</v>
      </c>
      <c r="K277" s="14">
        <f>IF(('S-Table'!$B277-$C$2)*('S-Table'!$B277-$D$2)=0,IF(('S-Table'!$C277-$C$3)*('S-Table'!$C277-$D$3)=0,'S-Table'!E277,0),0)</f>
        <v>0</v>
      </c>
    </row>
    <row r="278" spans="6:11" x14ac:dyDescent="0.2">
      <c r="F278" s="14">
        <f>IF(G278=0,IF(G277=0,F277,F277+1),IF(G277=0,MAX(F$1:F277),MAX(F$1:F277)+1))</f>
        <v>9</v>
      </c>
      <c r="G278" s="14">
        <f>IF(('S-Table'!$B278-$C$2)*('S-Table'!$B278-$D$2)=0,IF(('S-Table'!$C278-$C$3)*('S-Table'!$C278-$D$3)=0,'S-Table'!A278,0),0)</f>
        <v>0</v>
      </c>
      <c r="H278" s="14">
        <f>IF(('S-Table'!$B278-$C$2)*('S-Table'!$B278-$D$2)=0,IF(('S-Table'!$C278-$C$3)*('S-Table'!$C278-$D$3)=0,'S-Table'!B278,0),0)</f>
        <v>0</v>
      </c>
      <c r="I278" s="14">
        <f>IF(('S-Table'!$B278-$C$2)*('S-Table'!$B278-$D$2)=0,IF(('S-Table'!$C278-$C$3)*('S-Table'!$C278-$D$3)=0,'S-Table'!C278,0),0)</f>
        <v>0</v>
      </c>
      <c r="J278" s="14">
        <f>IF(('S-Table'!$B278-$C$2)*('S-Table'!$B278-$D$2)=0,IF(('S-Table'!$C278-$C$3)*('S-Table'!$C278-$D$3)=0,'S-Table'!D278,0),0)</f>
        <v>0</v>
      </c>
      <c r="K278" s="14">
        <f>IF(('S-Table'!$B278-$C$2)*('S-Table'!$B278-$D$2)=0,IF(('S-Table'!$C278-$C$3)*('S-Table'!$C278-$D$3)=0,'S-Table'!E278,0),0)</f>
        <v>0</v>
      </c>
    </row>
    <row r="279" spans="6:11" x14ac:dyDescent="0.2">
      <c r="F279" s="14">
        <f>IF(G279=0,IF(G278=0,F278,F278+1),IF(G278=0,MAX(F$1:F278),MAX(F$1:F278)+1))</f>
        <v>9</v>
      </c>
      <c r="G279" s="14">
        <f>IF(('S-Table'!$B279-$C$2)*('S-Table'!$B279-$D$2)=0,IF(('S-Table'!$C279-$C$3)*('S-Table'!$C279-$D$3)=0,'S-Table'!A279,0),0)</f>
        <v>0</v>
      </c>
      <c r="H279" s="14">
        <f>IF(('S-Table'!$B279-$C$2)*('S-Table'!$B279-$D$2)=0,IF(('S-Table'!$C279-$C$3)*('S-Table'!$C279-$D$3)=0,'S-Table'!B279,0),0)</f>
        <v>0</v>
      </c>
      <c r="I279" s="14">
        <f>IF(('S-Table'!$B279-$C$2)*('S-Table'!$B279-$D$2)=0,IF(('S-Table'!$C279-$C$3)*('S-Table'!$C279-$D$3)=0,'S-Table'!C279,0),0)</f>
        <v>0</v>
      </c>
      <c r="J279" s="14">
        <f>IF(('S-Table'!$B279-$C$2)*('S-Table'!$B279-$D$2)=0,IF(('S-Table'!$C279-$C$3)*('S-Table'!$C279-$D$3)=0,'S-Table'!D279,0),0)</f>
        <v>0</v>
      </c>
      <c r="K279" s="14">
        <f>IF(('S-Table'!$B279-$C$2)*('S-Table'!$B279-$D$2)=0,IF(('S-Table'!$C279-$C$3)*('S-Table'!$C279-$D$3)=0,'S-Table'!E279,0),0)</f>
        <v>0</v>
      </c>
    </row>
    <row r="280" spans="6:11" x14ac:dyDescent="0.2">
      <c r="F280" s="14">
        <f>IF(G280=0,IF(G279=0,F279,F279+1),IF(G279=0,MAX(F$1:F279),MAX(F$1:F279)+1))</f>
        <v>9</v>
      </c>
      <c r="G280" s="14">
        <f>IF(('S-Table'!$B280-$C$2)*('S-Table'!$B280-$D$2)=0,IF(('S-Table'!$C280-$C$3)*('S-Table'!$C280-$D$3)=0,'S-Table'!A280,0),0)</f>
        <v>0</v>
      </c>
      <c r="H280" s="14">
        <f>IF(('S-Table'!$B280-$C$2)*('S-Table'!$B280-$D$2)=0,IF(('S-Table'!$C280-$C$3)*('S-Table'!$C280-$D$3)=0,'S-Table'!B280,0),0)</f>
        <v>0</v>
      </c>
      <c r="I280" s="14">
        <f>IF(('S-Table'!$B280-$C$2)*('S-Table'!$B280-$D$2)=0,IF(('S-Table'!$C280-$C$3)*('S-Table'!$C280-$D$3)=0,'S-Table'!C280,0),0)</f>
        <v>0</v>
      </c>
      <c r="J280" s="14">
        <f>IF(('S-Table'!$B280-$C$2)*('S-Table'!$B280-$D$2)=0,IF(('S-Table'!$C280-$C$3)*('S-Table'!$C280-$D$3)=0,'S-Table'!D280,0),0)</f>
        <v>0</v>
      </c>
      <c r="K280" s="14">
        <f>IF(('S-Table'!$B280-$C$2)*('S-Table'!$B280-$D$2)=0,IF(('S-Table'!$C280-$C$3)*('S-Table'!$C280-$D$3)=0,'S-Table'!E280,0),0)</f>
        <v>0</v>
      </c>
    </row>
    <row r="281" spans="6:11" x14ac:dyDescent="0.2">
      <c r="F281" s="14">
        <f>IF(G281=0,IF(G280=0,F280,F280+1),IF(G280=0,MAX(F$1:F280),MAX(F$1:F280)+1))</f>
        <v>9</v>
      </c>
      <c r="G281" s="14">
        <f>IF(('S-Table'!$B281-$C$2)*('S-Table'!$B281-$D$2)=0,IF(('S-Table'!$C281-$C$3)*('S-Table'!$C281-$D$3)=0,'S-Table'!A281,0),0)</f>
        <v>0</v>
      </c>
      <c r="H281" s="14">
        <f>IF(('S-Table'!$B281-$C$2)*('S-Table'!$B281-$D$2)=0,IF(('S-Table'!$C281-$C$3)*('S-Table'!$C281-$D$3)=0,'S-Table'!B281,0),0)</f>
        <v>0</v>
      </c>
      <c r="I281" s="14">
        <f>IF(('S-Table'!$B281-$C$2)*('S-Table'!$B281-$D$2)=0,IF(('S-Table'!$C281-$C$3)*('S-Table'!$C281-$D$3)=0,'S-Table'!C281,0),0)</f>
        <v>0</v>
      </c>
      <c r="J281" s="14">
        <f>IF(('S-Table'!$B281-$C$2)*('S-Table'!$B281-$D$2)=0,IF(('S-Table'!$C281-$C$3)*('S-Table'!$C281-$D$3)=0,'S-Table'!D281,0),0)</f>
        <v>0</v>
      </c>
      <c r="K281" s="14">
        <f>IF(('S-Table'!$B281-$C$2)*('S-Table'!$B281-$D$2)=0,IF(('S-Table'!$C281-$C$3)*('S-Table'!$C281-$D$3)=0,'S-Table'!E281,0),0)</f>
        <v>0</v>
      </c>
    </row>
    <row r="282" spans="6:11" x14ac:dyDescent="0.2">
      <c r="F282" s="14">
        <f>IF(G282=0,IF(G281=0,F281,F281+1),IF(G281=0,MAX(F$1:F281),MAX(F$1:F281)+1))</f>
        <v>9</v>
      </c>
      <c r="G282" s="14">
        <f>IF(('S-Table'!$B282-$C$2)*('S-Table'!$B282-$D$2)=0,IF(('S-Table'!$C282-$C$3)*('S-Table'!$C282-$D$3)=0,'S-Table'!A282,0),0)</f>
        <v>0</v>
      </c>
      <c r="H282" s="14">
        <f>IF(('S-Table'!$B282-$C$2)*('S-Table'!$B282-$D$2)=0,IF(('S-Table'!$C282-$C$3)*('S-Table'!$C282-$D$3)=0,'S-Table'!B282,0),0)</f>
        <v>0</v>
      </c>
      <c r="I282" s="14">
        <f>IF(('S-Table'!$B282-$C$2)*('S-Table'!$B282-$D$2)=0,IF(('S-Table'!$C282-$C$3)*('S-Table'!$C282-$D$3)=0,'S-Table'!C282,0),0)</f>
        <v>0</v>
      </c>
      <c r="J282" s="14">
        <f>IF(('S-Table'!$B282-$C$2)*('S-Table'!$B282-$D$2)=0,IF(('S-Table'!$C282-$C$3)*('S-Table'!$C282-$D$3)=0,'S-Table'!D282,0),0)</f>
        <v>0</v>
      </c>
      <c r="K282" s="14">
        <f>IF(('S-Table'!$B282-$C$2)*('S-Table'!$B282-$D$2)=0,IF(('S-Table'!$C282-$C$3)*('S-Table'!$C282-$D$3)=0,'S-Table'!E282,0),0)</f>
        <v>0</v>
      </c>
    </row>
    <row r="283" spans="6:11" x14ac:dyDescent="0.2">
      <c r="F283" s="14">
        <f>IF(G283=0,IF(G282=0,F282,F282+1),IF(G282=0,MAX(F$1:F282),MAX(F$1:F282)+1))</f>
        <v>9</v>
      </c>
      <c r="G283" s="14">
        <f>IF(('S-Table'!$B283-$C$2)*('S-Table'!$B283-$D$2)=0,IF(('S-Table'!$C283-$C$3)*('S-Table'!$C283-$D$3)=0,'S-Table'!A283,0),0)</f>
        <v>0</v>
      </c>
      <c r="H283" s="14">
        <f>IF(('S-Table'!$B283-$C$2)*('S-Table'!$B283-$D$2)=0,IF(('S-Table'!$C283-$C$3)*('S-Table'!$C283-$D$3)=0,'S-Table'!B283,0),0)</f>
        <v>0</v>
      </c>
      <c r="I283" s="14">
        <f>IF(('S-Table'!$B283-$C$2)*('S-Table'!$B283-$D$2)=0,IF(('S-Table'!$C283-$C$3)*('S-Table'!$C283-$D$3)=0,'S-Table'!C283,0),0)</f>
        <v>0</v>
      </c>
      <c r="J283" s="14">
        <f>IF(('S-Table'!$B283-$C$2)*('S-Table'!$B283-$D$2)=0,IF(('S-Table'!$C283-$C$3)*('S-Table'!$C283-$D$3)=0,'S-Table'!D283,0),0)</f>
        <v>0</v>
      </c>
      <c r="K283" s="14">
        <f>IF(('S-Table'!$B283-$C$2)*('S-Table'!$B283-$D$2)=0,IF(('S-Table'!$C283-$C$3)*('S-Table'!$C283-$D$3)=0,'S-Table'!E283,0),0)</f>
        <v>0</v>
      </c>
    </row>
    <row r="284" spans="6:11" x14ac:dyDescent="0.2">
      <c r="F284" s="14">
        <f>IF(G284=0,IF(G283=0,F283,F283+1),IF(G283=0,MAX(F$1:F283),MAX(F$1:F283)+1))</f>
        <v>9</v>
      </c>
      <c r="G284" s="14">
        <f>IF(('S-Table'!$B284-$C$2)*('S-Table'!$B284-$D$2)=0,IF(('S-Table'!$C284-$C$3)*('S-Table'!$C284-$D$3)=0,'S-Table'!A284,0),0)</f>
        <v>0</v>
      </c>
      <c r="H284" s="14">
        <f>IF(('S-Table'!$B284-$C$2)*('S-Table'!$B284-$D$2)=0,IF(('S-Table'!$C284-$C$3)*('S-Table'!$C284-$D$3)=0,'S-Table'!B284,0),0)</f>
        <v>0</v>
      </c>
      <c r="I284" s="14">
        <f>IF(('S-Table'!$B284-$C$2)*('S-Table'!$B284-$D$2)=0,IF(('S-Table'!$C284-$C$3)*('S-Table'!$C284-$D$3)=0,'S-Table'!C284,0),0)</f>
        <v>0</v>
      </c>
      <c r="J284" s="14">
        <f>IF(('S-Table'!$B284-$C$2)*('S-Table'!$B284-$D$2)=0,IF(('S-Table'!$C284-$C$3)*('S-Table'!$C284-$D$3)=0,'S-Table'!D284,0),0)</f>
        <v>0</v>
      </c>
      <c r="K284" s="14">
        <f>IF(('S-Table'!$B284-$C$2)*('S-Table'!$B284-$D$2)=0,IF(('S-Table'!$C284-$C$3)*('S-Table'!$C284-$D$3)=0,'S-Table'!E284,0),0)</f>
        <v>0</v>
      </c>
    </row>
    <row r="285" spans="6:11" x14ac:dyDescent="0.2">
      <c r="F285" s="14">
        <f>IF(G285=0,IF(G284=0,F284,F284+1),IF(G284=0,MAX(F$1:F284),MAX(F$1:F284)+1))</f>
        <v>9</v>
      </c>
      <c r="G285" s="14">
        <f>IF(('S-Table'!$B285-$C$2)*('S-Table'!$B285-$D$2)=0,IF(('S-Table'!$C285-$C$3)*('S-Table'!$C285-$D$3)=0,'S-Table'!A285,0),0)</f>
        <v>0</v>
      </c>
      <c r="H285" s="14">
        <f>IF(('S-Table'!$B285-$C$2)*('S-Table'!$B285-$D$2)=0,IF(('S-Table'!$C285-$C$3)*('S-Table'!$C285-$D$3)=0,'S-Table'!B285,0),0)</f>
        <v>0</v>
      </c>
      <c r="I285" s="14">
        <f>IF(('S-Table'!$B285-$C$2)*('S-Table'!$B285-$D$2)=0,IF(('S-Table'!$C285-$C$3)*('S-Table'!$C285-$D$3)=0,'S-Table'!C285,0),0)</f>
        <v>0</v>
      </c>
      <c r="J285" s="14">
        <f>IF(('S-Table'!$B285-$C$2)*('S-Table'!$B285-$D$2)=0,IF(('S-Table'!$C285-$C$3)*('S-Table'!$C285-$D$3)=0,'S-Table'!D285,0),0)</f>
        <v>0</v>
      </c>
      <c r="K285" s="14">
        <f>IF(('S-Table'!$B285-$C$2)*('S-Table'!$B285-$D$2)=0,IF(('S-Table'!$C285-$C$3)*('S-Table'!$C285-$D$3)=0,'S-Table'!E285,0),0)</f>
        <v>0</v>
      </c>
    </row>
    <row r="286" spans="6:11" x14ac:dyDescent="0.2">
      <c r="F286" s="14">
        <f>IF(G286=0,IF(G285=0,F285,F285+1),IF(G285=0,MAX(F$1:F285),MAX(F$1:F285)+1))</f>
        <v>9</v>
      </c>
      <c r="G286" s="14">
        <f>IF(('S-Table'!$B286-$C$2)*('S-Table'!$B286-$D$2)=0,IF(('S-Table'!$C286-$C$3)*('S-Table'!$C286-$D$3)=0,'S-Table'!A286,0),0)</f>
        <v>0</v>
      </c>
      <c r="H286" s="14">
        <f>IF(('S-Table'!$B286-$C$2)*('S-Table'!$B286-$D$2)=0,IF(('S-Table'!$C286-$C$3)*('S-Table'!$C286-$D$3)=0,'S-Table'!B286,0),0)</f>
        <v>0</v>
      </c>
      <c r="I286" s="14">
        <f>IF(('S-Table'!$B286-$C$2)*('S-Table'!$B286-$D$2)=0,IF(('S-Table'!$C286-$C$3)*('S-Table'!$C286-$D$3)=0,'S-Table'!C286,0),0)</f>
        <v>0</v>
      </c>
      <c r="J286" s="14">
        <f>IF(('S-Table'!$B286-$C$2)*('S-Table'!$B286-$D$2)=0,IF(('S-Table'!$C286-$C$3)*('S-Table'!$C286-$D$3)=0,'S-Table'!D286,0),0)</f>
        <v>0</v>
      </c>
      <c r="K286" s="14">
        <f>IF(('S-Table'!$B286-$C$2)*('S-Table'!$B286-$D$2)=0,IF(('S-Table'!$C286-$C$3)*('S-Table'!$C286-$D$3)=0,'S-Table'!E286,0),0)</f>
        <v>0</v>
      </c>
    </row>
    <row r="287" spans="6:11" x14ac:dyDescent="0.2">
      <c r="F287" s="14">
        <f>IF(G287=0,IF(G286=0,F286,F286+1),IF(G286=0,MAX(F$1:F286),MAX(F$1:F286)+1))</f>
        <v>9</v>
      </c>
      <c r="G287" s="14">
        <f>IF(('S-Table'!$B287-$C$2)*('S-Table'!$B287-$D$2)=0,IF(('S-Table'!$C287-$C$3)*('S-Table'!$C287-$D$3)=0,'S-Table'!A287,0),0)</f>
        <v>0</v>
      </c>
      <c r="H287" s="14">
        <f>IF(('S-Table'!$B287-$C$2)*('S-Table'!$B287-$D$2)=0,IF(('S-Table'!$C287-$C$3)*('S-Table'!$C287-$D$3)=0,'S-Table'!B287,0),0)</f>
        <v>0</v>
      </c>
      <c r="I287" s="14">
        <f>IF(('S-Table'!$B287-$C$2)*('S-Table'!$B287-$D$2)=0,IF(('S-Table'!$C287-$C$3)*('S-Table'!$C287-$D$3)=0,'S-Table'!C287,0),0)</f>
        <v>0</v>
      </c>
      <c r="J287" s="14">
        <f>IF(('S-Table'!$B287-$C$2)*('S-Table'!$B287-$D$2)=0,IF(('S-Table'!$C287-$C$3)*('S-Table'!$C287-$D$3)=0,'S-Table'!D287,0),0)</f>
        <v>0</v>
      </c>
      <c r="K287" s="14">
        <f>IF(('S-Table'!$B287-$C$2)*('S-Table'!$B287-$D$2)=0,IF(('S-Table'!$C287-$C$3)*('S-Table'!$C287-$D$3)=0,'S-Table'!E287,0),0)</f>
        <v>0</v>
      </c>
    </row>
    <row r="288" spans="6:11" x14ac:dyDescent="0.2">
      <c r="F288" s="14">
        <f>IF(G288=0,IF(G287=0,F287,F287+1),IF(G287=0,MAX(F$1:F287),MAX(F$1:F287)+1))</f>
        <v>9</v>
      </c>
      <c r="G288" s="14">
        <f>IF(('S-Table'!$B288-$C$2)*('S-Table'!$B288-$D$2)=0,IF(('S-Table'!$C288-$C$3)*('S-Table'!$C288-$D$3)=0,'S-Table'!A288,0),0)</f>
        <v>0</v>
      </c>
      <c r="H288" s="14">
        <f>IF(('S-Table'!$B288-$C$2)*('S-Table'!$B288-$D$2)=0,IF(('S-Table'!$C288-$C$3)*('S-Table'!$C288-$D$3)=0,'S-Table'!B288,0),0)</f>
        <v>0</v>
      </c>
      <c r="I288" s="14">
        <f>IF(('S-Table'!$B288-$C$2)*('S-Table'!$B288-$D$2)=0,IF(('S-Table'!$C288-$C$3)*('S-Table'!$C288-$D$3)=0,'S-Table'!C288,0),0)</f>
        <v>0</v>
      </c>
      <c r="J288" s="14">
        <f>IF(('S-Table'!$B288-$C$2)*('S-Table'!$B288-$D$2)=0,IF(('S-Table'!$C288-$C$3)*('S-Table'!$C288-$D$3)=0,'S-Table'!D288,0),0)</f>
        <v>0</v>
      </c>
      <c r="K288" s="14">
        <f>IF(('S-Table'!$B288-$C$2)*('S-Table'!$B288-$D$2)=0,IF(('S-Table'!$C288-$C$3)*('S-Table'!$C288-$D$3)=0,'S-Table'!E288,0),0)</f>
        <v>0</v>
      </c>
    </row>
    <row r="289" spans="6:11" x14ac:dyDescent="0.2">
      <c r="F289" s="14">
        <f>IF(G289=0,IF(G288=0,F288,F288+1),IF(G288=0,MAX(F$1:F288),MAX(F$1:F288)+1))</f>
        <v>9</v>
      </c>
      <c r="G289" s="14">
        <f>IF(('S-Table'!$B289-$C$2)*('S-Table'!$B289-$D$2)=0,IF(('S-Table'!$C289-$C$3)*('S-Table'!$C289-$D$3)=0,'S-Table'!A289,0),0)</f>
        <v>0</v>
      </c>
      <c r="H289" s="14">
        <f>IF(('S-Table'!$B289-$C$2)*('S-Table'!$B289-$D$2)=0,IF(('S-Table'!$C289-$C$3)*('S-Table'!$C289-$D$3)=0,'S-Table'!B289,0),0)</f>
        <v>0</v>
      </c>
      <c r="I289" s="14">
        <f>IF(('S-Table'!$B289-$C$2)*('S-Table'!$B289-$D$2)=0,IF(('S-Table'!$C289-$C$3)*('S-Table'!$C289-$D$3)=0,'S-Table'!C289,0),0)</f>
        <v>0</v>
      </c>
      <c r="J289" s="14">
        <f>IF(('S-Table'!$B289-$C$2)*('S-Table'!$B289-$D$2)=0,IF(('S-Table'!$C289-$C$3)*('S-Table'!$C289-$D$3)=0,'S-Table'!D289,0),0)</f>
        <v>0</v>
      </c>
      <c r="K289" s="14">
        <f>IF(('S-Table'!$B289-$C$2)*('S-Table'!$B289-$D$2)=0,IF(('S-Table'!$C289-$C$3)*('S-Table'!$C289-$D$3)=0,'S-Table'!E289,0),0)</f>
        <v>0</v>
      </c>
    </row>
    <row r="290" spans="6:11" x14ac:dyDescent="0.2">
      <c r="F290" s="14">
        <f>IF(G290=0,IF(G289=0,F289,F289+1),IF(G289=0,MAX(F$1:F289),MAX(F$1:F289)+1))</f>
        <v>9</v>
      </c>
      <c r="G290" s="14">
        <f>IF(('S-Table'!$B290-$C$2)*('S-Table'!$B290-$D$2)=0,IF(('S-Table'!$C290-$C$3)*('S-Table'!$C290-$D$3)=0,'S-Table'!A290,0),0)</f>
        <v>0</v>
      </c>
      <c r="H290" s="14">
        <f>IF(('S-Table'!$B290-$C$2)*('S-Table'!$B290-$D$2)=0,IF(('S-Table'!$C290-$C$3)*('S-Table'!$C290-$D$3)=0,'S-Table'!B290,0),0)</f>
        <v>0</v>
      </c>
      <c r="I290" s="14">
        <f>IF(('S-Table'!$B290-$C$2)*('S-Table'!$B290-$D$2)=0,IF(('S-Table'!$C290-$C$3)*('S-Table'!$C290-$D$3)=0,'S-Table'!C290,0),0)</f>
        <v>0</v>
      </c>
      <c r="J290" s="14">
        <f>IF(('S-Table'!$B290-$C$2)*('S-Table'!$B290-$D$2)=0,IF(('S-Table'!$C290-$C$3)*('S-Table'!$C290-$D$3)=0,'S-Table'!D290,0),0)</f>
        <v>0</v>
      </c>
      <c r="K290" s="14">
        <f>IF(('S-Table'!$B290-$C$2)*('S-Table'!$B290-$D$2)=0,IF(('S-Table'!$C290-$C$3)*('S-Table'!$C290-$D$3)=0,'S-Table'!E290,0),0)</f>
        <v>0</v>
      </c>
    </row>
    <row r="291" spans="6:11" x14ac:dyDescent="0.2">
      <c r="F291" s="14">
        <f>IF(G291=0,IF(G290=0,F290,F290+1),IF(G290=0,MAX(F$1:F290),MAX(F$1:F290)+1))</f>
        <v>9</v>
      </c>
      <c r="G291" s="14">
        <f>IF(('S-Table'!$B291-$C$2)*('S-Table'!$B291-$D$2)=0,IF(('S-Table'!$C291-$C$3)*('S-Table'!$C291-$D$3)=0,'S-Table'!A291,0),0)</f>
        <v>0</v>
      </c>
      <c r="H291" s="14">
        <f>IF(('S-Table'!$B291-$C$2)*('S-Table'!$B291-$D$2)=0,IF(('S-Table'!$C291-$C$3)*('S-Table'!$C291-$D$3)=0,'S-Table'!B291,0),0)</f>
        <v>0</v>
      </c>
      <c r="I291" s="14">
        <f>IF(('S-Table'!$B291-$C$2)*('S-Table'!$B291-$D$2)=0,IF(('S-Table'!$C291-$C$3)*('S-Table'!$C291-$D$3)=0,'S-Table'!C291,0),0)</f>
        <v>0</v>
      </c>
      <c r="J291" s="14">
        <f>IF(('S-Table'!$B291-$C$2)*('S-Table'!$B291-$D$2)=0,IF(('S-Table'!$C291-$C$3)*('S-Table'!$C291-$D$3)=0,'S-Table'!D291,0),0)</f>
        <v>0</v>
      </c>
      <c r="K291" s="14">
        <f>IF(('S-Table'!$B291-$C$2)*('S-Table'!$B291-$D$2)=0,IF(('S-Table'!$C291-$C$3)*('S-Table'!$C291-$D$3)=0,'S-Table'!E291,0),0)</f>
        <v>0</v>
      </c>
    </row>
    <row r="292" spans="6:11" x14ac:dyDescent="0.2">
      <c r="F292" s="14">
        <f>IF(G292=0,IF(G291=0,F291,F291+1),IF(G291=0,MAX(F$1:F291),MAX(F$1:F291)+1))</f>
        <v>9</v>
      </c>
      <c r="G292" s="14">
        <f>IF(('S-Table'!$B292-$C$2)*('S-Table'!$B292-$D$2)=0,IF(('S-Table'!$C292-$C$3)*('S-Table'!$C292-$D$3)=0,'S-Table'!A292,0),0)</f>
        <v>0</v>
      </c>
      <c r="H292" s="14">
        <f>IF(('S-Table'!$B292-$C$2)*('S-Table'!$B292-$D$2)=0,IF(('S-Table'!$C292-$C$3)*('S-Table'!$C292-$D$3)=0,'S-Table'!B292,0),0)</f>
        <v>0</v>
      </c>
      <c r="I292" s="14">
        <f>IF(('S-Table'!$B292-$C$2)*('S-Table'!$B292-$D$2)=0,IF(('S-Table'!$C292-$C$3)*('S-Table'!$C292-$D$3)=0,'S-Table'!C292,0),0)</f>
        <v>0</v>
      </c>
      <c r="J292" s="14">
        <f>IF(('S-Table'!$B292-$C$2)*('S-Table'!$B292-$D$2)=0,IF(('S-Table'!$C292-$C$3)*('S-Table'!$C292-$D$3)=0,'S-Table'!D292,0),0)</f>
        <v>0</v>
      </c>
      <c r="K292" s="14">
        <f>IF(('S-Table'!$B292-$C$2)*('S-Table'!$B292-$D$2)=0,IF(('S-Table'!$C292-$C$3)*('S-Table'!$C292-$D$3)=0,'S-Table'!E292,0),0)</f>
        <v>0</v>
      </c>
    </row>
    <row r="293" spans="6:11" x14ac:dyDescent="0.2">
      <c r="F293" s="14">
        <f>IF(G293=0,IF(G292=0,F292,F292+1),IF(G292=0,MAX(F$1:F292),MAX(F$1:F292)+1))</f>
        <v>9</v>
      </c>
      <c r="G293" s="14">
        <f>IF(('S-Table'!$B293-$C$2)*('S-Table'!$B293-$D$2)=0,IF(('S-Table'!$C293-$C$3)*('S-Table'!$C293-$D$3)=0,'S-Table'!A293,0),0)</f>
        <v>0</v>
      </c>
      <c r="H293" s="14">
        <f>IF(('S-Table'!$B293-$C$2)*('S-Table'!$B293-$D$2)=0,IF(('S-Table'!$C293-$C$3)*('S-Table'!$C293-$D$3)=0,'S-Table'!B293,0),0)</f>
        <v>0</v>
      </c>
      <c r="I293" s="14">
        <f>IF(('S-Table'!$B293-$C$2)*('S-Table'!$B293-$D$2)=0,IF(('S-Table'!$C293-$C$3)*('S-Table'!$C293-$D$3)=0,'S-Table'!C293,0),0)</f>
        <v>0</v>
      </c>
      <c r="J293" s="14">
        <f>IF(('S-Table'!$B293-$C$2)*('S-Table'!$B293-$D$2)=0,IF(('S-Table'!$C293-$C$3)*('S-Table'!$C293-$D$3)=0,'S-Table'!D293,0),0)</f>
        <v>0</v>
      </c>
      <c r="K293" s="14">
        <f>IF(('S-Table'!$B293-$C$2)*('S-Table'!$B293-$D$2)=0,IF(('S-Table'!$C293-$C$3)*('S-Table'!$C293-$D$3)=0,'S-Table'!E293,0),0)</f>
        <v>0</v>
      </c>
    </row>
    <row r="294" spans="6:11" x14ac:dyDescent="0.2">
      <c r="F294" s="14">
        <f>IF(G294=0,IF(G293=0,F293,F293+1),IF(G293=0,MAX(F$1:F293),MAX(F$1:F293)+1))</f>
        <v>9</v>
      </c>
      <c r="G294" s="14">
        <f>IF(('S-Table'!$B294-$C$2)*('S-Table'!$B294-$D$2)=0,IF(('S-Table'!$C294-$C$3)*('S-Table'!$C294-$D$3)=0,'S-Table'!A294,0),0)</f>
        <v>0</v>
      </c>
      <c r="H294" s="14">
        <f>IF(('S-Table'!$B294-$C$2)*('S-Table'!$B294-$D$2)=0,IF(('S-Table'!$C294-$C$3)*('S-Table'!$C294-$D$3)=0,'S-Table'!B294,0),0)</f>
        <v>0</v>
      </c>
      <c r="I294" s="14">
        <f>IF(('S-Table'!$B294-$C$2)*('S-Table'!$B294-$D$2)=0,IF(('S-Table'!$C294-$C$3)*('S-Table'!$C294-$D$3)=0,'S-Table'!C294,0),0)</f>
        <v>0</v>
      </c>
      <c r="J294" s="14">
        <f>IF(('S-Table'!$B294-$C$2)*('S-Table'!$B294-$D$2)=0,IF(('S-Table'!$C294-$C$3)*('S-Table'!$C294-$D$3)=0,'S-Table'!D294,0),0)</f>
        <v>0</v>
      </c>
      <c r="K294" s="14">
        <f>IF(('S-Table'!$B294-$C$2)*('S-Table'!$B294-$D$2)=0,IF(('S-Table'!$C294-$C$3)*('S-Table'!$C294-$D$3)=0,'S-Table'!E294,0),0)</f>
        <v>0</v>
      </c>
    </row>
    <row r="295" spans="6:11" x14ac:dyDescent="0.2">
      <c r="F295" s="14">
        <f>IF(G295=0,IF(G294=0,F294,F294+1),IF(G294=0,MAX(F$1:F294),MAX(F$1:F294)+1))</f>
        <v>9</v>
      </c>
      <c r="G295" s="14">
        <f>IF(('S-Table'!$B295-$C$2)*('S-Table'!$B295-$D$2)=0,IF(('S-Table'!$C295-$C$3)*('S-Table'!$C295-$D$3)=0,'S-Table'!A295,0),0)</f>
        <v>0</v>
      </c>
      <c r="H295" s="14">
        <f>IF(('S-Table'!$B295-$C$2)*('S-Table'!$B295-$D$2)=0,IF(('S-Table'!$C295-$C$3)*('S-Table'!$C295-$D$3)=0,'S-Table'!B295,0),0)</f>
        <v>0</v>
      </c>
      <c r="I295" s="14">
        <f>IF(('S-Table'!$B295-$C$2)*('S-Table'!$B295-$D$2)=0,IF(('S-Table'!$C295-$C$3)*('S-Table'!$C295-$D$3)=0,'S-Table'!C295,0),0)</f>
        <v>0</v>
      </c>
      <c r="J295" s="14">
        <f>IF(('S-Table'!$B295-$C$2)*('S-Table'!$B295-$D$2)=0,IF(('S-Table'!$C295-$C$3)*('S-Table'!$C295-$D$3)=0,'S-Table'!D295,0),0)</f>
        <v>0</v>
      </c>
      <c r="K295" s="14">
        <f>IF(('S-Table'!$B295-$C$2)*('S-Table'!$B295-$D$2)=0,IF(('S-Table'!$C295-$C$3)*('S-Table'!$C295-$D$3)=0,'S-Table'!E295,0),0)</f>
        <v>0</v>
      </c>
    </row>
    <row r="296" spans="6:11" x14ac:dyDescent="0.2">
      <c r="F296" s="14">
        <f>IF(G296=0,IF(G295=0,F295,F295+1),IF(G295=0,MAX(F$1:F295),MAX(F$1:F295)+1))</f>
        <v>9</v>
      </c>
      <c r="G296" s="14">
        <f>IF(('S-Table'!$B296-$C$2)*('S-Table'!$B296-$D$2)=0,IF(('S-Table'!$C296-$C$3)*('S-Table'!$C296-$D$3)=0,'S-Table'!A296,0),0)</f>
        <v>0</v>
      </c>
      <c r="H296" s="14">
        <f>IF(('S-Table'!$B296-$C$2)*('S-Table'!$B296-$D$2)=0,IF(('S-Table'!$C296-$C$3)*('S-Table'!$C296-$D$3)=0,'S-Table'!B296,0),0)</f>
        <v>0</v>
      </c>
      <c r="I296" s="14">
        <f>IF(('S-Table'!$B296-$C$2)*('S-Table'!$B296-$D$2)=0,IF(('S-Table'!$C296-$C$3)*('S-Table'!$C296-$D$3)=0,'S-Table'!C296,0),0)</f>
        <v>0</v>
      </c>
      <c r="J296" s="14">
        <f>IF(('S-Table'!$B296-$C$2)*('S-Table'!$B296-$D$2)=0,IF(('S-Table'!$C296-$C$3)*('S-Table'!$C296-$D$3)=0,'S-Table'!D296,0),0)</f>
        <v>0</v>
      </c>
      <c r="K296" s="14">
        <f>IF(('S-Table'!$B296-$C$2)*('S-Table'!$B296-$D$2)=0,IF(('S-Table'!$C296-$C$3)*('S-Table'!$C296-$D$3)=0,'S-Table'!E296,0),0)</f>
        <v>0</v>
      </c>
    </row>
    <row r="297" spans="6:11" x14ac:dyDescent="0.2">
      <c r="F297" s="14">
        <f>IF(G297=0,IF(G296=0,F296,F296+1),IF(G296=0,MAX(F$1:F296),MAX(F$1:F296)+1))</f>
        <v>9</v>
      </c>
      <c r="G297" s="14">
        <f>IF(('S-Table'!$B297-$C$2)*('S-Table'!$B297-$D$2)=0,IF(('S-Table'!$C297-$C$3)*('S-Table'!$C297-$D$3)=0,'S-Table'!A297,0),0)</f>
        <v>0</v>
      </c>
      <c r="H297" s="14">
        <f>IF(('S-Table'!$B297-$C$2)*('S-Table'!$B297-$D$2)=0,IF(('S-Table'!$C297-$C$3)*('S-Table'!$C297-$D$3)=0,'S-Table'!B297,0),0)</f>
        <v>0</v>
      </c>
      <c r="I297" s="14">
        <f>IF(('S-Table'!$B297-$C$2)*('S-Table'!$B297-$D$2)=0,IF(('S-Table'!$C297-$C$3)*('S-Table'!$C297-$D$3)=0,'S-Table'!C297,0),0)</f>
        <v>0</v>
      </c>
      <c r="J297" s="14">
        <f>IF(('S-Table'!$B297-$C$2)*('S-Table'!$B297-$D$2)=0,IF(('S-Table'!$C297-$C$3)*('S-Table'!$C297-$D$3)=0,'S-Table'!D297,0),0)</f>
        <v>0</v>
      </c>
      <c r="K297" s="14">
        <f>IF(('S-Table'!$B297-$C$2)*('S-Table'!$B297-$D$2)=0,IF(('S-Table'!$C297-$C$3)*('S-Table'!$C297-$D$3)=0,'S-Table'!E297,0),0)</f>
        <v>0</v>
      </c>
    </row>
    <row r="298" spans="6:11" x14ac:dyDescent="0.2">
      <c r="F298" s="14">
        <f>IF(G298=0,IF(G297=0,F297,F297+1),IF(G297=0,MAX(F$1:F297),MAX(F$1:F297)+1))</f>
        <v>9</v>
      </c>
      <c r="G298" s="14">
        <f>IF(('S-Table'!$B298-$C$2)*('S-Table'!$B298-$D$2)=0,IF(('S-Table'!$C298-$C$3)*('S-Table'!$C298-$D$3)=0,'S-Table'!A298,0),0)</f>
        <v>0</v>
      </c>
      <c r="H298" s="14">
        <f>IF(('S-Table'!$B298-$C$2)*('S-Table'!$B298-$D$2)=0,IF(('S-Table'!$C298-$C$3)*('S-Table'!$C298-$D$3)=0,'S-Table'!B298,0),0)</f>
        <v>0</v>
      </c>
      <c r="I298" s="14">
        <f>IF(('S-Table'!$B298-$C$2)*('S-Table'!$B298-$D$2)=0,IF(('S-Table'!$C298-$C$3)*('S-Table'!$C298-$D$3)=0,'S-Table'!C298,0),0)</f>
        <v>0</v>
      </c>
      <c r="J298" s="14">
        <f>IF(('S-Table'!$B298-$C$2)*('S-Table'!$B298-$D$2)=0,IF(('S-Table'!$C298-$C$3)*('S-Table'!$C298-$D$3)=0,'S-Table'!D298,0),0)</f>
        <v>0</v>
      </c>
      <c r="K298" s="14">
        <f>IF(('S-Table'!$B298-$C$2)*('S-Table'!$B298-$D$2)=0,IF(('S-Table'!$C298-$C$3)*('S-Table'!$C298-$D$3)=0,'S-Table'!E298,0),0)</f>
        <v>0</v>
      </c>
    </row>
    <row r="299" spans="6:11" x14ac:dyDescent="0.2">
      <c r="F299" s="14">
        <f>IF(G299=0,IF(G298=0,F298,F298+1),IF(G298=0,MAX(F$1:F298),MAX(F$1:F298)+1))</f>
        <v>9</v>
      </c>
      <c r="G299" s="14">
        <f>IF(('S-Table'!$B299-$C$2)*('S-Table'!$B299-$D$2)=0,IF(('S-Table'!$C299-$C$3)*('S-Table'!$C299-$D$3)=0,'S-Table'!A299,0),0)</f>
        <v>0</v>
      </c>
      <c r="H299" s="14">
        <f>IF(('S-Table'!$B299-$C$2)*('S-Table'!$B299-$D$2)=0,IF(('S-Table'!$C299-$C$3)*('S-Table'!$C299-$D$3)=0,'S-Table'!B299,0),0)</f>
        <v>0</v>
      </c>
      <c r="I299" s="14">
        <f>IF(('S-Table'!$B299-$C$2)*('S-Table'!$B299-$D$2)=0,IF(('S-Table'!$C299-$C$3)*('S-Table'!$C299-$D$3)=0,'S-Table'!C299,0),0)</f>
        <v>0</v>
      </c>
      <c r="J299" s="14">
        <f>IF(('S-Table'!$B299-$C$2)*('S-Table'!$B299-$D$2)=0,IF(('S-Table'!$C299-$C$3)*('S-Table'!$C299-$D$3)=0,'S-Table'!D299,0),0)</f>
        <v>0</v>
      </c>
      <c r="K299" s="14">
        <f>IF(('S-Table'!$B299-$C$2)*('S-Table'!$B299-$D$2)=0,IF(('S-Table'!$C299-$C$3)*('S-Table'!$C299-$D$3)=0,'S-Table'!E299,0),0)</f>
        <v>0</v>
      </c>
    </row>
    <row r="300" spans="6:11" x14ac:dyDescent="0.2">
      <c r="F300" s="14">
        <f>IF(G300=0,IF(G299=0,F299,F299+1),IF(G299=0,MAX(F$1:F299),MAX(F$1:F299)+1))</f>
        <v>9</v>
      </c>
      <c r="G300" s="14">
        <f>IF(('S-Table'!$B300-$C$2)*('S-Table'!$B300-$D$2)=0,IF(('S-Table'!$C300-$C$3)*('S-Table'!$C300-$D$3)=0,'S-Table'!A300,0),0)</f>
        <v>0</v>
      </c>
      <c r="H300" s="14">
        <f>IF(('S-Table'!$B300-$C$2)*('S-Table'!$B300-$D$2)=0,IF(('S-Table'!$C300-$C$3)*('S-Table'!$C300-$D$3)=0,'S-Table'!B300,0),0)</f>
        <v>0</v>
      </c>
      <c r="I300" s="14">
        <f>IF(('S-Table'!$B300-$C$2)*('S-Table'!$B300-$D$2)=0,IF(('S-Table'!$C300-$C$3)*('S-Table'!$C300-$D$3)=0,'S-Table'!C300,0),0)</f>
        <v>0</v>
      </c>
      <c r="J300" s="14">
        <f>IF(('S-Table'!$B300-$C$2)*('S-Table'!$B300-$D$2)=0,IF(('S-Table'!$C300-$C$3)*('S-Table'!$C300-$D$3)=0,'S-Table'!D300,0),0)</f>
        <v>0</v>
      </c>
      <c r="K300" s="14">
        <f>IF(('S-Table'!$B300-$C$2)*('S-Table'!$B300-$D$2)=0,IF(('S-Table'!$C300-$C$3)*('S-Table'!$C300-$D$3)=0,'S-Table'!E300,0),0)</f>
        <v>0</v>
      </c>
    </row>
    <row r="301" spans="6:11" x14ac:dyDescent="0.2">
      <c r="F301" s="14">
        <f>IF(G301=0,IF(G300=0,F300,F300+1),IF(G300=0,MAX(F$1:F300),MAX(F$1:F300)+1))</f>
        <v>9</v>
      </c>
      <c r="G301" s="14">
        <f>IF(('S-Table'!$B301-$C$2)*('S-Table'!$B301-$D$2)=0,IF(('S-Table'!$C301-$C$3)*('S-Table'!$C301-$D$3)=0,'S-Table'!A301,0),0)</f>
        <v>0</v>
      </c>
      <c r="H301" s="14">
        <f>IF(('S-Table'!$B301-$C$2)*('S-Table'!$B301-$D$2)=0,IF(('S-Table'!$C301-$C$3)*('S-Table'!$C301-$D$3)=0,'S-Table'!B301,0),0)</f>
        <v>0</v>
      </c>
      <c r="I301" s="14">
        <f>IF(('S-Table'!$B301-$C$2)*('S-Table'!$B301-$D$2)=0,IF(('S-Table'!$C301-$C$3)*('S-Table'!$C301-$D$3)=0,'S-Table'!C301,0),0)</f>
        <v>0</v>
      </c>
      <c r="J301" s="14">
        <f>IF(('S-Table'!$B301-$C$2)*('S-Table'!$B301-$D$2)=0,IF(('S-Table'!$C301-$C$3)*('S-Table'!$C301-$D$3)=0,'S-Table'!D301,0),0)</f>
        <v>0</v>
      </c>
      <c r="K301" s="14">
        <f>IF(('S-Table'!$B301-$C$2)*('S-Table'!$B301-$D$2)=0,IF(('S-Table'!$C301-$C$3)*('S-Table'!$C301-$D$3)=0,'S-Table'!E301,0),0)</f>
        <v>0</v>
      </c>
    </row>
    <row r="302" spans="6:11" x14ac:dyDescent="0.2">
      <c r="F302" s="14">
        <f>IF(G302=0,IF(G301=0,F301,F301+1),IF(G301=0,MAX(F$1:F301),MAX(F$1:F301)+1))</f>
        <v>9</v>
      </c>
      <c r="G302" s="14">
        <f>IF(('S-Table'!$B302-$C$2)*('S-Table'!$B302-$D$2)=0,IF(('S-Table'!$C302-$C$3)*('S-Table'!$C302-$D$3)=0,'S-Table'!A302,0),0)</f>
        <v>0</v>
      </c>
      <c r="H302" s="14">
        <f>IF(('S-Table'!$B302-$C$2)*('S-Table'!$B302-$D$2)=0,IF(('S-Table'!$C302-$C$3)*('S-Table'!$C302-$D$3)=0,'S-Table'!B302,0),0)</f>
        <v>0</v>
      </c>
      <c r="I302" s="14">
        <f>IF(('S-Table'!$B302-$C$2)*('S-Table'!$B302-$D$2)=0,IF(('S-Table'!$C302-$C$3)*('S-Table'!$C302-$D$3)=0,'S-Table'!C302,0),0)</f>
        <v>0</v>
      </c>
      <c r="J302" s="14">
        <f>IF(('S-Table'!$B302-$C$2)*('S-Table'!$B302-$D$2)=0,IF(('S-Table'!$C302-$C$3)*('S-Table'!$C302-$D$3)=0,'S-Table'!D302,0),0)</f>
        <v>0</v>
      </c>
      <c r="K302" s="14">
        <f>IF(('S-Table'!$B302-$C$2)*('S-Table'!$B302-$D$2)=0,IF(('S-Table'!$C302-$C$3)*('S-Table'!$C302-$D$3)=0,'S-Table'!E302,0),0)</f>
        <v>0</v>
      </c>
    </row>
    <row r="303" spans="6:11" x14ac:dyDescent="0.2">
      <c r="F303" s="14">
        <f>IF(G303=0,IF(G302=0,F302,F302+1),IF(G302=0,MAX(F$1:F302),MAX(F$1:F302)+1))</f>
        <v>9</v>
      </c>
      <c r="G303" s="14">
        <f>IF(('S-Table'!$B303-$C$2)*('S-Table'!$B303-$D$2)=0,IF(('S-Table'!$C303-$C$3)*('S-Table'!$C303-$D$3)=0,'S-Table'!A303,0),0)</f>
        <v>0</v>
      </c>
      <c r="H303" s="14">
        <f>IF(('S-Table'!$B303-$C$2)*('S-Table'!$B303-$D$2)=0,IF(('S-Table'!$C303-$C$3)*('S-Table'!$C303-$D$3)=0,'S-Table'!B303,0),0)</f>
        <v>0</v>
      </c>
      <c r="I303" s="14">
        <f>IF(('S-Table'!$B303-$C$2)*('S-Table'!$B303-$D$2)=0,IF(('S-Table'!$C303-$C$3)*('S-Table'!$C303-$D$3)=0,'S-Table'!C303,0),0)</f>
        <v>0</v>
      </c>
      <c r="J303" s="14">
        <f>IF(('S-Table'!$B303-$C$2)*('S-Table'!$B303-$D$2)=0,IF(('S-Table'!$C303-$C$3)*('S-Table'!$C303-$D$3)=0,'S-Table'!D303,0),0)</f>
        <v>0</v>
      </c>
      <c r="K303" s="14">
        <f>IF(('S-Table'!$B303-$C$2)*('S-Table'!$B303-$D$2)=0,IF(('S-Table'!$C303-$C$3)*('S-Table'!$C303-$D$3)=0,'S-Table'!E303,0),0)</f>
        <v>0</v>
      </c>
    </row>
    <row r="304" spans="6:11" x14ac:dyDescent="0.2">
      <c r="F304" s="14">
        <f>IF(G304=0,IF(G303=0,F303,F303+1),IF(G303=0,MAX(F$1:F303),MAX(F$1:F303)+1))</f>
        <v>9</v>
      </c>
      <c r="G304" s="14">
        <f>IF(('S-Table'!$B304-$C$2)*('S-Table'!$B304-$D$2)=0,IF(('S-Table'!$C304-$C$3)*('S-Table'!$C304-$D$3)=0,'S-Table'!A304,0),0)</f>
        <v>0</v>
      </c>
      <c r="H304" s="14">
        <f>IF(('S-Table'!$B304-$C$2)*('S-Table'!$B304-$D$2)=0,IF(('S-Table'!$C304-$C$3)*('S-Table'!$C304-$D$3)=0,'S-Table'!B304,0),0)</f>
        <v>0</v>
      </c>
      <c r="I304" s="14">
        <f>IF(('S-Table'!$B304-$C$2)*('S-Table'!$B304-$D$2)=0,IF(('S-Table'!$C304-$C$3)*('S-Table'!$C304-$D$3)=0,'S-Table'!C304,0),0)</f>
        <v>0</v>
      </c>
      <c r="J304" s="14">
        <f>IF(('S-Table'!$B304-$C$2)*('S-Table'!$B304-$D$2)=0,IF(('S-Table'!$C304-$C$3)*('S-Table'!$C304-$D$3)=0,'S-Table'!D304,0),0)</f>
        <v>0</v>
      </c>
      <c r="K304" s="14">
        <f>IF(('S-Table'!$B304-$C$2)*('S-Table'!$B304-$D$2)=0,IF(('S-Table'!$C304-$C$3)*('S-Table'!$C304-$D$3)=0,'S-Table'!E304,0),0)</f>
        <v>0</v>
      </c>
    </row>
    <row r="305" spans="6:11" x14ac:dyDescent="0.2">
      <c r="F305" s="14">
        <f>IF(G305=0,IF(G304=0,F304,F304+1),IF(G304=0,MAX(F$1:F304),MAX(F$1:F304)+1))</f>
        <v>9</v>
      </c>
      <c r="G305" s="14">
        <f>IF(('S-Table'!$B305-$C$2)*('S-Table'!$B305-$D$2)=0,IF(('S-Table'!$C305-$C$3)*('S-Table'!$C305-$D$3)=0,'S-Table'!A305,0),0)</f>
        <v>0</v>
      </c>
      <c r="H305" s="14">
        <f>IF(('S-Table'!$B305-$C$2)*('S-Table'!$B305-$D$2)=0,IF(('S-Table'!$C305-$C$3)*('S-Table'!$C305-$D$3)=0,'S-Table'!B305,0),0)</f>
        <v>0</v>
      </c>
      <c r="I305" s="14">
        <f>IF(('S-Table'!$B305-$C$2)*('S-Table'!$B305-$D$2)=0,IF(('S-Table'!$C305-$C$3)*('S-Table'!$C305-$D$3)=0,'S-Table'!C305,0),0)</f>
        <v>0</v>
      </c>
      <c r="J305" s="14">
        <f>IF(('S-Table'!$B305-$C$2)*('S-Table'!$B305-$D$2)=0,IF(('S-Table'!$C305-$C$3)*('S-Table'!$C305-$D$3)=0,'S-Table'!D305,0),0)</f>
        <v>0</v>
      </c>
      <c r="K305" s="14">
        <f>IF(('S-Table'!$B305-$C$2)*('S-Table'!$B305-$D$2)=0,IF(('S-Table'!$C305-$C$3)*('S-Table'!$C305-$D$3)=0,'S-Table'!E305,0),0)</f>
        <v>0</v>
      </c>
    </row>
    <row r="306" spans="6:11" x14ac:dyDescent="0.2">
      <c r="F306" s="14">
        <f>IF(G306=0,IF(G305=0,F305,F305+1),IF(G305=0,MAX(F$1:F305),MAX(F$1:F305)+1))</f>
        <v>9</v>
      </c>
      <c r="G306" s="14">
        <f>IF(('S-Table'!$B306-$C$2)*('S-Table'!$B306-$D$2)=0,IF(('S-Table'!$C306-$C$3)*('S-Table'!$C306-$D$3)=0,'S-Table'!A306,0),0)</f>
        <v>0</v>
      </c>
      <c r="H306" s="14">
        <f>IF(('S-Table'!$B306-$C$2)*('S-Table'!$B306-$D$2)=0,IF(('S-Table'!$C306-$C$3)*('S-Table'!$C306-$D$3)=0,'S-Table'!B306,0),0)</f>
        <v>0</v>
      </c>
      <c r="I306" s="14">
        <f>IF(('S-Table'!$B306-$C$2)*('S-Table'!$B306-$D$2)=0,IF(('S-Table'!$C306-$C$3)*('S-Table'!$C306-$D$3)=0,'S-Table'!C306,0),0)</f>
        <v>0</v>
      </c>
      <c r="J306" s="14">
        <f>IF(('S-Table'!$B306-$C$2)*('S-Table'!$B306-$D$2)=0,IF(('S-Table'!$C306-$C$3)*('S-Table'!$C306-$D$3)=0,'S-Table'!D306,0),0)</f>
        <v>0</v>
      </c>
      <c r="K306" s="14">
        <f>IF(('S-Table'!$B306-$C$2)*('S-Table'!$B306-$D$2)=0,IF(('S-Table'!$C306-$C$3)*('S-Table'!$C306-$D$3)=0,'S-Table'!E306,0),0)</f>
        <v>0</v>
      </c>
    </row>
    <row r="307" spans="6:11" x14ac:dyDescent="0.2">
      <c r="F307" s="14">
        <f>IF(G307=0,IF(G306=0,F306,F306+1),IF(G306=0,MAX(F$1:F306),MAX(F$1:F306)+1))</f>
        <v>9</v>
      </c>
      <c r="G307" s="14">
        <f>IF(('S-Table'!$B307-$C$2)*('S-Table'!$B307-$D$2)=0,IF(('S-Table'!$C307-$C$3)*('S-Table'!$C307-$D$3)=0,'S-Table'!A307,0),0)</f>
        <v>0</v>
      </c>
      <c r="H307" s="14">
        <f>IF(('S-Table'!$B307-$C$2)*('S-Table'!$B307-$D$2)=0,IF(('S-Table'!$C307-$C$3)*('S-Table'!$C307-$D$3)=0,'S-Table'!B307,0),0)</f>
        <v>0</v>
      </c>
      <c r="I307" s="14">
        <f>IF(('S-Table'!$B307-$C$2)*('S-Table'!$B307-$D$2)=0,IF(('S-Table'!$C307-$C$3)*('S-Table'!$C307-$D$3)=0,'S-Table'!C307,0),0)</f>
        <v>0</v>
      </c>
      <c r="J307" s="14">
        <f>IF(('S-Table'!$B307-$C$2)*('S-Table'!$B307-$D$2)=0,IF(('S-Table'!$C307-$C$3)*('S-Table'!$C307-$D$3)=0,'S-Table'!D307,0),0)</f>
        <v>0</v>
      </c>
      <c r="K307" s="14">
        <f>IF(('S-Table'!$B307-$C$2)*('S-Table'!$B307-$D$2)=0,IF(('S-Table'!$C307-$C$3)*('S-Table'!$C307-$D$3)=0,'S-Table'!E307,0),0)</f>
        <v>0</v>
      </c>
    </row>
    <row r="308" spans="6:11" x14ac:dyDescent="0.2">
      <c r="F308" s="14">
        <f>IF(G308=0,IF(G307=0,F307,F307+1),IF(G307=0,MAX(F$1:F307),MAX(F$1:F307)+1))</f>
        <v>9</v>
      </c>
      <c r="G308" s="14">
        <f>IF(('S-Table'!$B308-$C$2)*('S-Table'!$B308-$D$2)=0,IF(('S-Table'!$C308-$C$3)*('S-Table'!$C308-$D$3)=0,'S-Table'!A308,0),0)</f>
        <v>0</v>
      </c>
      <c r="H308" s="14">
        <f>IF(('S-Table'!$B308-$C$2)*('S-Table'!$B308-$D$2)=0,IF(('S-Table'!$C308-$C$3)*('S-Table'!$C308-$D$3)=0,'S-Table'!B308,0),0)</f>
        <v>0</v>
      </c>
      <c r="I308" s="14">
        <f>IF(('S-Table'!$B308-$C$2)*('S-Table'!$B308-$D$2)=0,IF(('S-Table'!$C308-$C$3)*('S-Table'!$C308-$D$3)=0,'S-Table'!C308,0),0)</f>
        <v>0</v>
      </c>
      <c r="J308" s="14">
        <f>IF(('S-Table'!$B308-$C$2)*('S-Table'!$B308-$D$2)=0,IF(('S-Table'!$C308-$C$3)*('S-Table'!$C308-$D$3)=0,'S-Table'!D308,0),0)</f>
        <v>0</v>
      </c>
      <c r="K308" s="14">
        <f>IF(('S-Table'!$B308-$C$2)*('S-Table'!$B308-$D$2)=0,IF(('S-Table'!$C308-$C$3)*('S-Table'!$C308-$D$3)=0,'S-Table'!E308,0),0)</f>
        <v>0</v>
      </c>
    </row>
    <row r="309" spans="6:11" x14ac:dyDescent="0.2">
      <c r="F309" s="14">
        <f>IF(G309=0,IF(G308=0,F308,F308+1),IF(G308=0,MAX(F$1:F308),MAX(F$1:F308)+1))</f>
        <v>9</v>
      </c>
      <c r="G309" s="14">
        <f>IF(('S-Table'!$B309-$C$2)*('S-Table'!$B309-$D$2)=0,IF(('S-Table'!$C309-$C$3)*('S-Table'!$C309-$D$3)=0,'S-Table'!A309,0),0)</f>
        <v>0</v>
      </c>
      <c r="H309" s="14">
        <f>IF(('S-Table'!$B309-$C$2)*('S-Table'!$B309-$D$2)=0,IF(('S-Table'!$C309-$C$3)*('S-Table'!$C309-$D$3)=0,'S-Table'!B309,0),0)</f>
        <v>0</v>
      </c>
      <c r="I309" s="14">
        <f>IF(('S-Table'!$B309-$C$2)*('S-Table'!$B309-$D$2)=0,IF(('S-Table'!$C309-$C$3)*('S-Table'!$C309-$D$3)=0,'S-Table'!C309,0),0)</f>
        <v>0</v>
      </c>
      <c r="J309" s="14">
        <f>IF(('S-Table'!$B309-$C$2)*('S-Table'!$B309-$D$2)=0,IF(('S-Table'!$C309-$C$3)*('S-Table'!$C309-$D$3)=0,'S-Table'!D309,0),0)</f>
        <v>0</v>
      </c>
      <c r="K309" s="14">
        <f>IF(('S-Table'!$B309-$C$2)*('S-Table'!$B309-$D$2)=0,IF(('S-Table'!$C309-$C$3)*('S-Table'!$C309-$D$3)=0,'S-Table'!E309,0),0)</f>
        <v>0</v>
      </c>
    </row>
    <row r="310" spans="6:11" x14ac:dyDescent="0.2">
      <c r="F310" s="14">
        <f>IF(G310=0,IF(G309=0,F309,F309+1),IF(G309=0,MAX(F$1:F309),MAX(F$1:F309)+1))</f>
        <v>9</v>
      </c>
      <c r="G310" s="14">
        <f>IF(('S-Table'!$B310-$C$2)*('S-Table'!$B310-$D$2)=0,IF(('S-Table'!$C310-$C$3)*('S-Table'!$C310-$D$3)=0,'S-Table'!A310,0),0)</f>
        <v>0</v>
      </c>
      <c r="H310" s="14">
        <f>IF(('S-Table'!$B310-$C$2)*('S-Table'!$B310-$D$2)=0,IF(('S-Table'!$C310-$C$3)*('S-Table'!$C310-$D$3)=0,'S-Table'!B310,0),0)</f>
        <v>0</v>
      </c>
      <c r="I310" s="14">
        <f>IF(('S-Table'!$B310-$C$2)*('S-Table'!$B310-$D$2)=0,IF(('S-Table'!$C310-$C$3)*('S-Table'!$C310-$D$3)=0,'S-Table'!C310,0),0)</f>
        <v>0</v>
      </c>
      <c r="J310" s="14">
        <f>IF(('S-Table'!$B310-$C$2)*('S-Table'!$B310-$D$2)=0,IF(('S-Table'!$C310-$C$3)*('S-Table'!$C310-$D$3)=0,'S-Table'!D310,0),0)</f>
        <v>0</v>
      </c>
      <c r="K310" s="14">
        <f>IF(('S-Table'!$B310-$C$2)*('S-Table'!$B310-$D$2)=0,IF(('S-Table'!$C310-$C$3)*('S-Table'!$C310-$D$3)=0,'S-Table'!E310,0),0)</f>
        <v>0</v>
      </c>
    </row>
    <row r="311" spans="6:11" x14ac:dyDescent="0.2">
      <c r="F311" s="14">
        <f>IF(G311=0,IF(G310=0,F310,F310+1),IF(G310=0,MAX(F$1:F310),MAX(F$1:F310)+1))</f>
        <v>9</v>
      </c>
      <c r="G311" s="14">
        <f>IF(('S-Table'!$B311-$C$2)*('S-Table'!$B311-$D$2)=0,IF(('S-Table'!$C311-$C$3)*('S-Table'!$C311-$D$3)=0,'S-Table'!A311,0),0)</f>
        <v>0</v>
      </c>
      <c r="H311" s="14">
        <f>IF(('S-Table'!$B311-$C$2)*('S-Table'!$B311-$D$2)=0,IF(('S-Table'!$C311-$C$3)*('S-Table'!$C311-$D$3)=0,'S-Table'!B311,0),0)</f>
        <v>0</v>
      </c>
      <c r="I311" s="14">
        <f>IF(('S-Table'!$B311-$C$2)*('S-Table'!$B311-$D$2)=0,IF(('S-Table'!$C311-$C$3)*('S-Table'!$C311-$D$3)=0,'S-Table'!C311,0),0)</f>
        <v>0</v>
      </c>
      <c r="J311" s="14">
        <f>IF(('S-Table'!$B311-$C$2)*('S-Table'!$B311-$D$2)=0,IF(('S-Table'!$C311-$C$3)*('S-Table'!$C311-$D$3)=0,'S-Table'!D311,0),0)</f>
        <v>0</v>
      </c>
      <c r="K311" s="14">
        <f>IF(('S-Table'!$B311-$C$2)*('S-Table'!$B311-$D$2)=0,IF(('S-Table'!$C311-$C$3)*('S-Table'!$C311-$D$3)=0,'S-Table'!E311,0),0)</f>
        <v>0</v>
      </c>
    </row>
    <row r="312" spans="6:11" x14ac:dyDescent="0.2">
      <c r="F312" s="14">
        <f>IF(G312=0,IF(G311=0,F311,F311+1),IF(G311=0,MAX(F$1:F311),MAX(F$1:F311)+1))</f>
        <v>9</v>
      </c>
      <c r="G312" s="14">
        <f>IF(('S-Table'!$B312-$C$2)*('S-Table'!$B312-$D$2)=0,IF(('S-Table'!$C312-$C$3)*('S-Table'!$C312-$D$3)=0,'S-Table'!A312,0),0)</f>
        <v>0</v>
      </c>
      <c r="H312" s="14">
        <f>IF(('S-Table'!$B312-$C$2)*('S-Table'!$B312-$D$2)=0,IF(('S-Table'!$C312-$C$3)*('S-Table'!$C312-$D$3)=0,'S-Table'!B312,0),0)</f>
        <v>0</v>
      </c>
      <c r="I312" s="14">
        <f>IF(('S-Table'!$B312-$C$2)*('S-Table'!$B312-$D$2)=0,IF(('S-Table'!$C312-$C$3)*('S-Table'!$C312-$D$3)=0,'S-Table'!C312,0),0)</f>
        <v>0</v>
      </c>
      <c r="J312" s="14">
        <f>IF(('S-Table'!$B312-$C$2)*('S-Table'!$B312-$D$2)=0,IF(('S-Table'!$C312-$C$3)*('S-Table'!$C312-$D$3)=0,'S-Table'!D312,0),0)</f>
        <v>0</v>
      </c>
      <c r="K312" s="14">
        <f>IF(('S-Table'!$B312-$C$2)*('S-Table'!$B312-$D$2)=0,IF(('S-Table'!$C312-$C$3)*('S-Table'!$C312-$D$3)=0,'S-Table'!E312,0),0)</f>
        <v>0</v>
      </c>
    </row>
    <row r="313" spans="6:11" x14ac:dyDescent="0.2">
      <c r="F313" s="14">
        <f>IF(G313=0,IF(G312=0,F312,F312+1),IF(G312=0,MAX(F$1:F312),MAX(F$1:F312)+1))</f>
        <v>9</v>
      </c>
      <c r="G313" s="14">
        <f>IF(('S-Table'!$B313-$C$2)*('S-Table'!$B313-$D$2)=0,IF(('S-Table'!$C313-$C$3)*('S-Table'!$C313-$D$3)=0,'S-Table'!A313,0),0)</f>
        <v>0</v>
      </c>
      <c r="H313" s="14">
        <f>IF(('S-Table'!$B313-$C$2)*('S-Table'!$B313-$D$2)=0,IF(('S-Table'!$C313-$C$3)*('S-Table'!$C313-$D$3)=0,'S-Table'!B313,0),0)</f>
        <v>0</v>
      </c>
      <c r="I313" s="14">
        <f>IF(('S-Table'!$B313-$C$2)*('S-Table'!$B313-$D$2)=0,IF(('S-Table'!$C313-$C$3)*('S-Table'!$C313-$D$3)=0,'S-Table'!C313,0),0)</f>
        <v>0</v>
      </c>
      <c r="J313" s="14">
        <f>IF(('S-Table'!$B313-$C$2)*('S-Table'!$B313-$D$2)=0,IF(('S-Table'!$C313-$C$3)*('S-Table'!$C313-$D$3)=0,'S-Table'!D313,0),0)</f>
        <v>0</v>
      </c>
      <c r="K313" s="14">
        <f>IF(('S-Table'!$B313-$C$2)*('S-Table'!$B313-$D$2)=0,IF(('S-Table'!$C313-$C$3)*('S-Table'!$C313-$D$3)=0,'S-Table'!E313,0),0)</f>
        <v>0</v>
      </c>
    </row>
    <row r="314" spans="6:11" x14ac:dyDescent="0.2">
      <c r="F314" s="14">
        <f>IF(G314=0,IF(G313=0,F313,F313+1),IF(G313=0,MAX(F$1:F313),MAX(F$1:F313)+1))</f>
        <v>9</v>
      </c>
      <c r="G314" s="14">
        <f>IF(('S-Table'!$B314-$C$2)*('S-Table'!$B314-$D$2)=0,IF(('S-Table'!$C314-$C$3)*('S-Table'!$C314-$D$3)=0,'S-Table'!A314,0),0)</f>
        <v>0</v>
      </c>
      <c r="H314" s="14">
        <f>IF(('S-Table'!$B314-$C$2)*('S-Table'!$B314-$D$2)=0,IF(('S-Table'!$C314-$C$3)*('S-Table'!$C314-$D$3)=0,'S-Table'!B314,0),0)</f>
        <v>0</v>
      </c>
      <c r="I314" s="14">
        <f>IF(('S-Table'!$B314-$C$2)*('S-Table'!$B314-$D$2)=0,IF(('S-Table'!$C314-$C$3)*('S-Table'!$C314-$D$3)=0,'S-Table'!C314,0),0)</f>
        <v>0</v>
      </c>
      <c r="J314" s="14">
        <f>IF(('S-Table'!$B314-$C$2)*('S-Table'!$B314-$D$2)=0,IF(('S-Table'!$C314-$C$3)*('S-Table'!$C314-$D$3)=0,'S-Table'!D314,0),0)</f>
        <v>0</v>
      </c>
      <c r="K314" s="14">
        <f>IF(('S-Table'!$B314-$C$2)*('S-Table'!$B314-$D$2)=0,IF(('S-Table'!$C314-$C$3)*('S-Table'!$C314-$D$3)=0,'S-Table'!E314,0),0)</f>
        <v>0</v>
      </c>
    </row>
    <row r="315" spans="6:11" x14ac:dyDescent="0.2">
      <c r="F315" s="14">
        <f>IF(G315=0,IF(G314=0,F314,F314+1),IF(G314=0,MAX(F$1:F314),MAX(F$1:F314)+1))</f>
        <v>9</v>
      </c>
      <c r="G315" s="14">
        <f>IF(('S-Table'!$B315-$C$2)*('S-Table'!$B315-$D$2)=0,IF(('S-Table'!$C315-$C$3)*('S-Table'!$C315-$D$3)=0,'S-Table'!A315,0),0)</f>
        <v>0</v>
      </c>
      <c r="H315" s="14">
        <f>IF(('S-Table'!$B315-$C$2)*('S-Table'!$B315-$D$2)=0,IF(('S-Table'!$C315-$C$3)*('S-Table'!$C315-$D$3)=0,'S-Table'!B315,0),0)</f>
        <v>0</v>
      </c>
      <c r="I315" s="14">
        <f>IF(('S-Table'!$B315-$C$2)*('S-Table'!$B315-$D$2)=0,IF(('S-Table'!$C315-$C$3)*('S-Table'!$C315-$D$3)=0,'S-Table'!C315,0),0)</f>
        <v>0</v>
      </c>
      <c r="J315" s="14">
        <f>IF(('S-Table'!$B315-$C$2)*('S-Table'!$B315-$D$2)=0,IF(('S-Table'!$C315-$C$3)*('S-Table'!$C315-$D$3)=0,'S-Table'!D315,0),0)</f>
        <v>0</v>
      </c>
      <c r="K315" s="14">
        <f>IF(('S-Table'!$B315-$C$2)*('S-Table'!$B315-$D$2)=0,IF(('S-Table'!$C315-$C$3)*('S-Table'!$C315-$D$3)=0,'S-Table'!E315,0),0)</f>
        <v>0</v>
      </c>
    </row>
    <row r="316" spans="6:11" x14ac:dyDescent="0.2">
      <c r="F316" s="14">
        <f>IF(G316=0,IF(G315=0,F315,F315+1),IF(G315=0,MAX(F$1:F315),MAX(F$1:F315)+1))</f>
        <v>9</v>
      </c>
      <c r="G316" s="14">
        <f>IF(('S-Table'!$B316-$C$2)*('S-Table'!$B316-$D$2)=0,IF(('S-Table'!$C316-$C$3)*('S-Table'!$C316-$D$3)=0,'S-Table'!A316,0),0)</f>
        <v>0</v>
      </c>
      <c r="H316" s="14">
        <f>IF(('S-Table'!$B316-$C$2)*('S-Table'!$B316-$D$2)=0,IF(('S-Table'!$C316-$C$3)*('S-Table'!$C316-$D$3)=0,'S-Table'!B316,0),0)</f>
        <v>0</v>
      </c>
      <c r="I316" s="14">
        <f>IF(('S-Table'!$B316-$C$2)*('S-Table'!$B316-$D$2)=0,IF(('S-Table'!$C316-$C$3)*('S-Table'!$C316-$D$3)=0,'S-Table'!C316,0),0)</f>
        <v>0</v>
      </c>
      <c r="J316" s="14">
        <f>IF(('S-Table'!$B316-$C$2)*('S-Table'!$B316-$D$2)=0,IF(('S-Table'!$C316-$C$3)*('S-Table'!$C316-$D$3)=0,'S-Table'!D316,0),0)</f>
        <v>0</v>
      </c>
      <c r="K316" s="14">
        <f>IF(('S-Table'!$B316-$C$2)*('S-Table'!$B316-$D$2)=0,IF(('S-Table'!$C316-$C$3)*('S-Table'!$C316-$D$3)=0,'S-Table'!E316,0),0)</f>
        <v>0</v>
      </c>
    </row>
    <row r="317" spans="6:11" x14ac:dyDescent="0.2">
      <c r="F317" s="14">
        <f>IF(G317=0,IF(G316=0,F316,F316+1),IF(G316=0,MAX(F$1:F316),MAX(F$1:F316)+1))</f>
        <v>9</v>
      </c>
      <c r="G317" s="14">
        <f>IF(('S-Table'!$B317-$C$2)*('S-Table'!$B317-$D$2)=0,IF(('S-Table'!$C317-$C$3)*('S-Table'!$C317-$D$3)=0,'S-Table'!A317,0),0)</f>
        <v>0</v>
      </c>
      <c r="H317" s="14">
        <f>IF(('S-Table'!$B317-$C$2)*('S-Table'!$B317-$D$2)=0,IF(('S-Table'!$C317-$C$3)*('S-Table'!$C317-$D$3)=0,'S-Table'!B317,0),0)</f>
        <v>0</v>
      </c>
      <c r="I317" s="14">
        <f>IF(('S-Table'!$B317-$C$2)*('S-Table'!$B317-$D$2)=0,IF(('S-Table'!$C317-$C$3)*('S-Table'!$C317-$D$3)=0,'S-Table'!C317,0),0)</f>
        <v>0</v>
      </c>
      <c r="J317" s="14">
        <f>IF(('S-Table'!$B317-$C$2)*('S-Table'!$B317-$D$2)=0,IF(('S-Table'!$C317-$C$3)*('S-Table'!$C317-$D$3)=0,'S-Table'!D317,0),0)</f>
        <v>0</v>
      </c>
      <c r="K317" s="14">
        <f>IF(('S-Table'!$B317-$C$2)*('S-Table'!$B317-$D$2)=0,IF(('S-Table'!$C317-$C$3)*('S-Table'!$C317-$D$3)=0,'S-Table'!E317,0),0)</f>
        <v>0</v>
      </c>
    </row>
    <row r="318" spans="6:11" x14ac:dyDescent="0.2">
      <c r="F318" s="14">
        <f>IF(G318=0,IF(G317=0,F317,F317+1),IF(G317=0,MAX(F$1:F317),MAX(F$1:F317)+1))</f>
        <v>9</v>
      </c>
      <c r="G318" s="14">
        <f>IF(('S-Table'!$B318-$C$2)*('S-Table'!$B318-$D$2)=0,IF(('S-Table'!$C318-$C$3)*('S-Table'!$C318-$D$3)=0,'S-Table'!A318,0),0)</f>
        <v>0</v>
      </c>
      <c r="H318" s="14">
        <f>IF(('S-Table'!$B318-$C$2)*('S-Table'!$B318-$D$2)=0,IF(('S-Table'!$C318-$C$3)*('S-Table'!$C318-$D$3)=0,'S-Table'!B318,0),0)</f>
        <v>0</v>
      </c>
      <c r="I318" s="14">
        <f>IF(('S-Table'!$B318-$C$2)*('S-Table'!$B318-$D$2)=0,IF(('S-Table'!$C318-$C$3)*('S-Table'!$C318-$D$3)=0,'S-Table'!C318,0),0)</f>
        <v>0</v>
      </c>
      <c r="J318" s="14">
        <f>IF(('S-Table'!$B318-$C$2)*('S-Table'!$B318-$D$2)=0,IF(('S-Table'!$C318-$C$3)*('S-Table'!$C318-$D$3)=0,'S-Table'!D318,0),0)</f>
        <v>0</v>
      </c>
      <c r="K318" s="14">
        <f>IF(('S-Table'!$B318-$C$2)*('S-Table'!$B318-$D$2)=0,IF(('S-Table'!$C318-$C$3)*('S-Table'!$C318-$D$3)=0,'S-Table'!E318,0),0)</f>
        <v>0</v>
      </c>
    </row>
    <row r="319" spans="6:11" x14ac:dyDescent="0.2">
      <c r="F319" s="14">
        <f>IF(G319=0,IF(G318=0,F318,F318+1),IF(G318=0,MAX(F$1:F318),MAX(F$1:F318)+1))</f>
        <v>9</v>
      </c>
      <c r="G319" s="14">
        <f>IF(('S-Table'!$B319-$C$2)*('S-Table'!$B319-$D$2)=0,IF(('S-Table'!$C319-$C$3)*('S-Table'!$C319-$D$3)=0,'S-Table'!A319,0),0)</f>
        <v>0</v>
      </c>
      <c r="H319" s="14">
        <f>IF(('S-Table'!$B319-$C$2)*('S-Table'!$B319-$D$2)=0,IF(('S-Table'!$C319-$C$3)*('S-Table'!$C319-$D$3)=0,'S-Table'!B319,0),0)</f>
        <v>0</v>
      </c>
      <c r="I319" s="14">
        <f>IF(('S-Table'!$B319-$C$2)*('S-Table'!$B319-$D$2)=0,IF(('S-Table'!$C319-$C$3)*('S-Table'!$C319-$D$3)=0,'S-Table'!C319,0),0)</f>
        <v>0</v>
      </c>
      <c r="J319" s="14">
        <f>IF(('S-Table'!$B319-$C$2)*('S-Table'!$B319-$D$2)=0,IF(('S-Table'!$C319-$C$3)*('S-Table'!$C319-$D$3)=0,'S-Table'!D319,0),0)</f>
        <v>0</v>
      </c>
      <c r="K319" s="14">
        <f>IF(('S-Table'!$B319-$C$2)*('S-Table'!$B319-$D$2)=0,IF(('S-Table'!$C319-$C$3)*('S-Table'!$C319-$D$3)=0,'S-Table'!E319,0),0)</f>
        <v>0</v>
      </c>
    </row>
    <row r="320" spans="6:11" x14ac:dyDescent="0.2">
      <c r="F320" s="14">
        <f>IF(G320=0,IF(G319=0,F319,F319+1),IF(G319=0,MAX(F$1:F319),MAX(F$1:F319)+1))</f>
        <v>9</v>
      </c>
      <c r="G320" s="14">
        <f>IF(('S-Table'!$B320-$C$2)*('S-Table'!$B320-$D$2)=0,IF(('S-Table'!$C320-$C$3)*('S-Table'!$C320-$D$3)=0,'S-Table'!A320,0),0)</f>
        <v>0</v>
      </c>
      <c r="H320" s="14">
        <f>IF(('S-Table'!$B320-$C$2)*('S-Table'!$B320-$D$2)=0,IF(('S-Table'!$C320-$C$3)*('S-Table'!$C320-$D$3)=0,'S-Table'!B320,0),0)</f>
        <v>0</v>
      </c>
      <c r="I320" s="14">
        <f>IF(('S-Table'!$B320-$C$2)*('S-Table'!$B320-$D$2)=0,IF(('S-Table'!$C320-$C$3)*('S-Table'!$C320-$D$3)=0,'S-Table'!C320,0),0)</f>
        <v>0</v>
      </c>
      <c r="J320" s="14">
        <f>IF(('S-Table'!$B320-$C$2)*('S-Table'!$B320-$D$2)=0,IF(('S-Table'!$C320-$C$3)*('S-Table'!$C320-$D$3)=0,'S-Table'!D320,0),0)</f>
        <v>0</v>
      </c>
      <c r="K320" s="14">
        <f>IF(('S-Table'!$B320-$C$2)*('S-Table'!$B320-$D$2)=0,IF(('S-Table'!$C320-$C$3)*('S-Table'!$C320-$D$3)=0,'S-Table'!E320,0),0)</f>
        <v>0</v>
      </c>
    </row>
    <row r="321" spans="6:11" x14ac:dyDescent="0.2">
      <c r="F321" s="14">
        <f>IF(G321=0,IF(G320=0,F320,F320+1),IF(G320=0,MAX(F$1:F320),MAX(F$1:F320)+1))</f>
        <v>9</v>
      </c>
      <c r="G321" s="14">
        <f>IF(('S-Table'!$B321-$C$2)*('S-Table'!$B321-$D$2)=0,IF(('S-Table'!$C321-$C$3)*('S-Table'!$C321-$D$3)=0,'S-Table'!A321,0),0)</f>
        <v>0</v>
      </c>
      <c r="H321" s="14">
        <f>IF(('S-Table'!$B321-$C$2)*('S-Table'!$B321-$D$2)=0,IF(('S-Table'!$C321-$C$3)*('S-Table'!$C321-$D$3)=0,'S-Table'!B321,0),0)</f>
        <v>0</v>
      </c>
      <c r="I321" s="14">
        <f>IF(('S-Table'!$B321-$C$2)*('S-Table'!$B321-$D$2)=0,IF(('S-Table'!$C321-$C$3)*('S-Table'!$C321-$D$3)=0,'S-Table'!C321,0),0)</f>
        <v>0</v>
      </c>
      <c r="J321" s="14">
        <f>IF(('S-Table'!$B321-$C$2)*('S-Table'!$B321-$D$2)=0,IF(('S-Table'!$C321-$C$3)*('S-Table'!$C321-$D$3)=0,'S-Table'!D321,0),0)</f>
        <v>0</v>
      </c>
      <c r="K321" s="14">
        <f>IF(('S-Table'!$B321-$C$2)*('S-Table'!$B321-$D$2)=0,IF(('S-Table'!$C321-$C$3)*('S-Table'!$C321-$D$3)=0,'S-Table'!E321,0),0)</f>
        <v>0</v>
      </c>
    </row>
    <row r="322" spans="6:11" x14ac:dyDescent="0.2">
      <c r="F322" s="14">
        <f>IF(G322=0,IF(G321=0,F321,F321+1),IF(G321=0,MAX(F$1:F321),MAX(F$1:F321)+1))</f>
        <v>9</v>
      </c>
      <c r="G322" s="14">
        <f>IF(('S-Table'!$B322-$C$2)*('S-Table'!$B322-$D$2)=0,IF(('S-Table'!$C322-$C$3)*('S-Table'!$C322-$D$3)=0,'S-Table'!A322,0),0)</f>
        <v>0</v>
      </c>
      <c r="H322" s="14">
        <f>IF(('S-Table'!$B322-$C$2)*('S-Table'!$B322-$D$2)=0,IF(('S-Table'!$C322-$C$3)*('S-Table'!$C322-$D$3)=0,'S-Table'!B322,0),0)</f>
        <v>0</v>
      </c>
      <c r="I322" s="14">
        <f>IF(('S-Table'!$B322-$C$2)*('S-Table'!$B322-$D$2)=0,IF(('S-Table'!$C322-$C$3)*('S-Table'!$C322-$D$3)=0,'S-Table'!C322,0),0)</f>
        <v>0</v>
      </c>
      <c r="J322" s="14">
        <f>IF(('S-Table'!$B322-$C$2)*('S-Table'!$B322-$D$2)=0,IF(('S-Table'!$C322-$C$3)*('S-Table'!$C322-$D$3)=0,'S-Table'!D322,0),0)</f>
        <v>0</v>
      </c>
      <c r="K322" s="14">
        <f>IF(('S-Table'!$B322-$C$2)*('S-Table'!$B322-$D$2)=0,IF(('S-Table'!$C322-$C$3)*('S-Table'!$C322-$D$3)=0,'S-Table'!E322,0),0)</f>
        <v>0</v>
      </c>
    </row>
    <row r="323" spans="6:11" x14ac:dyDescent="0.2">
      <c r="F323" s="14">
        <f>IF(G323=0,IF(G322=0,F322,F322+1),IF(G322=0,MAX(F$1:F322),MAX(F$1:F322)+1))</f>
        <v>9</v>
      </c>
      <c r="G323" s="14">
        <f>IF(('S-Table'!$B323-$C$2)*('S-Table'!$B323-$D$2)=0,IF(('S-Table'!$C323-$C$3)*('S-Table'!$C323-$D$3)=0,'S-Table'!A323,0),0)</f>
        <v>0</v>
      </c>
      <c r="H323" s="14">
        <f>IF(('S-Table'!$B323-$C$2)*('S-Table'!$B323-$D$2)=0,IF(('S-Table'!$C323-$C$3)*('S-Table'!$C323-$D$3)=0,'S-Table'!B323,0),0)</f>
        <v>0</v>
      </c>
      <c r="I323" s="14">
        <f>IF(('S-Table'!$B323-$C$2)*('S-Table'!$B323-$D$2)=0,IF(('S-Table'!$C323-$C$3)*('S-Table'!$C323-$D$3)=0,'S-Table'!C323,0),0)</f>
        <v>0</v>
      </c>
      <c r="J323" s="14">
        <f>IF(('S-Table'!$B323-$C$2)*('S-Table'!$B323-$D$2)=0,IF(('S-Table'!$C323-$C$3)*('S-Table'!$C323-$D$3)=0,'S-Table'!D323,0),0)</f>
        <v>0</v>
      </c>
      <c r="K323" s="14">
        <f>IF(('S-Table'!$B323-$C$2)*('S-Table'!$B323-$D$2)=0,IF(('S-Table'!$C323-$C$3)*('S-Table'!$C323-$D$3)=0,'S-Table'!E323,0),0)</f>
        <v>0</v>
      </c>
    </row>
    <row r="324" spans="6:11" x14ac:dyDescent="0.2">
      <c r="F324" s="14">
        <f>IF(G324=0,IF(G323=0,F323,F323+1),IF(G323=0,MAX(F$1:F323),MAX(F$1:F323)+1))</f>
        <v>9</v>
      </c>
      <c r="G324" s="14">
        <f>IF(('S-Table'!$B324-$C$2)*('S-Table'!$B324-$D$2)=0,IF(('S-Table'!$C324-$C$3)*('S-Table'!$C324-$D$3)=0,'S-Table'!A324,0),0)</f>
        <v>0</v>
      </c>
      <c r="H324" s="14">
        <f>IF(('S-Table'!$B324-$C$2)*('S-Table'!$B324-$D$2)=0,IF(('S-Table'!$C324-$C$3)*('S-Table'!$C324-$D$3)=0,'S-Table'!B324,0),0)</f>
        <v>0</v>
      </c>
      <c r="I324" s="14">
        <f>IF(('S-Table'!$B324-$C$2)*('S-Table'!$B324-$D$2)=0,IF(('S-Table'!$C324-$C$3)*('S-Table'!$C324-$D$3)=0,'S-Table'!C324,0),0)</f>
        <v>0</v>
      </c>
      <c r="J324" s="14">
        <f>IF(('S-Table'!$B324-$C$2)*('S-Table'!$B324-$D$2)=0,IF(('S-Table'!$C324-$C$3)*('S-Table'!$C324-$D$3)=0,'S-Table'!D324,0),0)</f>
        <v>0</v>
      </c>
      <c r="K324" s="14">
        <f>IF(('S-Table'!$B324-$C$2)*('S-Table'!$B324-$D$2)=0,IF(('S-Table'!$C324-$C$3)*('S-Table'!$C324-$D$3)=0,'S-Table'!E324,0),0)</f>
        <v>0</v>
      </c>
    </row>
    <row r="325" spans="6:11" x14ac:dyDescent="0.2">
      <c r="F325" s="14">
        <f>IF(G325=0,IF(G324=0,F324,F324+1),IF(G324=0,MAX(F$1:F324),MAX(F$1:F324)+1))</f>
        <v>9</v>
      </c>
      <c r="G325" s="14">
        <f>IF(('S-Table'!$B325-$C$2)*('S-Table'!$B325-$D$2)=0,IF(('S-Table'!$C325-$C$3)*('S-Table'!$C325-$D$3)=0,'S-Table'!A325,0),0)</f>
        <v>0</v>
      </c>
      <c r="H325" s="14">
        <f>IF(('S-Table'!$B325-$C$2)*('S-Table'!$B325-$D$2)=0,IF(('S-Table'!$C325-$C$3)*('S-Table'!$C325-$D$3)=0,'S-Table'!B325,0),0)</f>
        <v>0</v>
      </c>
      <c r="I325" s="14">
        <f>IF(('S-Table'!$B325-$C$2)*('S-Table'!$B325-$D$2)=0,IF(('S-Table'!$C325-$C$3)*('S-Table'!$C325-$D$3)=0,'S-Table'!C325,0),0)</f>
        <v>0</v>
      </c>
      <c r="J325" s="14">
        <f>IF(('S-Table'!$B325-$C$2)*('S-Table'!$B325-$D$2)=0,IF(('S-Table'!$C325-$C$3)*('S-Table'!$C325-$D$3)=0,'S-Table'!D325,0),0)</f>
        <v>0</v>
      </c>
      <c r="K325" s="14">
        <f>IF(('S-Table'!$B325-$C$2)*('S-Table'!$B325-$D$2)=0,IF(('S-Table'!$C325-$C$3)*('S-Table'!$C325-$D$3)=0,'S-Table'!E325,0),0)</f>
        <v>0</v>
      </c>
    </row>
    <row r="326" spans="6:11" x14ac:dyDescent="0.2">
      <c r="F326" s="14">
        <f>IF(G326=0,IF(G325=0,F325,F325+1),IF(G325=0,MAX(F$1:F325),MAX(F$1:F325)+1))</f>
        <v>9</v>
      </c>
      <c r="G326" s="14">
        <f>IF(('S-Table'!$B326-$C$2)*('S-Table'!$B326-$D$2)=0,IF(('S-Table'!$C326-$C$3)*('S-Table'!$C326-$D$3)=0,'S-Table'!A326,0),0)</f>
        <v>0</v>
      </c>
      <c r="H326" s="14">
        <f>IF(('S-Table'!$B326-$C$2)*('S-Table'!$B326-$D$2)=0,IF(('S-Table'!$C326-$C$3)*('S-Table'!$C326-$D$3)=0,'S-Table'!B326,0),0)</f>
        <v>0</v>
      </c>
      <c r="I326" s="14">
        <f>IF(('S-Table'!$B326-$C$2)*('S-Table'!$B326-$D$2)=0,IF(('S-Table'!$C326-$C$3)*('S-Table'!$C326-$D$3)=0,'S-Table'!C326,0),0)</f>
        <v>0</v>
      </c>
      <c r="J326" s="14">
        <f>IF(('S-Table'!$B326-$C$2)*('S-Table'!$B326-$D$2)=0,IF(('S-Table'!$C326-$C$3)*('S-Table'!$C326-$D$3)=0,'S-Table'!D326,0),0)</f>
        <v>0</v>
      </c>
      <c r="K326" s="14">
        <f>IF(('S-Table'!$B326-$C$2)*('S-Table'!$B326-$D$2)=0,IF(('S-Table'!$C326-$C$3)*('S-Table'!$C326-$D$3)=0,'S-Table'!E326,0),0)</f>
        <v>0</v>
      </c>
    </row>
    <row r="327" spans="6:11" x14ac:dyDescent="0.2">
      <c r="F327" s="14">
        <f>IF(G327=0,IF(G326=0,F326,F326+1),IF(G326=0,MAX(F$1:F326),MAX(F$1:F326)+1))</f>
        <v>9</v>
      </c>
      <c r="G327" s="14">
        <f>IF(('S-Table'!$B327-$C$2)*('S-Table'!$B327-$D$2)=0,IF(('S-Table'!$C327-$C$3)*('S-Table'!$C327-$D$3)=0,'S-Table'!A327,0),0)</f>
        <v>0</v>
      </c>
      <c r="H327" s="14">
        <f>IF(('S-Table'!$B327-$C$2)*('S-Table'!$B327-$D$2)=0,IF(('S-Table'!$C327-$C$3)*('S-Table'!$C327-$D$3)=0,'S-Table'!B327,0),0)</f>
        <v>0</v>
      </c>
      <c r="I327" s="14">
        <f>IF(('S-Table'!$B327-$C$2)*('S-Table'!$B327-$D$2)=0,IF(('S-Table'!$C327-$C$3)*('S-Table'!$C327-$D$3)=0,'S-Table'!C327,0),0)</f>
        <v>0</v>
      </c>
      <c r="J327" s="14">
        <f>IF(('S-Table'!$B327-$C$2)*('S-Table'!$B327-$D$2)=0,IF(('S-Table'!$C327-$C$3)*('S-Table'!$C327-$D$3)=0,'S-Table'!D327,0),0)</f>
        <v>0</v>
      </c>
      <c r="K327" s="14">
        <f>IF(('S-Table'!$B327-$C$2)*('S-Table'!$B327-$D$2)=0,IF(('S-Table'!$C327-$C$3)*('S-Table'!$C327-$D$3)=0,'S-Table'!E327,0),0)</f>
        <v>0</v>
      </c>
    </row>
    <row r="328" spans="6:11" x14ac:dyDescent="0.2">
      <c r="F328" s="14">
        <f>IF(G328=0,IF(G327=0,F327,F327+1),IF(G327=0,MAX(F$1:F327),MAX(F$1:F327)+1))</f>
        <v>9</v>
      </c>
      <c r="G328" s="14">
        <f>IF(('S-Table'!$B328-$C$2)*('S-Table'!$B328-$D$2)=0,IF(('S-Table'!$C328-$C$3)*('S-Table'!$C328-$D$3)=0,'S-Table'!A328,0),0)</f>
        <v>0</v>
      </c>
      <c r="H328" s="14">
        <f>IF(('S-Table'!$B328-$C$2)*('S-Table'!$B328-$D$2)=0,IF(('S-Table'!$C328-$C$3)*('S-Table'!$C328-$D$3)=0,'S-Table'!B328,0),0)</f>
        <v>0</v>
      </c>
      <c r="I328" s="14">
        <f>IF(('S-Table'!$B328-$C$2)*('S-Table'!$B328-$D$2)=0,IF(('S-Table'!$C328-$C$3)*('S-Table'!$C328-$D$3)=0,'S-Table'!C328,0),0)</f>
        <v>0</v>
      </c>
      <c r="J328" s="14">
        <f>IF(('S-Table'!$B328-$C$2)*('S-Table'!$B328-$D$2)=0,IF(('S-Table'!$C328-$C$3)*('S-Table'!$C328-$D$3)=0,'S-Table'!D328,0),0)</f>
        <v>0</v>
      </c>
      <c r="K328" s="14">
        <f>IF(('S-Table'!$B328-$C$2)*('S-Table'!$B328-$D$2)=0,IF(('S-Table'!$C328-$C$3)*('S-Table'!$C328-$D$3)=0,'S-Table'!E328,0),0)</f>
        <v>0</v>
      </c>
    </row>
    <row r="329" spans="6:11" x14ac:dyDescent="0.2">
      <c r="F329" s="14">
        <f>IF(G329=0,IF(G328=0,F328,F328+1),IF(G328=0,MAX(F$1:F328),MAX(F$1:F328)+1))</f>
        <v>9</v>
      </c>
      <c r="G329" s="14">
        <f>IF(('S-Table'!$B329-$C$2)*('S-Table'!$B329-$D$2)=0,IF(('S-Table'!$C329-$C$3)*('S-Table'!$C329-$D$3)=0,'S-Table'!A329,0),0)</f>
        <v>0</v>
      </c>
      <c r="H329" s="14">
        <f>IF(('S-Table'!$B329-$C$2)*('S-Table'!$B329-$D$2)=0,IF(('S-Table'!$C329-$C$3)*('S-Table'!$C329-$D$3)=0,'S-Table'!B329,0),0)</f>
        <v>0</v>
      </c>
      <c r="I329" s="14">
        <f>IF(('S-Table'!$B329-$C$2)*('S-Table'!$B329-$D$2)=0,IF(('S-Table'!$C329-$C$3)*('S-Table'!$C329-$D$3)=0,'S-Table'!C329,0),0)</f>
        <v>0</v>
      </c>
      <c r="J329" s="14">
        <f>IF(('S-Table'!$B329-$C$2)*('S-Table'!$B329-$D$2)=0,IF(('S-Table'!$C329-$C$3)*('S-Table'!$C329-$D$3)=0,'S-Table'!D329,0),0)</f>
        <v>0</v>
      </c>
      <c r="K329" s="14">
        <f>IF(('S-Table'!$B329-$C$2)*('S-Table'!$B329-$D$2)=0,IF(('S-Table'!$C329-$C$3)*('S-Table'!$C329-$D$3)=0,'S-Table'!E329,0),0)</f>
        <v>0</v>
      </c>
    </row>
    <row r="330" spans="6:11" x14ac:dyDescent="0.2">
      <c r="F330" s="14">
        <f>IF(G330=0,IF(G329=0,F329,F329+1),IF(G329=0,MAX(F$1:F329),MAX(F$1:F329)+1))</f>
        <v>9</v>
      </c>
      <c r="G330" s="14">
        <f>IF(('S-Table'!$B330-$C$2)*('S-Table'!$B330-$D$2)=0,IF(('S-Table'!$C330-$C$3)*('S-Table'!$C330-$D$3)=0,'S-Table'!A330,0),0)</f>
        <v>0</v>
      </c>
      <c r="H330" s="14">
        <f>IF(('S-Table'!$B330-$C$2)*('S-Table'!$B330-$D$2)=0,IF(('S-Table'!$C330-$C$3)*('S-Table'!$C330-$D$3)=0,'S-Table'!B330,0),0)</f>
        <v>0</v>
      </c>
      <c r="I330" s="14">
        <f>IF(('S-Table'!$B330-$C$2)*('S-Table'!$B330-$D$2)=0,IF(('S-Table'!$C330-$C$3)*('S-Table'!$C330-$D$3)=0,'S-Table'!C330,0),0)</f>
        <v>0</v>
      </c>
      <c r="J330" s="14">
        <f>IF(('S-Table'!$B330-$C$2)*('S-Table'!$B330-$D$2)=0,IF(('S-Table'!$C330-$C$3)*('S-Table'!$C330-$D$3)=0,'S-Table'!D330,0),0)</f>
        <v>0</v>
      </c>
      <c r="K330" s="14">
        <f>IF(('S-Table'!$B330-$C$2)*('S-Table'!$B330-$D$2)=0,IF(('S-Table'!$C330-$C$3)*('S-Table'!$C330-$D$3)=0,'S-Table'!E330,0),0)</f>
        <v>0</v>
      </c>
    </row>
    <row r="331" spans="6:11" x14ac:dyDescent="0.2">
      <c r="F331" s="14">
        <f>IF(G331=0,IF(G330=0,F330,F330+1),IF(G330=0,MAX(F$1:F330),MAX(F$1:F330)+1))</f>
        <v>9</v>
      </c>
      <c r="G331" s="14">
        <f>IF(('S-Table'!$B331-$C$2)*('S-Table'!$B331-$D$2)=0,IF(('S-Table'!$C331-$C$3)*('S-Table'!$C331-$D$3)=0,'S-Table'!A331,0),0)</f>
        <v>0</v>
      </c>
      <c r="H331" s="14">
        <f>IF(('S-Table'!$B331-$C$2)*('S-Table'!$B331-$D$2)=0,IF(('S-Table'!$C331-$C$3)*('S-Table'!$C331-$D$3)=0,'S-Table'!B331,0),0)</f>
        <v>0</v>
      </c>
      <c r="I331" s="14">
        <f>IF(('S-Table'!$B331-$C$2)*('S-Table'!$B331-$D$2)=0,IF(('S-Table'!$C331-$C$3)*('S-Table'!$C331-$D$3)=0,'S-Table'!C331,0),0)</f>
        <v>0</v>
      </c>
      <c r="J331" s="14">
        <f>IF(('S-Table'!$B331-$C$2)*('S-Table'!$B331-$D$2)=0,IF(('S-Table'!$C331-$C$3)*('S-Table'!$C331-$D$3)=0,'S-Table'!D331,0),0)</f>
        <v>0</v>
      </c>
      <c r="K331" s="14">
        <f>IF(('S-Table'!$B331-$C$2)*('S-Table'!$B331-$D$2)=0,IF(('S-Table'!$C331-$C$3)*('S-Table'!$C331-$D$3)=0,'S-Table'!E331,0),0)</f>
        <v>0</v>
      </c>
    </row>
    <row r="332" spans="6:11" x14ac:dyDescent="0.2">
      <c r="F332" s="14">
        <f>IF(G332=0,IF(G331=0,F331,F331+1),IF(G331=0,MAX(F$1:F331),MAX(F$1:F331)+1))</f>
        <v>9</v>
      </c>
      <c r="G332" s="14">
        <f>IF(('S-Table'!$B332-$C$2)*('S-Table'!$B332-$D$2)=0,IF(('S-Table'!$C332-$C$3)*('S-Table'!$C332-$D$3)=0,'S-Table'!A332,0),0)</f>
        <v>0</v>
      </c>
      <c r="H332" s="14">
        <f>IF(('S-Table'!$B332-$C$2)*('S-Table'!$B332-$D$2)=0,IF(('S-Table'!$C332-$C$3)*('S-Table'!$C332-$D$3)=0,'S-Table'!B332,0),0)</f>
        <v>0</v>
      </c>
      <c r="I332" s="14">
        <f>IF(('S-Table'!$B332-$C$2)*('S-Table'!$B332-$D$2)=0,IF(('S-Table'!$C332-$C$3)*('S-Table'!$C332-$D$3)=0,'S-Table'!C332,0),0)</f>
        <v>0</v>
      </c>
      <c r="J332" s="14">
        <f>IF(('S-Table'!$B332-$C$2)*('S-Table'!$B332-$D$2)=0,IF(('S-Table'!$C332-$C$3)*('S-Table'!$C332-$D$3)=0,'S-Table'!D332,0),0)</f>
        <v>0</v>
      </c>
      <c r="K332" s="14">
        <f>IF(('S-Table'!$B332-$C$2)*('S-Table'!$B332-$D$2)=0,IF(('S-Table'!$C332-$C$3)*('S-Table'!$C332-$D$3)=0,'S-Table'!E332,0),0)</f>
        <v>0</v>
      </c>
    </row>
    <row r="333" spans="6:11" x14ac:dyDescent="0.2">
      <c r="F333" s="14">
        <f>IF(G333=0,IF(G332=0,F332,F332+1),IF(G332=0,MAX(F$1:F332),MAX(F$1:F332)+1))</f>
        <v>9</v>
      </c>
      <c r="G333" s="14">
        <f>IF(('S-Table'!$B333-$C$2)*('S-Table'!$B333-$D$2)=0,IF(('S-Table'!$C333-$C$3)*('S-Table'!$C333-$D$3)=0,'S-Table'!A333,0),0)</f>
        <v>0</v>
      </c>
      <c r="H333" s="14">
        <f>IF(('S-Table'!$B333-$C$2)*('S-Table'!$B333-$D$2)=0,IF(('S-Table'!$C333-$C$3)*('S-Table'!$C333-$D$3)=0,'S-Table'!B333,0),0)</f>
        <v>0</v>
      </c>
      <c r="I333" s="14">
        <f>IF(('S-Table'!$B333-$C$2)*('S-Table'!$B333-$D$2)=0,IF(('S-Table'!$C333-$C$3)*('S-Table'!$C333-$D$3)=0,'S-Table'!C333,0),0)</f>
        <v>0</v>
      </c>
      <c r="J333" s="14">
        <f>IF(('S-Table'!$B333-$C$2)*('S-Table'!$B333-$D$2)=0,IF(('S-Table'!$C333-$C$3)*('S-Table'!$C333-$D$3)=0,'S-Table'!D333,0),0)</f>
        <v>0</v>
      </c>
      <c r="K333" s="14">
        <f>IF(('S-Table'!$B333-$C$2)*('S-Table'!$B333-$D$2)=0,IF(('S-Table'!$C333-$C$3)*('S-Table'!$C333-$D$3)=0,'S-Table'!E333,0),0)</f>
        <v>0</v>
      </c>
    </row>
    <row r="334" spans="6:11" x14ac:dyDescent="0.2">
      <c r="F334" s="14">
        <f>IF(G334=0,IF(G333=0,F333,F333+1),IF(G333=0,MAX(F$1:F333),MAX(F$1:F333)+1))</f>
        <v>9</v>
      </c>
      <c r="G334" s="14">
        <f>IF(('S-Table'!$B334-$C$2)*('S-Table'!$B334-$D$2)=0,IF(('S-Table'!$C334-$C$3)*('S-Table'!$C334-$D$3)=0,'S-Table'!A334,0),0)</f>
        <v>0</v>
      </c>
      <c r="H334" s="14">
        <f>IF(('S-Table'!$B334-$C$2)*('S-Table'!$B334-$D$2)=0,IF(('S-Table'!$C334-$C$3)*('S-Table'!$C334-$D$3)=0,'S-Table'!B334,0),0)</f>
        <v>0</v>
      </c>
      <c r="I334" s="14">
        <f>IF(('S-Table'!$B334-$C$2)*('S-Table'!$B334-$D$2)=0,IF(('S-Table'!$C334-$C$3)*('S-Table'!$C334-$D$3)=0,'S-Table'!C334,0),0)</f>
        <v>0</v>
      </c>
      <c r="J334" s="14">
        <f>IF(('S-Table'!$B334-$C$2)*('S-Table'!$B334-$D$2)=0,IF(('S-Table'!$C334-$C$3)*('S-Table'!$C334-$D$3)=0,'S-Table'!D334,0),0)</f>
        <v>0</v>
      </c>
      <c r="K334" s="14">
        <f>IF(('S-Table'!$B334-$C$2)*('S-Table'!$B334-$D$2)=0,IF(('S-Table'!$C334-$C$3)*('S-Table'!$C334-$D$3)=0,'S-Table'!E334,0),0)</f>
        <v>0</v>
      </c>
    </row>
    <row r="335" spans="6:11" x14ac:dyDescent="0.2">
      <c r="F335" s="14">
        <f>IF(G335=0,IF(G334=0,F334,F334+1),IF(G334=0,MAX(F$1:F334),MAX(F$1:F334)+1))</f>
        <v>9</v>
      </c>
      <c r="G335" s="14">
        <f>IF(('S-Table'!$B335-$C$2)*('S-Table'!$B335-$D$2)=0,IF(('S-Table'!$C335-$C$3)*('S-Table'!$C335-$D$3)=0,'S-Table'!A335,0),0)</f>
        <v>0</v>
      </c>
      <c r="H335" s="14">
        <f>IF(('S-Table'!$B335-$C$2)*('S-Table'!$B335-$D$2)=0,IF(('S-Table'!$C335-$C$3)*('S-Table'!$C335-$D$3)=0,'S-Table'!B335,0),0)</f>
        <v>0</v>
      </c>
      <c r="I335" s="14">
        <f>IF(('S-Table'!$B335-$C$2)*('S-Table'!$B335-$D$2)=0,IF(('S-Table'!$C335-$C$3)*('S-Table'!$C335-$D$3)=0,'S-Table'!C335,0),0)</f>
        <v>0</v>
      </c>
      <c r="J335" s="14">
        <f>IF(('S-Table'!$B335-$C$2)*('S-Table'!$B335-$D$2)=0,IF(('S-Table'!$C335-$C$3)*('S-Table'!$C335-$D$3)=0,'S-Table'!D335,0),0)</f>
        <v>0</v>
      </c>
      <c r="K335" s="14">
        <f>IF(('S-Table'!$B335-$C$2)*('S-Table'!$B335-$D$2)=0,IF(('S-Table'!$C335-$C$3)*('S-Table'!$C335-$D$3)=0,'S-Table'!E335,0),0)</f>
        <v>0</v>
      </c>
    </row>
    <row r="336" spans="6:11" x14ac:dyDescent="0.2">
      <c r="F336" s="14">
        <f>IF(G336=0,IF(G335=0,F335,F335+1),IF(G335=0,MAX(F$1:F335),MAX(F$1:F335)+1))</f>
        <v>9</v>
      </c>
      <c r="G336" s="14">
        <f>IF(('S-Table'!$B336-$C$2)*('S-Table'!$B336-$D$2)=0,IF(('S-Table'!$C336-$C$3)*('S-Table'!$C336-$D$3)=0,'S-Table'!A336,0),0)</f>
        <v>0</v>
      </c>
      <c r="H336" s="14">
        <f>IF(('S-Table'!$B336-$C$2)*('S-Table'!$B336-$D$2)=0,IF(('S-Table'!$C336-$C$3)*('S-Table'!$C336-$D$3)=0,'S-Table'!B336,0),0)</f>
        <v>0</v>
      </c>
      <c r="I336" s="14">
        <f>IF(('S-Table'!$B336-$C$2)*('S-Table'!$B336-$D$2)=0,IF(('S-Table'!$C336-$C$3)*('S-Table'!$C336-$D$3)=0,'S-Table'!C336,0),0)</f>
        <v>0</v>
      </c>
      <c r="J336" s="14">
        <f>IF(('S-Table'!$B336-$C$2)*('S-Table'!$B336-$D$2)=0,IF(('S-Table'!$C336-$C$3)*('S-Table'!$C336-$D$3)=0,'S-Table'!D336,0),0)</f>
        <v>0</v>
      </c>
      <c r="K336" s="14">
        <f>IF(('S-Table'!$B336-$C$2)*('S-Table'!$B336-$D$2)=0,IF(('S-Table'!$C336-$C$3)*('S-Table'!$C336-$D$3)=0,'S-Table'!E336,0),0)</f>
        <v>0</v>
      </c>
    </row>
    <row r="337" spans="6:11" x14ac:dyDescent="0.2">
      <c r="F337" s="14">
        <f>IF(G337=0,IF(G336=0,F336,F336+1),IF(G336=0,MAX(F$1:F336),MAX(F$1:F336)+1))</f>
        <v>9</v>
      </c>
      <c r="G337" s="14">
        <f>IF(('S-Table'!$B337-$C$2)*('S-Table'!$B337-$D$2)=0,IF(('S-Table'!$C337-$C$3)*('S-Table'!$C337-$D$3)=0,'S-Table'!A337,0),0)</f>
        <v>0</v>
      </c>
      <c r="H337" s="14">
        <f>IF(('S-Table'!$B337-$C$2)*('S-Table'!$B337-$D$2)=0,IF(('S-Table'!$C337-$C$3)*('S-Table'!$C337-$D$3)=0,'S-Table'!B337,0),0)</f>
        <v>0</v>
      </c>
      <c r="I337" s="14">
        <f>IF(('S-Table'!$B337-$C$2)*('S-Table'!$B337-$D$2)=0,IF(('S-Table'!$C337-$C$3)*('S-Table'!$C337-$D$3)=0,'S-Table'!C337,0),0)</f>
        <v>0</v>
      </c>
      <c r="J337" s="14">
        <f>IF(('S-Table'!$B337-$C$2)*('S-Table'!$B337-$D$2)=0,IF(('S-Table'!$C337-$C$3)*('S-Table'!$C337-$D$3)=0,'S-Table'!D337,0),0)</f>
        <v>0</v>
      </c>
      <c r="K337" s="14">
        <f>IF(('S-Table'!$B337-$C$2)*('S-Table'!$B337-$D$2)=0,IF(('S-Table'!$C337-$C$3)*('S-Table'!$C337-$D$3)=0,'S-Table'!E337,0),0)</f>
        <v>0</v>
      </c>
    </row>
    <row r="338" spans="6:11" x14ac:dyDescent="0.2">
      <c r="F338" s="14">
        <f>IF(G338=0,IF(G337=0,F337,F337+1),IF(G337=0,MAX(F$1:F337),MAX(F$1:F337)+1))</f>
        <v>9</v>
      </c>
      <c r="G338" s="14">
        <f>IF(('S-Table'!$B338-$C$2)*('S-Table'!$B338-$D$2)=0,IF(('S-Table'!$C338-$C$3)*('S-Table'!$C338-$D$3)=0,'S-Table'!A338,0),0)</f>
        <v>5</v>
      </c>
      <c r="H338" s="14">
        <f>IF(('S-Table'!$B338-$C$2)*('S-Table'!$B338-$D$2)=0,IF(('S-Table'!$C338-$C$3)*('S-Table'!$C338-$D$3)=0,'S-Table'!B338,0),0)</f>
        <v>6</v>
      </c>
      <c r="I338" s="14">
        <f>IF(('S-Table'!$B338-$C$2)*('S-Table'!$B338-$D$2)=0,IF(('S-Table'!$C338-$C$3)*('S-Table'!$C338-$D$3)=0,'S-Table'!C338,0),0)</f>
        <v>50</v>
      </c>
      <c r="J338" s="14">
        <f>IF(('S-Table'!$B338-$C$2)*('S-Table'!$B338-$D$2)=0,IF(('S-Table'!$C338-$C$3)*('S-Table'!$C338-$D$3)=0,'S-Table'!D338,0),0)</f>
        <v>444.63</v>
      </c>
      <c r="K338" s="14">
        <f>IF(('S-Table'!$B338-$C$2)*('S-Table'!$B338-$D$2)=0,IF(('S-Table'!$C338-$C$3)*('S-Table'!$C338-$D$3)=0,'S-Table'!E338,0),0)</f>
        <v>162.91999999999999</v>
      </c>
    </row>
    <row r="339" spans="6:11" x14ac:dyDescent="0.2">
      <c r="F339" s="14">
        <f>IF(G339=0,IF(G338=0,F338,F338+1),IF(G338=0,MAX(F$1:F338),MAX(F$1:F338)+1))</f>
        <v>10</v>
      </c>
      <c r="G339" s="14">
        <f>IF(('S-Table'!$B339-$C$2)*('S-Table'!$B339-$D$2)=0,IF(('S-Table'!$C339-$C$3)*('S-Table'!$C339-$D$3)=0,'S-Table'!A339,0),0)</f>
        <v>5</v>
      </c>
      <c r="H339" s="14">
        <f>IF(('S-Table'!$B339-$C$2)*('S-Table'!$B339-$D$2)=0,IF(('S-Table'!$C339-$C$3)*('S-Table'!$C339-$D$3)=0,'S-Table'!B339,0),0)</f>
        <v>6</v>
      </c>
      <c r="I339" s="14">
        <f>IF(('S-Table'!$B339-$C$2)*('S-Table'!$B339-$D$2)=0,IF(('S-Table'!$C339-$C$3)*('S-Table'!$C339-$D$3)=0,'S-Table'!C339,0),0)</f>
        <v>100</v>
      </c>
      <c r="J339" s="14">
        <f>IF(('S-Table'!$B339-$C$2)*('S-Table'!$B339-$D$2)=0,IF(('S-Table'!$C339-$C$3)*('S-Table'!$C339-$D$3)=0,'S-Table'!D339,0),0)</f>
        <v>424.33</v>
      </c>
      <c r="K339" s="14">
        <f>IF(('S-Table'!$B339-$C$2)*('S-Table'!$B339-$D$2)=0,IF(('S-Table'!$C339-$C$3)*('S-Table'!$C339-$D$3)=0,'S-Table'!E339,0),0)</f>
        <v>162.96</v>
      </c>
    </row>
    <row r="340" spans="6:11" x14ac:dyDescent="0.2">
      <c r="F340" s="14">
        <f>IF(G340=0,IF(G339=0,F339,F339+1),IF(G339=0,MAX(F$1:F339),MAX(F$1:F339)+1))</f>
        <v>11</v>
      </c>
      <c r="G340" s="14">
        <f>IF(('S-Table'!$B340-$C$2)*('S-Table'!$B340-$D$2)=0,IF(('S-Table'!$C340-$C$3)*('S-Table'!$C340-$D$3)=0,'S-Table'!A340,0),0)</f>
        <v>0</v>
      </c>
      <c r="H340" s="14">
        <f>IF(('S-Table'!$B340-$C$2)*('S-Table'!$B340-$D$2)=0,IF(('S-Table'!$C340-$C$3)*('S-Table'!$C340-$D$3)=0,'S-Table'!B340,0),0)</f>
        <v>0</v>
      </c>
      <c r="I340" s="14">
        <f>IF(('S-Table'!$B340-$C$2)*('S-Table'!$B340-$D$2)=0,IF(('S-Table'!$C340-$C$3)*('S-Table'!$C340-$D$3)=0,'S-Table'!C340,0),0)</f>
        <v>0</v>
      </c>
      <c r="J340" s="14">
        <f>IF(('S-Table'!$B340-$C$2)*('S-Table'!$B340-$D$2)=0,IF(('S-Table'!$C340-$C$3)*('S-Table'!$C340-$D$3)=0,'S-Table'!D340,0),0)</f>
        <v>0</v>
      </c>
      <c r="K340" s="14">
        <f>IF(('S-Table'!$B340-$C$2)*('S-Table'!$B340-$D$2)=0,IF(('S-Table'!$C340-$C$3)*('S-Table'!$C340-$D$3)=0,'S-Table'!E340,0),0)</f>
        <v>0</v>
      </c>
    </row>
    <row r="341" spans="6:11" x14ac:dyDescent="0.2">
      <c r="F341" s="14">
        <f>IF(G341=0,IF(G340=0,F340,F340+1),IF(G340=0,MAX(F$1:F340),MAX(F$1:F340)+1))</f>
        <v>11</v>
      </c>
      <c r="G341" s="14">
        <f>IF(('S-Table'!$B341-$C$2)*('S-Table'!$B341-$D$2)=0,IF(('S-Table'!$C341-$C$3)*('S-Table'!$C341-$D$3)=0,'S-Table'!A341,0),0)</f>
        <v>0</v>
      </c>
      <c r="H341" s="14">
        <f>IF(('S-Table'!$B341-$C$2)*('S-Table'!$B341-$D$2)=0,IF(('S-Table'!$C341-$C$3)*('S-Table'!$C341-$D$3)=0,'S-Table'!B341,0),0)</f>
        <v>0</v>
      </c>
      <c r="I341" s="14">
        <f>IF(('S-Table'!$B341-$C$2)*('S-Table'!$B341-$D$2)=0,IF(('S-Table'!$C341-$C$3)*('S-Table'!$C341-$D$3)=0,'S-Table'!C341,0),0)</f>
        <v>0</v>
      </c>
      <c r="J341" s="14">
        <f>IF(('S-Table'!$B341-$C$2)*('S-Table'!$B341-$D$2)=0,IF(('S-Table'!$C341-$C$3)*('S-Table'!$C341-$D$3)=0,'S-Table'!D341,0),0)</f>
        <v>0</v>
      </c>
      <c r="K341" s="14">
        <f>IF(('S-Table'!$B341-$C$2)*('S-Table'!$B341-$D$2)=0,IF(('S-Table'!$C341-$C$3)*('S-Table'!$C341-$D$3)=0,'S-Table'!E341,0),0)</f>
        <v>0</v>
      </c>
    </row>
    <row r="342" spans="6:11" x14ac:dyDescent="0.2">
      <c r="F342" s="14">
        <f>IF(G342=0,IF(G341=0,F341,F341+1),IF(G341=0,MAX(F$1:F341),MAX(F$1:F341)+1))</f>
        <v>11</v>
      </c>
      <c r="G342" s="14">
        <f>IF(('S-Table'!$B342-$C$2)*('S-Table'!$B342-$D$2)=0,IF(('S-Table'!$C342-$C$3)*('S-Table'!$C342-$D$3)=0,'S-Table'!A342,0),0)</f>
        <v>0</v>
      </c>
      <c r="H342" s="14">
        <f>IF(('S-Table'!$B342-$C$2)*('S-Table'!$B342-$D$2)=0,IF(('S-Table'!$C342-$C$3)*('S-Table'!$C342-$D$3)=0,'S-Table'!B342,0),0)</f>
        <v>0</v>
      </c>
      <c r="I342" s="14">
        <f>IF(('S-Table'!$B342-$C$2)*('S-Table'!$B342-$D$2)=0,IF(('S-Table'!$C342-$C$3)*('S-Table'!$C342-$D$3)=0,'S-Table'!C342,0),0)</f>
        <v>0</v>
      </c>
      <c r="J342" s="14">
        <f>IF(('S-Table'!$B342-$C$2)*('S-Table'!$B342-$D$2)=0,IF(('S-Table'!$C342-$C$3)*('S-Table'!$C342-$D$3)=0,'S-Table'!D342,0),0)</f>
        <v>0</v>
      </c>
      <c r="K342" s="14">
        <f>IF(('S-Table'!$B342-$C$2)*('S-Table'!$B342-$D$2)=0,IF(('S-Table'!$C342-$C$3)*('S-Table'!$C342-$D$3)=0,'S-Table'!E342,0),0)</f>
        <v>0</v>
      </c>
    </row>
    <row r="343" spans="6:11" x14ac:dyDescent="0.2">
      <c r="F343" s="14">
        <f>IF(G343=0,IF(G342=0,F342,F342+1),IF(G342=0,MAX(F$1:F342),MAX(F$1:F342)+1))</f>
        <v>11</v>
      </c>
      <c r="G343" s="14">
        <f>IF(('S-Table'!$B343-$C$2)*('S-Table'!$B343-$D$2)=0,IF(('S-Table'!$C343-$C$3)*('S-Table'!$C343-$D$3)=0,'S-Table'!A343,0),0)</f>
        <v>0</v>
      </c>
      <c r="H343" s="14">
        <f>IF(('S-Table'!$B343-$C$2)*('S-Table'!$B343-$D$2)=0,IF(('S-Table'!$C343-$C$3)*('S-Table'!$C343-$D$3)=0,'S-Table'!B343,0),0)</f>
        <v>0</v>
      </c>
      <c r="I343" s="14">
        <f>IF(('S-Table'!$B343-$C$2)*('S-Table'!$B343-$D$2)=0,IF(('S-Table'!$C343-$C$3)*('S-Table'!$C343-$D$3)=0,'S-Table'!C343,0),0)</f>
        <v>0</v>
      </c>
      <c r="J343" s="14">
        <f>IF(('S-Table'!$B343-$C$2)*('S-Table'!$B343-$D$2)=0,IF(('S-Table'!$C343-$C$3)*('S-Table'!$C343-$D$3)=0,'S-Table'!D343,0),0)</f>
        <v>0</v>
      </c>
      <c r="K343" s="14">
        <f>IF(('S-Table'!$B343-$C$2)*('S-Table'!$B343-$D$2)=0,IF(('S-Table'!$C343-$C$3)*('S-Table'!$C343-$D$3)=0,'S-Table'!E343,0),0)</f>
        <v>0</v>
      </c>
    </row>
    <row r="344" spans="6:11" x14ac:dyDescent="0.2">
      <c r="F344" s="14">
        <f>IF(G344=0,IF(G343=0,F343,F343+1),IF(G343=0,MAX(F$1:F343),MAX(F$1:F343)+1))</f>
        <v>11</v>
      </c>
      <c r="G344" s="14">
        <f>IF(('S-Table'!$B344-$C$2)*('S-Table'!$B344-$D$2)=0,IF(('S-Table'!$C344-$C$3)*('S-Table'!$C344-$D$3)=0,'S-Table'!A344,0),0)</f>
        <v>0</v>
      </c>
      <c r="H344" s="14">
        <f>IF(('S-Table'!$B344-$C$2)*('S-Table'!$B344-$D$2)=0,IF(('S-Table'!$C344-$C$3)*('S-Table'!$C344-$D$3)=0,'S-Table'!B344,0),0)</f>
        <v>0</v>
      </c>
      <c r="I344" s="14">
        <f>IF(('S-Table'!$B344-$C$2)*('S-Table'!$B344-$D$2)=0,IF(('S-Table'!$C344-$C$3)*('S-Table'!$C344-$D$3)=0,'S-Table'!C344,0),0)</f>
        <v>0</v>
      </c>
      <c r="J344" s="14">
        <f>IF(('S-Table'!$B344-$C$2)*('S-Table'!$B344-$D$2)=0,IF(('S-Table'!$C344-$C$3)*('S-Table'!$C344-$D$3)=0,'S-Table'!D344,0),0)</f>
        <v>0</v>
      </c>
      <c r="K344" s="14">
        <f>IF(('S-Table'!$B344-$C$2)*('S-Table'!$B344-$D$2)=0,IF(('S-Table'!$C344-$C$3)*('S-Table'!$C344-$D$3)=0,'S-Table'!E344,0),0)</f>
        <v>0</v>
      </c>
    </row>
    <row r="345" spans="6:11" x14ac:dyDescent="0.2">
      <c r="F345" s="14">
        <f>IF(G345=0,IF(G344=0,F344,F344+1),IF(G344=0,MAX(F$1:F344),MAX(F$1:F344)+1))</f>
        <v>11</v>
      </c>
      <c r="G345" s="14">
        <f>IF(('S-Table'!$B345-$C$2)*('S-Table'!$B345-$D$2)=0,IF(('S-Table'!$C345-$C$3)*('S-Table'!$C345-$D$3)=0,'S-Table'!A345,0),0)</f>
        <v>0</v>
      </c>
      <c r="H345" s="14">
        <f>IF(('S-Table'!$B345-$C$2)*('S-Table'!$B345-$D$2)=0,IF(('S-Table'!$C345-$C$3)*('S-Table'!$C345-$D$3)=0,'S-Table'!B345,0),0)</f>
        <v>0</v>
      </c>
      <c r="I345" s="14">
        <f>IF(('S-Table'!$B345-$C$2)*('S-Table'!$B345-$D$2)=0,IF(('S-Table'!$C345-$C$3)*('S-Table'!$C345-$D$3)=0,'S-Table'!C345,0),0)</f>
        <v>0</v>
      </c>
      <c r="J345" s="14">
        <f>IF(('S-Table'!$B345-$C$2)*('S-Table'!$B345-$D$2)=0,IF(('S-Table'!$C345-$C$3)*('S-Table'!$C345-$D$3)=0,'S-Table'!D345,0),0)</f>
        <v>0</v>
      </c>
      <c r="K345" s="14">
        <f>IF(('S-Table'!$B345-$C$2)*('S-Table'!$B345-$D$2)=0,IF(('S-Table'!$C345-$C$3)*('S-Table'!$C345-$D$3)=0,'S-Table'!E345,0),0)</f>
        <v>0</v>
      </c>
    </row>
    <row r="346" spans="6:11" x14ac:dyDescent="0.2">
      <c r="F346" s="14">
        <f>IF(G346=0,IF(G345=0,F345,F345+1),IF(G345=0,MAX(F$1:F345),MAX(F$1:F345)+1))</f>
        <v>11</v>
      </c>
      <c r="G346" s="14">
        <f>IF(('S-Table'!$B346-$C$2)*('S-Table'!$B346-$D$2)=0,IF(('S-Table'!$C346-$C$3)*('S-Table'!$C346-$D$3)=0,'S-Table'!A346,0),0)</f>
        <v>5</v>
      </c>
      <c r="H346" s="14">
        <f>IF(('S-Table'!$B346-$C$2)*('S-Table'!$B346-$D$2)=0,IF(('S-Table'!$C346-$C$3)*('S-Table'!$C346-$D$3)=0,'S-Table'!B346,0),0)</f>
        <v>6.5</v>
      </c>
      <c r="I346" s="14">
        <f>IF(('S-Table'!$B346-$C$2)*('S-Table'!$B346-$D$2)=0,IF(('S-Table'!$C346-$C$3)*('S-Table'!$C346-$D$3)=0,'S-Table'!C346,0),0)</f>
        <v>50</v>
      </c>
      <c r="J346" s="14">
        <f>IF(('S-Table'!$B346-$C$2)*('S-Table'!$B346-$D$2)=0,IF(('S-Table'!$C346-$C$3)*('S-Table'!$C346-$D$3)=0,'S-Table'!D346,0),0)</f>
        <v>420.54</v>
      </c>
      <c r="K346" s="14">
        <f>IF(('S-Table'!$B346-$C$2)*('S-Table'!$B346-$D$2)=0,IF(('S-Table'!$C346-$C$3)*('S-Table'!$C346-$D$3)=0,'S-Table'!E346,0),0)</f>
        <v>162.94</v>
      </c>
    </row>
    <row r="347" spans="6:11" x14ac:dyDescent="0.2">
      <c r="F347" s="14">
        <f>IF(G347=0,IF(G346=0,F346,F346+1),IF(G346=0,MAX(F$1:F346),MAX(F$1:F346)+1))</f>
        <v>12</v>
      </c>
      <c r="G347" s="14">
        <f>IF(('S-Table'!$B347-$C$2)*('S-Table'!$B347-$D$2)=0,IF(('S-Table'!$C347-$C$3)*('S-Table'!$C347-$D$3)=0,'S-Table'!A347,0),0)</f>
        <v>5</v>
      </c>
      <c r="H347" s="14">
        <f>IF(('S-Table'!$B347-$C$2)*('S-Table'!$B347-$D$2)=0,IF(('S-Table'!$C347-$C$3)*('S-Table'!$C347-$D$3)=0,'S-Table'!B347,0),0)</f>
        <v>6.5</v>
      </c>
      <c r="I347" s="14">
        <f>IF(('S-Table'!$B347-$C$2)*('S-Table'!$B347-$D$2)=0,IF(('S-Table'!$C347-$C$3)*('S-Table'!$C347-$D$3)=0,'S-Table'!C347,0),0)</f>
        <v>100</v>
      </c>
      <c r="J347" s="14">
        <f>IF(('S-Table'!$B347-$C$2)*('S-Table'!$B347-$D$2)=0,IF(('S-Table'!$C347-$C$3)*('S-Table'!$C347-$D$3)=0,'S-Table'!D347,0),0)</f>
        <v>400.19</v>
      </c>
      <c r="K347" s="14">
        <f>IF(('S-Table'!$B347-$C$2)*('S-Table'!$B347-$D$2)=0,IF(('S-Table'!$C347-$C$3)*('S-Table'!$C347-$D$3)=0,'S-Table'!E347,0),0)</f>
        <v>162.97999999999999</v>
      </c>
    </row>
    <row r="348" spans="6:11" x14ac:dyDescent="0.2">
      <c r="F348" s="14">
        <f>IF(G348=0,IF(G347=0,F347,F347+1),IF(G347=0,MAX(F$1:F347),MAX(F$1:F347)+1))</f>
        <v>13</v>
      </c>
      <c r="G348" s="14">
        <f>IF(('S-Table'!$B348-$C$2)*('S-Table'!$B348-$D$2)=0,IF(('S-Table'!$C348-$C$3)*('S-Table'!$C348-$D$3)=0,'S-Table'!A348,0),0)</f>
        <v>0</v>
      </c>
      <c r="H348" s="14">
        <f>IF(('S-Table'!$B348-$C$2)*('S-Table'!$B348-$D$2)=0,IF(('S-Table'!$C348-$C$3)*('S-Table'!$C348-$D$3)=0,'S-Table'!B348,0),0)</f>
        <v>0</v>
      </c>
      <c r="I348" s="14">
        <f>IF(('S-Table'!$B348-$C$2)*('S-Table'!$B348-$D$2)=0,IF(('S-Table'!$C348-$C$3)*('S-Table'!$C348-$D$3)=0,'S-Table'!C348,0),0)</f>
        <v>0</v>
      </c>
      <c r="J348" s="14">
        <f>IF(('S-Table'!$B348-$C$2)*('S-Table'!$B348-$D$2)=0,IF(('S-Table'!$C348-$C$3)*('S-Table'!$C348-$D$3)=0,'S-Table'!D348,0),0)</f>
        <v>0</v>
      </c>
      <c r="K348" s="14">
        <f>IF(('S-Table'!$B348-$C$2)*('S-Table'!$B348-$D$2)=0,IF(('S-Table'!$C348-$C$3)*('S-Table'!$C348-$D$3)=0,'S-Table'!E348,0),0)</f>
        <v>0</v>
      </c>
    </row>
    <row r="349" spans="6:11" x14ac:dyDescent="0.2">
      <c r="F349" s="14">
        <f>IF(G349=0,IF(G348=0,F348,F348+1),IF(G348=0,MAX(F$1:F348),MAX(F$1:F348)+1))</f>
        <v>13</v>
      </c>
      <c r="G349" s="14">
        <f>IF(('S-Table'!$B349-$C$2)*('S-Table'!$B349-$D$2)=0,IF(('S-Table'!$C349-$C$3)*('S-Table'!$C349-$D$3)=0,'S-Table'!A349,0),0)</f>
        <v>0</v>
      </c>
      <c r="H349" s="14">
        <f>IF(('S-Table'!$B349-$C$2)*('S-Table'!$B349-$D$2)=0,IF(('S-Table'!$C349-$C$3)*('S-Table'!$C349-$D$3)=0,'S-Table'!B349,0),0)</f>
        <v>0</v>
      </c>
      <c r="I349" s="14">
        <f>IF(('S-Table'!$B349-$C$2)*('S-Table'!$B349-$D$2)=0,IF(('S-Table'!$C349-$C$3)*('S-Table'!$C349-$D$3)=0,'S-Table'!C349,0),0)</f>
        <v>0</v>
      </c>
      <c r="J349" s="14">
        <f>IF(('S-Table'!$B349-$C$2)*('S-Table'!$B349-$D$2)=0,IF(('S-Table'!$C349-$C$3)*('S-Table'!$C349-$D$3)=0,'S-Table'!D349,0),0)</f>
        <v>0</v>
      </c>
      <c r="K349" s="14">
        <f>IF(('S-Table'!$B349-$C$2)*('S-Table'!$B349-$D$2)=0,IF(('S-Table'!$C349-$C$3)*('S-Table'!$C349-$D$3)=0,'S-Table'!E349,0),0)</f>
        <v>0</v>
      </c>
    </row>
    <row r="350" spans="6:11" x14ac:dyDescent="0.2">
      <c r="F350" s="14">
        <f>IF(G350=0,IF(G349=0,F349,F349+1),IF(G349=0,MAX(F$1:F349),MAX(F$1:F349)+1))</f>
        <v>13</v>
      </c>
      <c r="G350" s="14">
        <f>IF(('S-Table'!$B350-$C$2)*('S-Table'!$B350-$D$2)=0,IF(('S-Table'!$C350-$C$3)*('S-Table'!$C350-$D$3)=0,'S-Table'!A350,0),0)</f>
        <v>0</v>
      </c>
      <c r="H350" s="14">
        <f>IF(('S-Table'!$B350-$C$2)*('S-Table'!$B350-$D$2)=0,IF(('S-Table'!$C350-$C$3)*('S-Table'!$C350-$D$3)=0,'S-Table'!B350,0),0)</f>
        <v>0</v>
      </c>
      <c r="I350" s="14">
        <f>IF(('S-Table'!$B350-$C$2)*('S-Table'!$B350-$D$2)=0,IF(('S-Table'!$C350-$C$3)*('S-Table'!$C350-$D$3)=0,'S-Table'!C350,0),0)</f>
        <v>0</v>
      </c>
      <c r="J350" s="14">
        <f>IF(('S-Table'!$B350-$C$2)*('S-Table'!$B350-$D$2)=0,IF(('S-Table'!$C350-$C$3)*('S-Table'!$C350-$D$3)=0,'S-Table'!D350,0),0)</f>
        <v>0</v>
      </c>
      <c r="K350" s="14">
        <f>IF(('S-Table'!$B350-$C$2)*('S-Table'!$B350-$D$2)=0,IF(('S-Table'!$C350-$C$3)*('S-Table'!$C350-$D$3)=0,'S-Table'!E350,0),0)</f>
        <v>0</v>
      </c>
    </row>
    <row r="351" spans="6:11" x14ac:dyDescent="0.2">
      <c r="F351" s="14">
        <f>IF(G351=0,IF(G350=0,F350,F350+1),IF(G350=0,MAX(F$1:F350),MAX(F$1:F350)+1))</f>
        <v>13</v>
      </c>
      <c r="G351" s="14">
        <f>IF(('S-Table'!$B351-$C$2)*('S-Table'!$B351-$D$2)=0,IF(('S-Table'!$C351-$C$3)*('S-Table'!$C351-$D$3)=0,'S-Table'!A351,0),0)</f>
        <v>0</v>
      </c>
      <c r="H351" s="14">
        <f>IF(('S-Table'!$B351-$C$2)*('S-Table'!$B351-$D$2)=0,IF(('S-Table'!$C351-$C$3)*('S-Table'!$C351-$D$3)=0,'S-Table'!B351,0),0)</f>
        <v>0</v>
      </c>
      <c r="I351" s="14">
        <f>IF(('S-Table'!$B351-$C$2)*('S-Table'!$B351-$D$2)=0,IF(('S-Table'!$C351-$C$3)*('S-Table'!$C351-$D$3)=0,'S-Table'!C351,0),0)</f>
        <v>0</v>
      </c>
      <c r="J351" s="14">
        <f>IF(('S-Table'!$B351-$C$2)*('S-Table'!$B351-$D$2)=0,IF(('S-Table'!$C351-$C$3)*('S-Table'!$C351-$D$3)=0,'S-Table'!D351,0),0)</f>
        <v>0</v>
      </c>
      <c r="K351" s="14">
        <f>IF(('S-Table'!$B351-$C$2)*('S-Table'!$B351-$D$2)=0,IF(('S-Table'!$C351-$C$3)*('S-Table'!$C351-$D$3)=0,'S-Table'!E351,0),0)</f>
        <v>0</v>
      </c>
    </row>
    <row r="352" spans="6:11" x14ac:dyDescent="0.2">
      <c r="F352" s="14">
        <f>IF(G352=0,IF(G351=0,F351,F351+1),IF(G351=0,MAX(F$1:F351),MAX(F$1:F351)+1))</f>
        <v>13</v>
      </c>
      <c r="G352" s="14">
        <f>IF(('S-Table'!$B352-$C$2)*('S-Table'!$B352-$D$2)=0,IF(('S-Table'!$C352-$C$3)*('S-Table'!$C352-$D$3)=0,'S-Table'!A352,0),0)</f>
        <v>0</v>
      </c>
      <c r="H352" s="14">
        <f>IF(('S-Table'!$B352-$C$2)*('S-Table'!$B352-$D$2)=0,IF(('S-Table'!$C352-$C$3)*('S-Table'!$C352-$D$3)=0,'S-Table'!B352,0),0)</f>
        <v>0</v>
      </c>
      <c r="I352" s="14">
        <f>IF(('S-Table'!$B352-$C$2)*('S-Table'!$B352-$D$2)=0,IF(('S-Table'!$C352-$C$3)*('S-Table'!$C352-$D$3)=0,'S-Table'!C352,0),0)</f>
        <v>0</v>
      </c>
      <c r="J352" s="14">
        <f>IF(('S-Table'!$B352-$C$2)*('S-Table'!$B352-$D$2)=0,IF(('S-Table'!$C352-$C$3)*('S-Table'!$C352-$D$3)=0,'S-Table'!D352,0),0)</f>
        <v>0</v>
      </c>
      <c r="K352" s="14">
        <f>IF(('S-Table'!$B352-$C$2)*('S-Table'!$B352-$D$2)=0,IF(('S-Table'!$C352-$C$3)*('S-Table'!$C352-$D$3)=0,'S-Table'!E352,0),0)</f>
        <v>0</v>
      </c>
    </row>
    <row r="353" spans="6:11" x14ac:dyDescent="0.2">
      <c r="F353" s="14">
        <f>IF(G353=0,IF(G352=0,F352,F352+1),IF(G352=0,MAX(F$1:F352),MAX(F$1:F352)+1))</f>
        <v>13</v>
      </c>
      <c r="G353" s="14">
        <f>IF(('S-Table'!$B353-$C$2)*('S-Table'!$B353-$D$2)=0,IF(('S-Table'!$C353-$C$3)*('S-Table'!$C353-$D$3)=0,'S-Table'!A353,0),0)</f>
        <v>0</v>
      </c>
      <c r="H353" s="14">
        <f>IF(('S-Table'!$B353-$C$2)*('S-Table'!$B353-$D$2)=0,IF(('S-Table'!$C353-$C$3)*('S-Table'!$C353-$D$3)=0,'S-Table'!B353,0),0)</f>
        <v>0</v>
      </c>
      <c r="I353" s="14">
        <f>IF(('S-Table'!$B353-$C$2)*('S-Table'!$B353-$D$2)=0,IF(('S-Table'!$C353-$C$3)*('S-Table'!$C353-$D$3)=0,'S-Table'!C353,0),0)</f>
        <v>0</v>
      </c>
      <c r="J353" s="14">
        <f>IF(('S-Table'!$B353-$C$2)*('S-Table'!$B353-$D$2)=0,IF(('S-Table'!$C353-$C$3)*('S-Table'!$C353-$D$3)=0,'S-Table'!D353,0),0)</f>
        <v>0</v>
      </c>
      <c r="K353" s="14">
        <f>IF(('S-Table'!$B353-$C$2)*('S-Table'!$B353-$D$2)=0,IF(('S-Table'!$C353-$C$3)*('S-Table'!$C353-$D$3)=0,'S-Table'!E353,0),0)</f>
        <v>0</v>
      </c>
    </row>
    <row r="354" spans="6:11" x14ac:dyDescent="0.2">
      <c r="F354" s="14">
        <f>IF(G354=0,IF(G353=0,F353,F353+1),IF(G353=0,MAX(F$1:F353),MAX(F$1:F353)+1))</f>
        <v>13</v>
      </c>
      <c r="G354" s="14">
        <f>IF(('S-Table'!$B354-$C$2)*('S-Table'!$B354-$D$2)=0,IF(('S-Table'!$C354-$C$3)*('S-Table'!$C354-$D$3)=0,'S-Table'!A354,0),0)</f>
        <v>0</v>
      </c>
      <c r="H354" s="14">
        <f>IF(('S-Table'!$B354-$C$2)*('S-Table'!$B354-$D$2)=0,IF(('S-Table'!$C354-$C$3)*('S-Table'!$C354-$D$3)=0,'S-Table'!B354,0),0)</f>
        <v>0</v>
      </c>
      <c r="I354" s="14">
        <f>IF(('S-Table'!$B354-$C$2)*('S-Table'!$B354-$D$2)=0,IF(('S-Table'!$C354-$C$3)*('S-Table'!$C354-$D$3)=0,'S-Table'!C354,0),0)</f>
        <v>0</v>
      </c>
      <c r="J354" s="14">
        <f>IF(('S-Table'!$B354-$C$2)*('S-Table'!$B354-$D$2)=0,IF(('S-Table'!$C354-$C$3)*('S-Table'!$C354-$D$3)=0,'S-Table'!D354,0),0)</f>
        <v>0</v>
      </c>
      <c r="K354" s="14">
        <f>IF(('S-Table'!$B354-$C$2)*('S-Table'!$B354-$D$2)=0,IF(('S-Table'!$C354-$C$3)*('S-Table'!$C354-$D$3)=0,'S-Table'!E354,0),0)</f>
        <v>0</v>
      </c>
    </row>
    <row r="355" spans="6:11" x14ac:dyDescent="0.2">
      <c r="F355" s="14">
        <f>IF(G355=0,IF(G354=0,F354,F354+1),IF(G354=0,MAX(F$1:F354),MAX(F$1:F354)+1))</f>
        <v>13</v>
      </c>
      <c r="G355" s="14">
        <f>IF(('S-Table'!$B355-$C$2)*('S-Table'!$B355-$D$2)=0,IF(('S-Table'!$C355-$C$3)*('S-Table'!$C355-$D$3)=0,'S-Table'!A355,0),0)</f>
        <v>0</v>
      </c>
      <c r="H355" s="14">
        <f>IF(('S-Table'!$B355-$C$2)*('S-Table'!$B355-$D$2)=0,IF(('S-Table'!$C355-$C$3)*('S-Table'!$C355-$D$3)=0,'S-Table'!B355,0),0)</f>
        <v>0</v>
      </c>
      <c r="I355" s="14">
        <f>IF(('S-Table'!$B355-$C$2)*('S-Table'!$B355-$D$2)=0,IF(('S-Table'!$C355-$C$3)*('S-Table'!$C355-$D$3)=0,'S-Table'!C355,0),0)</f>
        <v>0</v>
      </c>
      <c r="J355" s="14">
        <f>IF(('S-Table'!$B355-$C$2)*('S-Table'!$B355-$D$2)=0,IF(('S-Table'!$C355-$C$3)*('S-Table'!$C355-$D$3)=0,'S-Table'!D355,0),0)</f>
        <v>0</v>
      </c>
      <c r="K355" s="14">
        <f>IF(('S-Table'!$B355-$C$2)*('S-Table'!$B355-$D$2)=0,IF(('S-Table'!$C355-$C$3)*('S-Table'!$C355-$D$3)=0,'S-Table'!E355,0),0)</f>
        <v>0</v>
      </c>
    </row>
    <row r="356" spans="6:11" x14ac:dyDescent="0.2">
      <c r="F356" s="14">
        <f>IF(G356=0,IF(G355=0,F355,F355+1),IF(G355=0,MAX(F$1:F355),MAX(F$1:F355)+1))</f>
        <v>13</v>
      </c>
      <c r="G356" s="14">
        <f>IF(('S-Table'!$B356-$C$2)*('S-Table'!$B356-$D$2)=0,IF(('S-Table'!$C356-$C$3)*('S-Table'!$C356-$D$3)=0,'S-Table'!A356,0),0)</f>
        <v>0</v>
      </c>
      <c r="H356" s="14">
        <f>IF(('S-Table'!$B356-$C$2)*('S-Table'!$B356-$D$2)=0,IF(('S-Table'!$C356-$C$3)*('S-Table'!$C356-$D$3)=0,'S-Table'!B356,0),0)</f>
        <v>0</v>
      </c>
      <c r="I356" s="14">
        <f>IF(('S-Table'!$B356-$C$2)*('S-Table'!$B356-$D$2)=0,IF(('S-Table'!$C356-$C$3)*('S-Table'!$C356-$D$3)=0,'S-Table'!C356,0),0)</f>
        <v>0</v>
      </c>
      <c r="J356" s="14">
        <f>IF(('S-Table'!$B356-$C$2)*('S-Table'!$B356-$D$2)=0,IF(('S-Table'!$C356-$C$3)*('S-Table'!$C356-$D$3)=0,'S-Table'!D356,0),0)</f>
        <v>0</v>
      </c>
      <c r="K356" s="14">
        <f>IF(('S-Table'!$B356-$C$2)*('S-Table'!$B356-$D$2)=0,IF(('S-Table'!$C356-$C$3)*('S-Table'!$C356-$D$3)=0,'S-Table'!E356,0),0)</f>
        <v>0</v>
      </c>
    </row>
    <row r="357" spans="6:11" x14ac:dyDescent="0.2">
      <c r="F357" s="14">
        <f>IF(G357=0,IF(G356=0,F356,F356+1),IF(G356=0,MAX(F$1:F356),MAX(F$1:F356)+1))</f>
        <v>13</v>
      </c>
      <c r="G357" s="14">
        <f>IF(('S-Table'!$B357-$C$2)*('S-Table'!$B357-$D$2)=0,IF(('S-Table'!$C357-$C$3)*('S-Table'!$C357-$D$3)=0,'S-Table'!A357,0),0)</f>
        <v>0</v>
      </c>
      <c r="H357" s="14">
        <f>IF(('S-Table'!$B357-$C$2)*('S-Table'!$B357-$D$2)=0,IF(('S-Table'!$C357-$C$3)*('S-Table'!$C357-$D$3)=0,'S-Table'!B357,0),0)</f>
        <v>0</v>
      </c>
      <c r="I357" s="14">
        <f>IF(('S-Table'!$B357-$C$2)*('S-Table'!$B357-$D$2)=0,IF(('S-Table'!$C357-$C$3)*('S-Table'!$C357-$D$3)=0,'S-Table'!C357,0),0)</f>
        <v>0</v>
      </c>
      <c r="J357" s="14">
        <f>IF(('S-Table'!$B357-$C$2)*('S-Table'!$B357-$D$2)=0,IF(('S-Table'!$C357-$C$3)*('S-Table'!$C357-$D$3)=0,'S-Table'!D357,0),0)</f>
        <v>0</v>
      </c>
      <c r="K357" s="14">
        <f>IF(('S-Table'!$B357-$C$2)*('S-Table'!$B357-$D$2)=0,IF(('S-Table'!$C357-$C$3)*('S-Table'!$C357-$D$3)=0,'S-Table'!E357,0),0)</f>
        <v>0</v>
      </c>
    </row>
    <row r="358" spans="6:11" x14ac:dyDescent="0.2">
      <c r="F358" s="14">
        <f>IF(G358=0,IF(G357=0,F357,F357+1),IF(G357=0,MAX(F$1:F357),MAX(F$1:F357)+1))</f>
        <v>13</v>
      </c>
      <c r="G358" s="14">
        <f>IF(('S-Table'!$B358-$C$2)*('S-Table'!$B358-$D$2)=0,IF(('S-Table'!$C358-$C$3)*('S-Table'!$C358-$D$3)=0,'S-Table'!A358,0),0)</f>
        <v>0</v>
      </c>
      <c r="H358" s="14">
        <f>IF(('S-Table'!$B358-$C$2)*('S-Table'!$B358-$D$2)=0,IF(('S-Table'!$C358-$C$3)*('S-Table'!$C358-$D$3)=0,'S-Table'!B358,0),0)</f>
        <v>0</v>
      </c>
      <c r="I358" s="14">
        <f>IF(('S-Table'!$B358-$C$2)*('S-Table'!$B358-$D$2)=0,IF(('S-Table'!$C358-$C$3)*('S-Table'!$C358-$D$3)=0,'S-Table'!C358,0),0)</f>
        <v>0</v>
      </c>
      <c r="J358" s="14">
        <f>IF(('S-Table'!$B358-$C$2)*('S-Table'!$B358-$D$2)=0,IF(('S-Table'!$C358-$C$3)*('S-Table'!$C358-$D$3)=0,'S-Table'!D358,0),0)</f>
        <v>0</v>
      </c>
      <c r="K358" s="14">
        <f>IF(('S-Table'!$B358-$C$2)*('S-Table'!$B358-$D$2)=0,IF(('S-Table'!$C358-$C$3)*('S-Table'!$C358-$D$3)=0,'S-Table'!E358,0),0)</f>
        <v>0</v>
      </c>
    </row>
    <row r="359" spans="6:11" x14ac:dyDescent="0.2">
      <c r="F359" s="14">
        <f>IF(G359=0,IF(G358=0,F358,F358+1),IF(G358=0,MAX(F$1:F358),MAX(F$1:F358)+1))</f>
        <v>13</v>
      </c>
      <c r="G359" s="14">
        <f>IF(('S-Table'!$B359-$C$2)*('S-Table'!$B359-$D$2)=0,IF(('S-Table'!$C359-$C$3)*('S-Table'!$C359-$D$3)=0,'S-Table'!A359,0),0)</f>
        <v>0</v>
      </c>
      <c r="H359" s="14">
        <f>IF(('S-Table'!$B359-$C$2)*('S-Table'!$B359-$D$2)=0,IF(('S-Table'!$C359-$C$3)*('S-Table'!$C359-$D$3)=0,'S-Table'!B359,0),0)</f>
        <v>0</v>
      </c>
      <c r="I359" s="14">
        <f>IF(('S-Table'!$B359-$C$2)*('S-Table'!$B359-$D$2)=0,IF(('S-Table'!$C359-$C$3)*('S-Table'!$C359-$D$3)=0,'S-Table'!C359,0),0)</f>
        <v>0</v>
      </c>
      <c r="J359" s="14">
        <f>IF(('S-Table'!$B359-$C$2)*('S-Table'!$B359-$D$2)=0,IF(('S-Table'!$C359-$C$3)*('S-Table'!$C359-$D$3)=0,'S-Table'!D359,0),0)</f>
        <v>0</v>
      </c>
      <c r="K359" s="14">
        <f>IF(('S-Table'!$B359-$C$2)*('S-Table'!$B359-$D$2)=0,IF(('S-Table'!$C359-$C$3)*('S-Table'!$C359-$D$3)=0,'S-Table'!E359,0),0)</f>
        <v>0</v>
      </c>
    </row>
    <row r="360" spans="6:11" x14ac:dyDescent="0.2">
      <c r="F360" s="14">
        <f>IF(G360=0,IF(G359=0,F359,F359+1),IF(G359=0,MAX(F$1:F359),MAX(F$1:F359)+1))</f>
        <v>13</v>
      </c>
      <c r="G360" s="14">
        <f>IF(('S-Table'!$B360-$C$2)*('S-Table'!$B360-$D$2)=0,IF(('S-Table'!$C360-$C$3)*('S-Table'!$C360-$D$3)=0,'S-Table'!A360,0),0)</f>
        <v>0</v>
      </c>
      <c r="H360" s="14">
        <f>IF(('S-Table'!$B360-$C$2)*('S-Table'!$B360-$D$2)=0,IF(('S-Table'!$C360-$C$3)*('S-Table'!$C360-$D$3)=0,'S-Table'!B360,0),0)</f>
        <v>0</v>
      </c>
      <c r="I360" s="14">
        <f>IF(('S-Table'!$B360-$C$2)*('S-Table'!$B360-$D$2)=0,IF(('S-Table'!$C360-$C$3)*('S-Table'!$C360-$D$3)=0,'S-Table'!C360,0),0)</f>
        <v>0</v>
      </c>
      <c r="J360" s="14">
        <f>IF(('S-Table'!$B360-$C$2)*('S-Table'!$B360-$D$2)=0,IF(('S-Table'!$C360-$C$3)*('S-Table'!$C360-$D$3)=0,'S-Table'!D360,0),0)</f>
        <v>0</v>
      </c>
      <c r="K360" s="14">
        <f>IF(('S-Table'!$B360-$C$2)*('S-Table'!$B360-$D$2)=0,IF(('S-Table'!$C360-$C$3)*('S-Table'!$C360-$D$3)=0,'S-Table'!E360,0),0)</f>
        <v>0</v>
      </c>
    </row>
    <row r="361" spans="6:11" x14ac:dyDescent="0.2">
      <c r="F361" s="14">
        <f>IF(G361=0,IF(G360=0,F360,F360+1),IF(G360=0,MAX(F$1:F360),MAX(F$1:F360)+1))</f>
        <v>13</v>
      </c>
      <c r="G361" s="14">
        <f>IF(('S-Table'!$B361-$C$2)*('S-Table'!$B361-$D$2)=0,IF(('S-Table'!$C361-$C$3)*('S-Table'!$C361-$D$3)=0,'S-Table'!A361,0),0)</f>
        <v>0</v>
      </c>
      <c r="H361" s="14">
        <f>IF(('S-Table'!$B361-$C$2)*('S-Table'!$B361-$D$2)=0,IF(('S-Table'!$C361-$C$3)*('S-Table'!$C361-$D$3)=0,'S-Table'!B361,0),0)</f>
        <v>0</v>
      </c>
      <c r="I361" s="14">
        <f>IF(('S-Table'!$B361-$C$2)*('S-Table'!$B361-$D$2)=0,IF(('S-Table'!$C361-$C$3)*('S-Table'!$C361-$D$3)=0,'S-Table'!C361,0),0)</f>
        <v>0</v>
      </c>
      <c r="J361" s="14">
        <f>IF(('S-Table'!$B361-$C$2)*('S-Table'!$B361-$D$2)=0,IF(('S-Table'!$C361-$C$3)*('S-Table'!$C361-$D$3)=0,'S-Table'!D361,0),0)</f>
        <v>0</v>
      </c>
      <c r="K361" s="14">
        <f>IF(('S-Table'!$B361-$C$2)*('S-Table'!$B361-$D$2)=0,IF(('S-Table'!$C361-$C$3)*('S-Table'!$C361-$D$3)=0,'S-Table'!E361,0),0)</f>
        <v>0</v>
      </c>
    </row>
    <row r="362" spans="6:11" x14ac:dyDescent="0.2">
      <c r="F362" s="14">
        <f>IF(G362=0,IF(G361=0,F361,F361+1),IF(G361=0,MAX(F$1:F361),MAX(F$1:F361)+1))</f>
        <v>13</v>
      </c>
      <c r="G362" s="14">
        <f>IF(('S-Table'!$B362-$C$2)*('S-Table'!$B362-$D$2)=0,IF(('S-Table'!$C362-$C$3)*('S-Table'!$C362-$D$3)=0,'S-Table'!A362,0),0)</f>
        <v>0</v>
      </c>
      <c r="H362" s="14">
        <f>IF(('S-Table'!$B362-$C$2)*('S-Table'!$B362-$D$2)=0,IF(('S-Table'!$C362-$C$3)*('S-Table'!$C362-$D$3)=0,'S-Table'!B362,0),0)</f>
        <v>0</v>
      </c>
      <c r="I362" s="14">
        <f>IF(('S-Table'!$B362-$C$2)*('S-Table'!$B362-$D$2)=0,IF(('S-Table'!$C362-$C$3)*('S-Table'!$C362-$D$3)=0,'S-Table'!C362,0),0)</f>
        <v>0</v>
      </c>
      <c r="J362" s="14">
        <f>IF(('S-Table'!$B362-$C$2)*('S-Table'!$B362-$D$2)=0,IF(('S-Table'!$C362-$C$3)*('S-Table'!$C362-$D$3)=0,'S-Table'!D362,0),0)</f>
        <v>0</v>
      </c>
      <c r="K362" s="14">
        <f>IF(('S-Table'!$B362-$C$2)*('S-Table'!$B362-$D$2)=0,IF(('S-Table'!$C362-$C$3)*('S-Table'!$C362-$D$3)=0,'S-Table'!E362,0),0)</f>
        <v>0</v>
      </c>
    </row>
    <row r="363" spans="6:11" x14ac:dyDescent="0.2">
      <c r="F363" s="14">
        <f>IF(G363=0,IF(G362=0,F362,F362+1),IF(G362=0,MAX(F$1:F362),MAX(F$1:F362)+1))</f>
        <v>13</v>
      </c>
      <c r="G363" s="14">
        <f>IF(('S-Table'!$B363-$C$2)*('S-Table'!$B363-$D$2)=0,IF(('S-Table'!$C363-$C$3)*('S-Table'!$C363-$D$3)=0,'S-Table'!A363,0),0)</f>
        <v>0</v>
      </c>
      <c r="H363" s="14">
        <f>IF(('S-Table'!$B363-$C$2)*('S-Table'!$B363-$D$2)=0,IF(('S-Table'!$C363-$C$3)*('S-Table'!$C363-$D$3)=0,'S-Table'!B363,0),0)</f>
        <v>0</v>
      </c>
      <c r="I363" s="14">
        <f>IF(('S-Table'!$B363-$C$2)*('S-Table'!$B363-$D$2)=0,IF(('S-Table'!$C363-$C$3)*('S-Table'!$C363-$D$3)=0,'S-Table'!C363,0),0)</f>
        <v>0</v>
      </c>
      <c r="J363" s="14">
        <f>IF(('S-Table'!$B363-$C$2)*('S-Table'!$B363-$D$2)=0,IF(('S-Table'!$C363-$C$3)*('S-Table'!$C363-$D$3)=0,'S-Table'!D363,0),0)</f>
        <v>0</v>
      </c>
      <c r="K363" s="14">
        <f>IF(('S-Table'!$B363-$C$2)*('S-Table'!$B363-$D$2)=0,IF(('S-Table'!$C363-$C$3)*('S-Table'!$C363-$D$3)=0,'S-Table'!E363,0),0)</f>
        <v>0</v>
      </c>
    </row>
    <row r="364" spans="6:11" x14ac:dyDescent="0.2">
      <c r="F364" s="14">
        <f>IF(G364=0,IF(G363=0,F363,F363+1),IF(G363=0,MAX(F$1:F363),MAX(F$1:F363)+1))</f>
        <v>13</v>
      </c>
      <c r="G364" s="14">
        <f>IF(('S-Table'!$B364-$C$2)*('S-Table'!$B364-$D$2)=0,IF(('S-Table'!$C364-$C$3)*('S-Table'!$C364-$D$3)=0,'S-Table'!A364,0),0)</f>
        <v>0</v>
      </c>
      <c r="H364" s="14">
        <f>IF(('S-Table'!$B364-$C$2)*('S-Table'!$B364-$D$2)=0,IF(('S-Table'!$C364-$C$3)*('S-Table'!$C364-$D$3)=0,'S-Table'!B364,0),0)</f>
        <v>0</v>
      </c>
      <c r="I364" s="14">
        <f>IF(('S-Table'!$B364-$C$2)*('S-Table'!$B364-$D$2)=0,IF(('S-Table'!$C364-$C$3)*('S-Table'!$C364-$D$3)=0,'S-Table'!C364,0),0)</f>
        <v>0</v>
      </c>
      <c r="J364" s="14">
        <f>IF(('S-Table'!$B364-$C$2)*('S-Table'!$B364-$D$2)=0,IF(('S-Table'!$C364-$C$3)*('S-Table'!$C364-$D$3)=0,'S-Table'!D364,0),0)</f>
        <v>0</v>
      </c>
      <c r="K364" s="14">
        <f>IF(('S-Table'!$B364-$C$2)*('S-Table'!$B364-$D$2)=0,IF(('S-Table'!$C364-$C$3)*('S-Table'!$C364-$D$3)=0,'S-Table'!E364,0),0)</f>
        <v>0</v>
      </c>
    </row>
    <row r="365" spans="6:11" x14ac:dyDescent="0.2">
      <c r="F365" s="14">
        <f>IF(G365=0,IF(G364=0,F364,F364+1),IF(G364=0,MAX(F$1:F364),MAX(F$1:F364)+1))</f>
        <v>13</v>
      </c>
      <c r="G365" s="14">
        <f>IF(('S-Table'!$B365-$C$2)*('S-Table'!$B365-$D$2)=0,IF(('S-Table'!$C365-$C$3)*('S-Table'!$C365-$D$3)=0,'S-Table'!A365,0),0)</f>
        <v>0</v>
      </c>
      <c r="H365" s="14">
        <f>IF(('S-Table'!$B365-$C$2)*('S-Table'!$B365-$D$2)=0,IF(('S-Table'!$C365-$C$3)*('S-Table'!$C365-$D$3)=0,'S-Table'!B365,0),0)</f>
        <v>0</v>
      </c>
      <c r="I365" s="14">
        <f>IF(('S-Table'!$B365-$C$2)*('S-Table'!$B365-$D$2)=0,IF(('S-Table'!$C365-$C$3)*('S-Table'!$C365-$D$3)=0,'S-Table'!C365,0),0)</f>
        <v>0</v>
      </c>
      <c r="J365" s="14">
        <f>IF(('S-Table'!$B365-$C$2)*('S-Table'!$B365-$D$2)=0,IF(('S-Table'!$C365-$C$3)*('S-Table'!$C365-$D$3)=0,'S-Table'!D365,0),0)</f>
        <v>0</v>
      </c>
      <c r="K365" s="14">
        <f>IF(('S-Table'!$B365-$C$2)*('S-Table'!$B365-$D$2)=0,IF(('S-Table'!$C365-$C$3)*('S-Table'!$C365-$D$3)=0,'S-Table'!E365,0),0)</f>
        <v>0</v>
      </c>
    </row>
    <row r="366" spans="6:11" x14ac:dyDescent="0.2">
      <c r="F366" s="14">
        <f>IF(G366=0,IF(G365=0,F365,F365+1),IF(G365=0,MAX(F$1:F365),MAX(F$1:F365)+1))</f>
        <v>13</v>
      </c>
      <c r="G366" s="14">
        <f>IF(('S-Table'!$B366-$C$2)*('S-Table'!$B366-$D$2)=0,IF(('S-Table'!$C366-$C$3)*('S-Table'!$C366-$D$3)=0,'S-Table'!A366,0),0)</f>
        <v>0</v>
      </c>
      <c r="H366" s="14">
        <f>IF(('S-Table'!$B366-$C$2)*('S-Table'!$B366-$D$2)=0,IF(('S-Table'!$C366-$C$3)*('S-Table'!$C366-$D$3)=0,'S-Table'!B366,0),0)</f>
        <v>0</v>
      </c>
      <c r="I366" s="14">
        <f>IF(('S-Table'!$B366-$C$2)*('S-Table'!$B366-$D$2)=0,IF(('S-Table'!$C366-$C$3)*('S-Table'!$C366-$D$3)=0,'S-Table'!C366,0),0)</f>
        <v>0</v>
      </c>
      <c r="J366" s="14">
        <f>IF(('S-Table'!$B366-$C$2)*('S-Table'!$B366-$D$2)=0,IF(('S-Table'!$C366-$C$3)*('S-Table'!$C366-$D$3)=0,'S-Table'!D366,0),0)</f>
        <v>0</v>
      </c>
      <c r="K366" s="14">
        <f>IF(('S-Table'!$B366-$C$2)*('S-Table'!$B366-$D$2)=0,IF(('S-Table'!$C366-$C$3)*('S-Table'!$C366-$D$3)=0,'S-Table'!E366,0),0)</f>
        <v>0</v>
      </c>
    </row>
    <row r="367" spans="6:11" x14ac:dyDescent="0.2">
      <c r="F367" s="14">
        <f>IF(G367=0,IF(G366=0,F366,F366+1),IF(G366=0,MAX(F$1:F366),MAX(F$1:F366)+1))</f>
        <v>13</v>
      </c>
      <c r="G367" s="14">
        <f>IF(('S-Table'!$B367-$C$2)*('S-Table'!$B367-$D$2)=0,IF(('S-Table'!$C367-$C$3)*('S-Table'!$C367-$D$3)=0,'S-Table'!A367,0),0)</f>
        <v>0</v>
      </c>
      <c r="H367" s="14">
        <f>IF(('S-Table'!$B367-$C$2)*('S-Table'!$B367-$D$2)=0,IF(('S-Table'!$C367-$C$3)*('S-Table'!$C367-$D$3)=0,'S-Table'!B367,0),0)</f>
        <v>0</v>
      </c>
      <c r="I367" s="14">
        <f>IF(('S-Table'!$B367-$C$2)*('S-Table'!$B367-$D$2)=0,IF(('S-Table'!$C367-$C$3)*('S-Table'!$C367-$D$3)=0,'S-Table'!C367,0),0)</f>
        <v>0</v>
      </c>
      <c r="J367" s="14">
        <f>IF(('S-Table'!$B367-$C$2)*('S-Table'!$B367-$D$2)=0,IF(('S-Table'!$C367-$C$3)*('S-Table'!$C367-$D$3)=0,'S-Table'!D367,0),0)</f>
        <v>0</v>
      </c>
      <c r="K367" s="14">
        <f>IF(('S-Table'!$B367-$C$2)*('S-Table'!$B367-$D$2)=0,IF(('S-Table'!$C367-$C$3)*('S-Table'!$C367-$D$3)=0,'S-Table'!E367,0),0)</f>
        <v>0</v>
      </c>
    </row>
    <row r="368" spans="6:11" x14ac:dyDescent="0.2">
      <c r="F368" s="14">
        <f>IF(G368=0,IF(G367=0,F367,F367+1),IF(G367=0,MAX(F$1:F367),MAX(F$1:F367)+1))</f>
        <v>13</v>
      </c>
      <c r="G368" s="14">
        <f>IF(('S-Table'!$B368-$C$2)*('S-Table'!$B368-$D$2)=0,IF(('S-Table'!$C368-$C$3)*('S-Table'!$C368-$D$3)=0,'S-Table'!A368,0),0)</f>
        <v>0</v>
      </c>
      <c r="H368" s="14">
        <f>IF(('S-Table'!$B368-$C$2)*('S-Table'!$B368-$D$2)=0,IF(('S-Table'!$C368-$C$3)*('S-Table'!$C368-$D$3)=0,'S-Table'!B368,0),0)</f>
        <v>0</v>
      </c>
      <c r="I368" s="14">
        <f>IF(('S-Table'!$B368-$C$2)*('S-Table'!$B368-$D$2)=0,IF(('S-Table'!$C368-$C$3)*('S-Table'!$C368-$D$3)=0,'S-Table'!C368,0),0)</f>
        <v>0</v>
      </c>
      <c r="J368" s="14">
        <f>IF(('S-Table'!$B368-$C$2)*('S-Table'!$B368-$D$2)=0,IF(('S-Table'!$C368-$C$3)*('S-Table'!$C368-$D$3)=0,'S-Table'!D368,0),0)</f>
        <v>0</v>
      </c>
      <c r="K368" s="14">
        <f>IF(('S-Table'!$B368-$C$2)*('S-Table'!$B368-$D$2)=0,IF(('S-Table'!$C368-$C$3)*('S-Table'!$C368-$D$3)=0,'S-Table'!E368,0),0)</f>
        <v>0</v>
      </c>
    </row>
    <row r="369" spans="6:11" x14ac:dyDescent="0.2">
      <c r="F369" s="14">
        <f>IF(G369=0,IF(G368=0,F368,F368+1),IF(G368=0,MAX(F$1:F368),MAX(F$1:F368)+1))</f>
        <v>13</v>
      </c>
      <c r="G369" s="14">
        <f>IF(('S-Table'!$B369-$C$2)*('S-Table'!$B369-$D$2)=0,IF(('S-Table'!$C369-$C$3)*('S-Table'!$C369-$D$3)=0,'S-Table'!A369,0),0)</f>
        <v>0</v>
      </c>
      <c r="H369" s="14">
        <f>IF(('S-Table'!$B369-$C$2)*('S-Table'!$B369-$D$2)=0,IF(('S-Table'!$C369-$C$3)*('S-Table'!$C369-$D$3)=0,'S-Table'!B369,0),0)</f>
        <v>0</v>
      </c>
      <c r="I369" s="14">
        <f>IF(('S-Table'!$B369-$C$2)*('S-Table'!$B369-$D$2)=0,IF(('S-Table'!$C369-$C$3)*('S-Table'!$C369-$D$3)=0,'S-Table'!C369,0),0)</f>
        <v>0</v>
      </c>
      <c r="J369" s="14">
        <f>IF(('S-Table'!$B369-$C$2)*('S-Table'!$B369-$D$2)=0,IF(('S-Table'!$C369-$C$3)*('S-Table'!$C369-$D$3)=0,'S-Table'!D369,0),0)</f>
        <v>0</v>
      </c>
      <c r="K369" s="14">
        <f>IF(('S-Table'!$B369-$C$2)*('S-Table'!$B369-$D$2)=0,IF(('S-Table'!$C369-$C$3)*('S-Table'!$C369-$D$3)=0,'S-Table'!E369,0),0)</f>
        <v>0</v>
      </c>
    </row>
    <row r="370" spans="6:11" x14ac:dyDescent="0.2">
      <c r="F370" s="14">
        <f>IF(G370=0,IF(G369=0,F369,F369+1),IF(G369=0,MAX(F$1:F369),MAX(F$1:F369)+1))</f>
        <v>13</v>
      </c>
      <c r="G370" s="14">
        <f>IF(('S-Table'!$B370-$C$2)*('S-Table'!$B370-$D$2)=0,IF(('S-Table'!$C370-$C$3)*('S-Table'!$C370-$D$3)=0,'S-Table'!A370,0),0)</f>
        <v>0</v>
      </c>
      <c r="H370" s="14">
        <f>IF(('S-Table'!$B370-$C$2)*('S-Table'!$B370-$D$2)=0,IF(('S-Table'!$C370-$C$3)*('S-Table'!$C370-$D$3)=0,'S-Table'!B370,0),0)</f>
        <v>0</v>
      </c>
      <c r="I370" s="14">
        <f>IF(('S-Table'!$B370-$C$2)*('S-Table'!$B370-$D$2)=0,IF(('S-Table'!$C370-$C$3)*('S-Table'!$C370-$D$3)=0,'S-Table'!C370,0),0)</f>
        <v>0</v>
      </c>
      <c r="J370" s="14">
        <f>IF(('S-Table'!$B370-$C$2)*('S-Table'!$B370-$D$2)=0,IF(('S-Table'!$C370-$C$3)*('S-Table'!$C370-$D$3)=0,'S-Table'!D370,0),0)</f>
        <v>0</v>
      </c>
      <c r="K370" s="14">
        <f>IF(('S-Table'!$B370-$C$2)*('S-Table'!$B370-$D$2)=0,IF(('S-Table'!$C370-$C$3)*('S-Table'!$C370-$D$3)=0,'S-Table'!E370,0),0)</f>
        <v>0</v>
      </c>
    </row>
    <row r="371" spans="6:11" x14ac:dyDescent="0.2">
      <c r="F371" s="14">
        <f>IF(G371=0,IF(G370=0,F370,F370+1),IF(G370=0,MAX(F$1:F370),MAX(F$1:F370)+1))</f>
        <v>13</v>
      </c>
      <c r="G371" s="14">
        <f>IF(('S-Table'!$B371-$C$2)*('S-Table'!$B371-$D$2)=0,IF(('S-Table'!$C371-$C$3)*('S-Table'!$C371-$D$3)=0,'S-Table'!A371,0),0)</f>
        <v>0</v>
      </c>
      <c r="H371" s="14">
        <f>IF(('S-Table'!$B371-$C$2)*('S-Table'!$B371-$D$2)=0,IF(('S-Table'!$C371-$C$3)*('S-Table'!$C371-$D$3)=0,'S-Table'!B371,0),0)</f>
        <v>0</v>
      </c>
      <c r="I371" s="14">
        <f>IF(('S-Table'!$B371-$C$2)*('S-Table'!$B371-$D$2)=0,IF(('S-Table'!$C371-$C$3)*('S-Table'!$C371-$D$3)=0,'S-Table'!C371,0),0)</f>
        <v>0</v>
      </c>
      <c r="J371" s="14">
        <f>IF(('S-Table'!$B371-$C$2)*('S-Table'!$B371-$D$2)=0,IF(('S-Table'!$C371-$C$3)*('S-Table'!$C371-$D$3)=0,'S-Table'!D371,0),0)</f>
        <v>0</v>
      </c>
      <c r="K371" s="14">
        <f>IF(('S-Table'!$B371-$C$2)*('S-Table'!$B371-$D$2)=0,IF(('S-Table'!$C371-$C$3)*('S-Table'!$C371-$D$3)=0,'S-Table'!E371,0),0)</f>
        <v>0</v>
      </c>
    </row>
    <row r="372" spans="6:11" x14ac:dyDescent="0.2">
      <c r="F372" s="14">
        <f>IF(G372=0,IF(G371=0,F371,F371+1),IF(G371=0,MAX(F$1:F371),MAX(F$1:F371)+1))</f>
        <v>13</v>
      </c>
      <c r="G372" s="14">
        <f>IF(('S-Table'!$B372-$C$2)*('S-Table'!$B372-$D$2)=0,IF(('S-Table'!$C372-$C$3)*('S-Table'!$C372-$D$3)=0,'S-Table'!A372,0),0)</f>
        <v>0</v>
      </c>
      <c r="H372" s="14">
        <f>IF(('S-Table'!$B372-$C$2)*('S-Table'!$B372-$D$2)=0,IF(('S-Table'!$C372-$C$3)*('S-Table'!$C372-$D$3)=0,'S-Table'!B372,0),0)</f>
        <v>0</v>
      </c>
      <c r="I372" s="14">
        <f>IF(('S-Table'!$B372-$C$2)*('S-Table'!$B372-$D$2)=0,IF(('S-Table'!$C372-$C$3)*('S-Table'!$C372-$D$3)=0,'S-Table'!C372,0),0)</f>
        <v>0</v>
      </c>
      <c r="J372" s="14">
        <f>IF(('S-Table'!$B372-$C$2)*('S-Table'!$B372-$D$2)=0,IF(('S-Table'!$C372-$C$3)*('S-Table'!$C372-$D$3)=0,'S-Table'!D372,0),0)</f>
        <v>0</v>
      </c>
      <c r="K372" s="14">
        <f>IF(('S-Table'!$B372-$C$2)*('S-Table'!$B372-$D$2)=0,IF(('S-Table'!$C372-$C$3)*('S-Table'!$C372-$D$3)=0,'S-Table'!E372,0),0)</f>
        <v>0</v>
      </c>
    </row>
    <row r="373" spans="6:11" x14ac:dyDescent="0.2">
      <c r="F373" s="14">
        <f>IF(G373=0,IF(G372=0,F372,F372+1),IF(G372=0,MAX(F$1:F372),MAX(F$1:F372)+1))</f>
        <v>13</v>
      </c>
      <c r="G373" s="14">
        <f>IF(('S-Table'!$B373-$C$2)*('S-Table'!$B373-$D$2)=0,IF(('S-Table'!$C373-$C$3)*('S-Table'!$C373-$D$3)=0,'S-Table'!A373,0),0)</f>
        <v>0</v>
      </c>
      <c r="H373" s="14">
        <f>IF(('S-Table'!$B373-$C$2)*('S-Table'!$B373-$D$2)=0,IF(('S-Table'!$C373-$C$3)*('S-Table'!$C373-$D$3)=0,'S-Table'!B373,0),0)</f>
        <v>0</v>
      </c>
      <c r="I373" s="14">
        <f>IF(('S-Table'!$B373-$C$2)*('S-Table'!$B373-$D$2)=0,IF(('S-Table'!$C373-$C$3)*('S-Table'!$C373-$D$3)=0,'S-Table'!C373,0),0)</f>
        <v>0</v>
      </c>
      <c r="J373" s="14">
        <f>IF(('S-Table'!$B373-$C$2)*('S-Table'!$B373-$D$2)=0,IF(('S-Table'!$C373-$C$3)*('S-Table'!$C373-$D$3)=0,'S-Table'!D373,0),0)</f>
        <v>0</v>
      </c>
      <c r="K373" s="14">
        <f>IF(('S-Table'!$B373-$C$2)*('S-Table'!$B373-$D$2)=0,IF(('S-Table'!$C373-$C$3)*('S-Table'!$C373-$D$3)=0,'S-Table'!E373,0),0)</f>
        <v>0</v>
      </c>
    </row>
    <row r="374" spans="6:11" x14ac:dyDescent="0.2">
      <c r="F374" s="14">
        <f>IF(G374=0,IF(G373=0,F373,F373+1),IF(G373=0,MAX(F$1:F373),MAX(F$1:F373)+1))</f>
        <v>13</v>
      </c>
      <c r="G374" s="14">
        <f>IF(('S-Table'!$B374-$C$2)*('S-Table'!$B374-$D$2)=0,IF(('S-Table'!$C374-$C$3)*('S-Table'!$C374-$D$3)=0,'S-Table'!A374,0),0)</f>
        <v>0</v>
      </c>
      <c r="H374" s="14">
        <f>IF(('S-Table'!$B374-$C$2)*('S-Table'!$B374-$D$2)=0,IF(('S-Table'!$C374-$C$3)*('S-Table'!$C374-$D$3)=0,'S-Table'!B374,0),0)</f>
        <v>0</v>
      </c>
      <c r="I374" s="14">
        <f>IF(('S-Table'!$B374-$C$2)*('S-Table'!$B374-$D$2)=0,IF(('S-Table'!$C374-$C$3)*('S-Table'!$C374-$D$3)=0,'S-Table'!C374,0),0)</f>
        <v>0</v>
      </c>
      <c r="J374" s="14">
        <f>IF(('S-Table'!$B374-$C$2)*('S-Table'!$B374-$D$2)=0,IF(('S-Table'!$C374-$C$3)*('S-Table'!$C374-$D$3)=0,'S-Table'!D374,0),0)</f>
        <v>0</v>
      </c>
      <c r="K374" s="14">
        <f>IF(('S-Table'!$B374-$C$2)*('S-Table'!$B374-$D$2)=0,IF(('S-Table'!$C374-$C$3)*('S-Table'!$C374-$D$3)=0,'S-Table'!E374,0),0)</f>
        <v>0</v>
      </c>
    </row>
    <row r="375" spans="6:11" x14ac:dyDescent="0.2">
      <c r="F375" s="14">
        <f>IF(G375=0,IF(G374=0,F374,F374+1),IF(G374=0,MAX(F$1:F374),MAX(F$1:F374)+1))</f>
        <v>13</v>
      </c>
      <c r="G375" s="14">
        <f>IF(('S-Table'!$B375-$C$2)*('S-Table'!$B375-$D$2)=0,IF(('S-Table'!$C375-$C$3)*('S-Table'!$C375-$D$3)=0,'S-Table'!A375,0),0)</f>
        <v>0</v>
      </c>
      <c r="H375" s="14">
        <f>IF(('S-Table'!$B375-$C$2)*('S-Table'!$B375-$D$2)=0,IF(('S-Table'!$C375-$C$3)*('S-Table'!$C375-$D$3)=0,'S-Table'!B375,0),0)</f>
        <v>0</v>
      </c>
      <c r="I375" s="14">
        <f>IF(('S-Table'!$B375-$C$2)*('S-Table'!$B375-$D$2)=0,IF(('S-Table'!$C375-$C$3)*('S-Table'!$C375-$D$3)=0,'S-Table'!C375,0),0)</f>
        <v>0</v>
      </c>
      <c r="J375" s="14">
        <f>IF(('S-Table'!$B375-$C$2)*('S-Table'!$B375-$D$2)=0,IF(('S-Table'!$C375-$C$3)*('S-Table'!$C375-$D$3)=0,'S-Table'!D375,0),0)</f>
        <v>0</v>
      </c>
      <c r="K375" s="14">
        <f>IF(('S-Table'!$B375-$C$2)*('S-Table'!$B375-$D$2)=0,IF(('S-Table'!$C375-$C$3)*('S-Table'!$C375-$D$3)=0,'S-Table'!E375,0),0)</f>
        <v>0</v>
      </c>
    </row>
    <row r="376" spans="6:11" x14ac:dyDescent="0.2">
      <c r="F376" s="14">
        <f>IF(G376=0,IF(G375=0,F375,F375+1),IF(G375=0,MAX(F$1:F375),MAX(F$1:F375)+1))</f>
        <v>13</v>
      </c>
      <c r="G376" s="14">
        <f>IF(('S-Table'!$B376-$C$2)*('S-Table'!$B376-$D$2)=0,IF(('S-Table'!$C376-$C$3)*('S-Table'!$C376-$D$3)=0,'S-Table'!A376,0),0)</f>
        <v>0</v>
      </c>
      <c r="H376" s="14">
        <f>IF(('S-Table'!$B376-$C$2)*('S-Table'!$B376-$D$2)=0,IF(('S-Table'!$C376-$C$3)*('S-Table'!$C376-$D$3)=0,'S-Table'!B376,0),0)</f>
        <v>0</v>
      </c>
      <c r="I376" s="14">
        <f>IF(('S-Table'!$B376-$C$2)*('S-Table'!$B376-$D$2)=0,IF(('S-Table'!$C376-$C$3)*('S-Table'!$C376-$D$3)=0,'S-Table'!C376,0),0)</f>
        <v>0</v>
      </c>
      <c r="J376" s="14">
        <f>IF(('S-Table'!$B376-$C$2)*('S-Table'!$B376-$D$2)=0,IF(('S-Table'!$C376-$C$3)*('S-Table'!$C376-$D$3)=0,'S-Table'!D376,0),0)</f>
        <v>0</v>
      </c>
      <c r="K376" s="14">
        <f>IF(('S-Table'!$B376-$C$2)*('S-Table'!$B376-$D$2)=0,IF(('S-Table'!$C376-$C$3)*('S-Table'!$C376-$D$3)=0,'S-Table'!E376,0),0)</f>
        <v>0</v>
      </c>
    </row>
    <row r="377" spans="6:11" x14ac:dyDescent="0.2">
      <c r="F377" s="14">
        <f>IF(G377=0,IF(G376=0,F376,F376+1),IF(G376=0,MAX(F$1:F376),MAX(F$1:F376)+1))</f>
        <v>13</v>
      </c>
      <c r="G377" s="14">
        <f>IF(('S-Table'!$B377-$C$2)*('S-Table'!$B377-$D$2)=0,IF(('S-Table'!$C377-$C$3)*('S-Table'!$C377-$D$3)=0,'S-Table'!A377,0),0)</f>
        <v>0</v>
      </c>
      <c r="H377" s="14">
        <f>IF(('S-Table'!$B377-$C$2)*('S-Table'!$B377-$D$2)=0,IF(('S-Table'!$C377-$C$3)*('S-Table'!$C377-$D$3)=0,'S-Table'!B377,0),0)</f>
        <v>0</v>
      </c>
      <c r="I377" s="14">
        <f>IF(('S-Table'!$B377-$C$2)*('S-Table'!$B377-$D$2)=0,IF(('S-Table'!$C377-$C$3)*('S-Table'!$C377-$D$3)=0,'S-Table'!C377,0),0)</f>
        <v>0</v>
      </c>
      <c r="J377" s="14">
        <f>IF(('S-Table'!$B377-$C$2)*('S-Table'!$B377-$D$2)=0,IF(('S-Table'!$C377-$C$3)*('S-Table'!$C377-$D$3)=0,'S-Table'!D377,0),0)</f>
        <v>0</v>
      </c>
      <c r="K377" s="14">
        <f>IF(('S-Table'!$B377-$C$2)*('S-Table'!$B377-$D$2)=0,IF(('S-Table'!$C377-$C$3)*('S-Table'!$C377-$D$3)=0,'S-Table'!E377,0),0)</f>
        <v>0</v>
      </c>
    </row>
    <row r="378" spans="6:11" x14ac:dyDescent="0.2">
      <c r="F378" s="14">
        <f>IF(G378=0,IF(G377=0,F377,F377+1),IF(G377=0,MAX(F$1:F377),MAX(F$1:F377)+1))</f>
        <v>13</v>
      </c>
      <c r="G378" s="14">
        <f>IF(('S-Table'!$B378-$C$2)*('S-Table'!$B378-$D$2)=0,IF(('S-Table'!$C378-$C$3)*('S-Table'!$C378-$D$3)=0,'S-Table'!A378,0),0)</f>
        <v>0</v>
      </c>
      <c r="H378" s="14">
        <f>IF(('S-Table'!$B378-$C$2)*('S-Table'!$B378-$D$2)=0,IF(('S-Table'!$C378-$C$3)*('S-Table'!$C378-$D$3)=0,'S-Table'!B378,0),0)</f>
        <v>0</v>
      </c>
      <c r="I378" s="14">
        <f>IF(('S-Table'!$B378-$C$2)*('S-Table'!$B378-$D$2)=0,IF(('S-Table'!$C378-$C$3)*('S-Table'!$C378-$D$3)=0,'S-Table'!C378,0),0)</f>
        <v>0</v>
      </c>
      <c r="J378" s="14">
        <f>IF(('S-Table'!$B378-$C$2)*('S-Table'!$B378-$D$2)=0,IF(('S-Table'!$C378-$C$3)*('S-Table'!$C378-$D$3)=0,'S-Table'!D378,0),0)</f>
        <v>0</v>
      </c>
      <c r="K378" s="14">
        <f>IF(('S-Table'!$B378-$C$2)*('S-Table'!$B378-$D$2)=0,IF(('S-Table'!$C378-$C$3)*('S-Table'!$C378-$D$3)=0,'S-Table'!E378,0),0)</f>
        <v>0</v>
      </c>
    </row>
    <row r="379" spans="6:11" x14ac:dyDescent="0.2">
      <c r="F379" s="14">
        <f>IF(G379=0,IF(G378=0,F378,F378+1),IF(G378=0,MAX(F$1:F378),MAX(F$1:F378)+1))</f>
        <v>13</v>
      </c>
      <c r="G379" s="14">
        <f>IF(('S-Table'!$B379-$C$2)*('S-Table'!$B379-$D$2)=0,IF(('S-Table'!$C379-$C$3)*('S-Table'!$C379-$D$3)=0,'S-Table'!A379,0),0)</f>
        <v>0</v>
      </c>
      <c r="H379" s="14">
        <f>IF(('S-Table'!$B379-$C$2)*('S-Table'!$B379-$D$2)=0,IF(('S-Table'!$C379-$C$3)*('S-Table'!$C379-$D$3)=0,'S-Table'!B379,0),0)</f>
        <v>0</v>
      </c>
      <c r="I379" s="14">
        <f>IF(('S-Table'!$B379-$C$2)*('S-Table'!$B379-$D$2)=0,IF(('S-Table'!$C379-$C$3)*('S-Table'!$C379-$D$3)=0,'S-Table'!C379,0),0)</f>
        <v>0</v>
      </c>
      <c r="J379" s="14">
        <f>IF(('S-Table'!$B379-$C$2)*('S-Table'!$B379-$D$2)=0,IF(('S-Table'!$C379-$C$3)*('S-Table'!$C379-$D$3)=0,'S-Table'!D379,0),0)</f>
        <v>0</v>
      </c>
      <c r="K379" s="14">
        <f>IF(('S-Table'!$B379-$C$2)*('S-Table'!$B379-$D$2)=0,IF(('S-Table'!$C379-$C$3)*('S-Table'!$C379-$D$3)=0,'S-Table'!E379,0),0)</f>
        <v>0</v>
      </c>
    </row>
    <row r="380" spans="6:11" x14ac:dyDescent="0.2">
      <c r="F380" s="14">
        <f>IF(G380=0,IF(G379=0,F379,F379+1),IF(G379=0,MAX(F$1:F379),MAX(F$1:F379)+1))</f>
        <v>13</v>
      </c>
      <c r="G380" s="14">
        <f>IF(('S-Table'!$B380-$C$2)*('S-Table'!$B380-$D$2)=0,IF(('S-Table'!$C380-$C$3)*('S-Table'!$C380-$D$3)=0,'S-Table'!A380,0),0)</f>
        <v>0</v>
      </c>
      <c r="H380" s="14">
        <f>IF(('S-Table'!$B380-$C$2)*('S-Table'!$B380-$D$2)=0,IF(('S-Table'!$C380-$C$3)*('S-Table'!$C380-$D$3)=0,'S-Table'!B380,0),0)</f>
        <v>0</v>
      </c>
      <c r="I380" s="14">
        <f>IF(('S-Table'!$B380-$C$2)*('S-Table'!$B380-$D$2)=0,IF(('S-Table'!$C380-$C$3)*('S-Table'!$C380-$D$3)=0,'S-Table'!C380,0),0)</f>
        <v>0</v>
      </c>
      <c r="J380" s="14">
        <f>IF(('S-Table'!$B380-$C$2)*('S-Table'!$B380-$D$2)=0,IF(('S-Table'!$C380-$C$3)*('S-Table'!$C380-$D$3)=0,'S-Table'!D380,0),0)</f>
        <v>0</v>
      </c>
      <c r="K380" s="14">
        <f>IF(('S-Table'!$B380-$C$2)*('S-Table'!$B380-$D$2)=0,IF(('S-Table'!$C380-$C$3)*('S-Table'!$C380-$D$3)=0,'S-Table'!E380,0),0)</f>
        <v>0</v>
      </c>
    </row>
    <row r="381" spans="6:11" x14ac:dyDescent="0.2">
      <c r="F381" s="14">
        <f>IF(G381=0,IF(G380=0,F380,F380+1),IF(G380=0,MAX(F$1:F380),MAX(F$1:F380)+1))</f>
        <v>13</v>
      </c>
      <c r="G381" s="14">
        <f>IF(('S-Table'!$B381-$C$2)*('S-Table'!$B381-$D$2)=0,IF(('S-Table'!$C381-$C$3)*('S-Table'!$C381-$D$3)=0,'S-Table'!A381,0),0)</f>
        <v>0</v>
      </c>
      <c r="H381" s="14">
        <f>IF(('S-Table'!$B381-$C$2)*('S-Table'!$B381-$D$2)=0,IF(('S-Table'!$C381-$C$3)*('S-Table'!$C381-$D$3)=0,'S-Table'!B381,0),0)</f>
        <v>0</v>
      </c>
      <c r="I381" s="14">
        <f>IF(('S-Table'!$B381-$C$2)*('S-Table'!$B381-$D$2)=0,IF(('S-Table'!$C381-$C$3)*('S-Table'!$C381-$D$3)=0,'S-Table'!C381,0),0)</f>
        <v>0</v>
      </c>
      <c r="J381" s="14">
        <f>IF(('S-Table'!$B381-$C$2)*('S-Table'!$B381-$D$2)=0,IF(('S-Table'!$C381-$C$3)*('S-Table'!$C381-$D$3)=0,'S-Table'!D381,0),0)</f>
        <v>0</v>
      </c>
      <c r="K381" s="14">
        <f>IF(('S-Table'!$B381-$C$2)*('S-Table'!$B381-$D$2)=0,IF(('S-Table'!$C381-$C$3)*('S-Table'!$C381-$D$3)=0,'S-Table'!E381,0),0)</f>
        <v>0</v>
      </c>
    </row>
    <row r="382" spans="6:11" x14ac:dyDescent="0.2">
      <c r="F382" s="14">
        <f>IF(G382=0,IF(G381=0,F381,F381+1),IF(G381=0,MAX(F$1:F381),MAX(F$1:F381)+1))</f>
        <v>13</v>
      </c>
      <c r="G382" s="14">
        <f>IF(('S-Table'!$B382-$C$2)*('S-Table'!$B382-$D$2)=0,IF(('S-Table'!$C382-$C$3)*('S-Table'!$C382-$D$3)=0,'S-Table'!A382,0),0)</f>
        <v>0</v>
      </c>
      <c r="H382" s="14">
        <f>IF(('S-Table'!$B382-$C$2)*('S-Table'!$B382-$D$2)=0,IF(('S-Table'!$C382-$C$3)*('S-Table'!$C382-$D$3)=0,'S-Table'!B382,0),0)</f>
        <v>0</v>
      </c>
      <c r="I382" s="14">
        <f>IF(('S-Table'!$B382-$C$2)*('S-Table'!$B382-$D$2)=0,IF(('S-Table'!$C382-$C$3)*('S-Table'!$C382-$D$3)=0,'S-Table'!C382,0),0)</f>
        <v>0</v>
      </c>
      <c r="J382" s="14">
        <f>IF(('S-Table'!$B382-$C$2)*('S-Table'!$B382-$D$2)=0,IF(('S-Table'!$C382-$C$3)*('S-Table'!$C382-$D$3)=0,'S-Table'!D382,0),0)</f>
        <v>0</v>
      </c>
      <c r="K382" s="14">
        <f>IF(('S-Table'!$B382-$C$2)*('S-Table'!$B382-$D$2)=0,IF(('S-Table'!$C382-$C$3)*('S-Table'!$C382-$D$3)=0,'S-Table'!E382,0),0)</f>
        <v>0</v>
      </c>
    </row>
    <row r="383" spans="6:11" x14ac:dyDescent="0.2">
      <c r="F383" s="14">
        <f>IF(G383=0,IF(G382=0,F382,F382+1),IF(G382=0,MAX(F$1:F382),MAX(F$1:F382)+1))</f>
        <v>13</v>
      </c>
      <c r="G383" s="14">
        <f>IF(('S-Table'!$B383-$C$2)*('S-Table'!$B383-$D$2)=0,IF(('S-Table'!$C383-$C$3)*('S-Table'!$C383-$D$3)=0,'S-Table'!A383,0),0)</f>
        <v>0</v>
      </c>
      <c r="H383" s="14">
        <f>IF(('S-Table'!$B383-$C$2)*('S-Table'!$B383-$D$2)=0,IF(('S-Table'!$C383-$C$3)*('S-Table'!$C383-$D$3)=0,'S-Table'!B383,0),0)</f>
        <v>0</v>
      </c>
      <c r="I383" s="14">
        <f>IF(('S-Table'!$B383-$C$2)*('S-Table'!$B383-$D$2)=0,IF(('S-Table'!$C383-$C$3)*('S-Table'!$C383-$D$3)=0,'S-Table'!C383,0),0)</f>
        <v>0</v>
      </c>
      <c r="J383" s="14">
        <f>IF(('S-Table'!$B383-$C$2)*('S-Table'!$B383-$D$2)=0,IF(('S-Table'!$C383-$C$3)*('S-Table'!$C383-$D$3)=0,'S-Table'!D383,0),0)</f>
        <v>0</v>
      </c>
      <c r="K383" s="14">
        <f>IF(('S-Table'!$B383-$C$2)*('S-Table'!$B383-$D$2)=0,IF(('S-Table'!$C383-$C$3)*('S-Table'!$C383-$D$3)=0,'S-Table'!E383,0),0)</f>
        <v>0</v>
      </c>
    </row>
    <row r="384" spans="6:11" x14ac:dyDescent="0.2">
      <c r="F384" s="14">
        <f>IF(G384=0,IF(G383=0,F383,F383+1),IF(G383=0,MAX(F$1:F383),MAX(F$1:F383)+1))</f>
        <v>13</v>
      </c>
      <c r="G384" s="14">
        <f>IF(('S-Table'!$B384-$C$2)*('S-Table'!$B384-$D$2)=0,IF(('S-Table'!$C384-$C$3)*('S-Table'!$C384-$D$3)=0,'S-Table'!A384,0),0)</f>
        <v>0</v>
      </c>
      <c r="H384" s="14">
        <f>IF(('S-Table'!$B384-$C$2)*('S-Table'!$B384-$D$2)=0,IF(('S-Table'!$C384-$C$3)*('S-Table'!$C384-$D$3)=0,'S-Table'!B384,0),0)</f>
        <v>0</v>
      </c>
      <c r="I384" s="14">
        <f>IF(('S-Table'!$B384-$C$2)*('S-Table'!$B384-$D$2)=0,IF(('S-Table'!$C384-$C$3)*('S-Table'!$C384-$D$3)=0,'S-Table'!C384,0),0)</f>
        <v>0</v>
      </c>
      <c r="J384" s="14">
        <f>IF(('S-Table'!$B384-$C$2)*('S-Table'!$B384-$D$2)=0,IF(('S-Table'!$C384-$C$3)*('S-Table'!$C384-$D$3)=0,'S-Table'!D384,0),0)</f>
        <v>0</v>
      </c>
      <c r="K384" s="14">
        <f>IF(('S-Table'!$B384-$C$2)*('S-Table'!$B384-$D$2)=0,IF(('S-Table'!$C384-$C$3)*('S-Table'!$C384-$D$3)=0,'S-Table'!E384,0),0)</f>
        <v>0</v>
      </c>
    </row>
    <row r="385" spans="6:11" x14ac:dyDescent="0.2">
      <c r="F385" s="14">
        <f>IF(G385=0,IF(G384=0,F384,F384+1),IF(G384=0,MAX(F$1:F384),MAX(F$1:F384)+1))</f>
        <v>13</v>
      </c>
      <c r="G385" s="14">
        <f>IF(('S-Table'!$B385-$C$2)*('S-Table'!$B385-$D$2)=0,IF(('S-Table'!$C385-$C$3)*('S-Table'!$C385-$D$3)=0,'S-Table'!A385,0),0)</f>
        <v>0</v>
      </c>
      <c r="H385" s="14">
        <f>IF(('S-Table'!$B385-$C$2)*('S-Table'!$B385-$D$2)=0,IF(('S-Table'!$C385-$C$3)*('S-Table'!$C385-$D$3)=0,'S-Table'!B385,0),0)</f>
        <v>0</v>
      </c>
      <c r="I385" s="14">
        <f>IF(('S-Table'!$B385-$C$2)*('S-Table'!$B385-$D$2)=0,IF(('S-Table'!$C385-$C$3)*('S-Table'!$C385-$D$3)=0,'S-Table'!C385,0),0)</f>
        <v>0</v>
      </c>
      <c r="J385" s="14">
        <f>IF(('S-Table'!$B385-$C$2)*('S-Table'!$B385-$D$2)=0,IF(('S-Table'!$C385-$C$3)*('S-Table'!$C385-$D$3)=0,'S-Table'!D385,0),0)</f>
        <v>0</v>
      </c>
      <c r="K385" s="14">
        <f>IF(('S-Table'!$B385-$C$2)*('S-Table'!$B385-$D$2)=0,IF(('S-Table'!$C385-$C$3)*('S-Table'!$C385-$D$3)=0,'S-Table'!E385,0),0)</f>
        <v>0</v>
      </c>
    </row>
    <row r="386" spans="6:11" x14ac:dyDescent="0.2">
      <c r="F386" s="14">
        <f>IF(G386=0,IF(G385=0,F385,F385+1),IF(G385=0,MAX(F$1:F385),MAX(F$1:F385)+1))</f>
        <v>13</v>
      </c>
      <c r="G386" s="14">
        <f>IF(('S-Table'!$B386-$C$2)*('S-Table'!$B386-$D$2)=0,IF(('S-Table'!$C386-$C$3)*('S-Table'!$C386-$D$3)=0,'S-Table'!A386,0),0)</f>
        <v>0</v>
      </c>
      <c r="H386" s="14">
        <f>IF(('S-Table'!$B386-$C$2)*('S-Table'!$B386-$D$2)=0,IF(('S-Table'!$C386-$C$3)*('S-Table'!$C386-$D$3)=0,'S-Table'!B386,0),0)</f>
        <v>0</v>
      </c>
      <c r="I386" s="14">
        <f>IF(('S-Table'!$B386-$C$2)*('S-Table'!$B386-$D$2)=0,IF(('S-Table'!$C386-$C$3)*('S-Table'!$C386-$D$3)=0,'S-Table'!C386,0),0)</f>
        <v>0</v>
      </c>
      <c r="J386" s="14">
        <f>IF(('S-Table'!$B386-$C$2)*('S-Table'!$B386-$D$2)=0,IF(('S-Table'!$C386-$C$3)*('S-Table'!$C386-$D$3)=0,'S-Table'!D386,0),0)</f>
        <v>0</v>
      </c>
      <c r="K386" s="14">
        <f>IF(('S-Table'!$B386-$C$2)*('S-Table'!$B386-$D$2)=0,IF(('S-Table'!$C386-$C$3)*('S-Table'!$C386-$D$3)=0,'S-Table'!E386,0),0)</f>
        <v>0</v>
      </c>
    </row>
    <row r="387" spans="6:11" x14ac:dyDescent="0.2">
      <c r="F387" s="14">
        <f>IF(G387=0,IF(G386=0,F386,F386+1),IF(G386=0,MAX(F$1:F386),MAX(F$1:F386)+1))</f>
        <v>13</v>
      </c>
      <c r="G387" s="14">
        <f>IF(('S-Table'!$B387-$C$2)*('S-Table'!$B387-$D$2)=0,IF(('S-Table'!$C387-$C$3)*('S-Table'!$C387-$D$3)=0,'S-Table'!A387,0),0)</f>
        <v>0</v>
      </c>
      <c r="H387" s="14">
        <f>IF(('S-Table'!$B387-$C$2)*('S-Table'!$B387-$D$2)=0,IF(('S-Table'!$C387-$C$3)*('S-Table'!$C387-$D$3)=0,'S-Table'!B387,0),0)</f>
        <v>0</v>
      </c>
      <c r="I387" s="14">
        <f>IF(('S-Table'!$B387-$C$2)*('S-Table'!$B387-$D$2)=0,IF(('S-Table'!$C387-$C$3)*('S-Table'!$C387-$D$3)=0,'S-Table'!C387,0),0)</f>
        <v>0</v>
      </c>
      <c r="J387" s="14">
        <f>IF(('S-Table'!$B387-$C$2)*('S-Table'!$B387-$D$2)=0,IF(('S-Table'!$C387-$C$3)*('S-Table'!$C387-$D$3)=0,'S-Table'!D387,0),0)</f>
        <v>0</v>
      </c>
      <c r="K387" s="14">
        <f>IF(('S-Table'!$B387-$C$2)*('S-Table'!$B387-$D$2)=0,IF(('S-Table'!$C387-$C$3)*('S-Table'!$C387-$D$3)=0,'S-Table'!E387,0),0)</f>
        <v>0</v>
      </c>
    </row>
    <row r="388" spans="6:11" x14ac:dyDescent="0.2">
      <c r="F388" s="14">
        <f>IF(G388=0,IF(G387=0,F387,F387+1),IF(G387=0,MAX(F$1:F387),MAX(F$1:F387)+1))</f>
        <v>13</v>
      </c>
      <c r="G388" s="14">
        <f>IF(('S-Table'!$B388-$C$2)*('S-Table'!$B388-$D$2)=0,IF(('S-Table'!$C388-$C$3)*('S-Table'!$C388-$D$3)=0,'S-Table'!A388,0),0)</f>
        <v>0</v>
      </c>
      <c r="H388" s="14">
        <f>IF(('S-Table'!$B388-$C$2)*('S-Table'!$B388-$D$2)=0,IF(('S-Table'!$C388-$C$3)*('S-Table'!$C388-$D$3)=0,'S-Table'!B388,0),0)</f>
        <v>0</v>
      </c>
      <c r="I388" s="14">
        <f>IF(('S-Table'!$B388-$C$2)*('S-Table'!$B388-$D$2)=0,IF(('S-Table'!$C388-$C$3)*('S-Table'!$C388-$D$3)=0,'S-Table'!C388,0),0)</f>
        <v>0</v>
      </c>
      <c r="J388" s="14">
        <f>IF(('S-Table'!$B388-$C$2)*('S-Table'!$B388-$D$2)=0,IF(('S-Table'!$C388-$C$3)*('S-Table'!$C388-$D$3)=0,'S-Table'!D388,0),0)</f>
        <v>0</v>
      </c>
      <c r="K388" s="14">
        <f>IF(('S-Table'!$B388-$C$2)*('S-Table'!$B388-$D$2)=0,IF(('S-Table'!$C388-$C$3)*('S-Table'!$C388-$D$3)=0,'S-Table'!E388,0),0)</f>
        <v>0</v>
      </c>
    </row>
    <row r="389" spans="6:11" x14ac:dyDescent="0.2">
      <c r="F389" s="14">
        <f>IF(G389=0,IF(G388=0,F388,F388+1),IF(G388=0,MAX(F$1:F388),MAX(F$1:F388)+1))</f>
        <v>13</v>
      </c>
      <c r="G389" s="14">
        <f>IF(('S-Table'!$B389-$C$2)*('S-Table'!$B389-$D$2)=0,IF(('S-Table'!$C389-$C$3)*('S-Table'!$C389-$D$3)=0,'S-Table'!A389,0),0)</f>
        <v>0</v>
      </c>
      <c r="H389" s="14">
        <f>IF(('S-Table'!$B389-$C$2)*('S-Table'!$B389-$D$2)=0,IF(('S-Table'!$C389-$C$3)*('S-Table'!$C389-$D$3)=0,'S-Table'!B389,0),0)</f>
        <v>0</v>
      </c>
      <c r="I389" s="14">
        <f>IF(('S-Table'!$B389-$C$2)*('S-Table'!$B389-$D$2)=0,IF(('S-Table'!$C389-$C$3)*('S-Table'!$C389-$D$3)=0,'S-Table'!C389,0),0)</f>
        <v>0</v>
      </c>
      <c r="J389" s="14">
        <f>IF(('S-Table'!$B389-$C$2)*('S-Table'!$B389-$D$2)=0,IF(('S-Table'!$C389-$C$3)*('S-Table'!$C389-$D$3)=0,'S-Table'!D389,0),0)</f>
        <v>0</v>
      </c>
      <c r="K389" s="14">
        <f>IF(('S-Table'!$B389-$C$2)*('S-Table'!$B389-$D$2)=0,IF(('S-Table'!$C389-$C$3)*('S-Table'!$C389-$D$3)=0,'S-Table'!E389,0),0)</f>
        <v>0</v>
      </c>
    </row>
    <row r="390" spans="6:11" x14ac:dyDescent="0.2">
      <c r="F390" s="14">
        <f>IF(G390=0,IF(G389=0,F389,F389+1),IF(G389=0,MAX(F$1:F389),MAX(F$1:F389)+1))</f>
        <v>13</v>
      </c>
      <c r="G390" s="14">
        <f>IF(('S-Table'!$B390-$C$2)*('S-Table'!$B390-$D$2)=0,IF(('S-Table'!$C390-$C$3)*('S-Table'!$C390-$D$3)=0,'S-Table'!A390,0),0)</f>
        <v>0</v>
      </c>
      <c r="H390" s="14">
        <f>IF(('S-Table'!$B390-$C$2)*('S-Table'!$B390-$D$2)=0,IF(('S-Table'!$C390-$C$3)*('S-Table'!$C390-$D$3)=0,'S-Table'!B390,0),0)</f>
        <v>0</v>
      </c>
      <c r="I390" s="14">
        <f>IF(('S-Table'!$B390-$C$2)*('S-Table'!$B390-$D$2)=0,IF(('S-Table'!$C390-$C$3)*('S-Table'!$C390-$D$3)=0,'S-Table'!C390,0),0)</f>
        <v>0</v>
      </c>
      <c r="J390" s="14">
        <f>IF(('S-Table'!$B390-$C$2)*('S-Table'!$B390-$D$2)=0,IF(('S-Table'!$C390-$C$3)*('S-Table'!$C390-$D$3)=0,'S-Table'!D390,0),0)</f>
        <v>0</v>
      </c>
      <c r="K390" s="14">
        <f>IF(('S-Table'!$B390-$C$2)*('S-Table'!$B390-$D$2)=0,IF(('S-Table'!$C390-$C$3)*('S-Table'!$C390-$D$3)=0,'S-Table'!E390,0),0)</f>
        <v>0</v>
      </c>
    </row>
    <row r="391" spans="6:11" x14ac:dyDescent="0.2">
      <c r="F391" s="14">
        <f>IF(G391=0,IF(G390=0,F390,F390+1),IF(G390=0,MAX(F$1:F390),MAX(F$1:F390)+1))</f>
        <v>13</v>
      </c>
      <c r="G391" s="14">
        <f>IF(('S-Table'!$B391-$C$2)*('S-Table'!$B391-$D$2)=0,IF(('S-Table'!$C391-$C$3)*('S-Table'!$C391-$D$3)=0,'S-Table'!A391,0),0)</f>
        <v>0</v>
      </c>
      <c r="H391" s="14">
        <f>IF(('S-Table'!$B391-$C$2)*('S-Table'!$B391-$D$2)=0,IF(('S-Table'!$C391-$C$3)*('S-Table'!$C391-$D$3)=0,'S-Table'!B391,0),0)</f>
        <v>0</v>
      </c>
      <c r="I391" s="14">
        <f>IF(('S-Table'!$B391-$C$2)*('S-Table'!$B391-$D$2)=0,IF(('S-Table'!$C391-$C$3)*('S-Table'!$C391-$D$3)=0,'S-Table'!C391,0),0)</f>
        <v>0</v>
      </c>
      <c r="J391" s="14">
        <f>IF(('S-Table'!$B391-$C$2)*('S-Table'!$B391-$D$2)=0,IF(('S-Table'!$C391-$C$3)*('S-Table'!$C391-$D$3)=0,'S-Table'!D391,0),0)</f>
        <v>0</v>
      </c>
      <c r="K391" s="14">
        <f>IF(('S-Table'!$B391-$C$2)*('S-Table'!$B391-$D$2)=0,IF(('S-Table'!$C391-$C$3)*('S-Table'!$C391-$D$3)=0,'S-Table'!E391,0),0)</f>
        <v>0</v>
      </c>
    </row>
    <row r="392" spans="6:11" x14ac:dyDescent="0.2">
      <c r="F392" s="14">
        <f>IF(G392=0,IF(G391=0,F391,F391+1),IF(G391=0,MAX(F$1:F391),MAX(F$1:F391)+1))</f>
        <v>13</v>
      </c>
      <c r="G392" s="14">
        <f>IF(('S-Table'!$B392-$C$2)*('S-Table'!$B392-$D$2)=0,IF(('S-Table'!$C392-$C$3)*('S-Table'!$C392-$D$3)=0,'S-Table'!A392,0),0)</f>
        <v>0</v>
      </c>
      <c r="H392" s="14">
        <f>IF(('S-Table'!$B392-$C$2)*('S-Table'!$B392-$D$2)=0,IF(('S-Table'!$C392-$C$3)*('S-Table'!$C392-$D$3)=0,'S-Table'!B392,0),0)</f>
        <v>0</v>
      </c>
      <c r="I392" s="14">
        <f>IF(('S-Table'!$B392-$C$2)*('S-Table'!$B392-$D$2)=0,IF(('S-Table'!$C392-$C$3)*('S-Table'!$C392-$D$3)=0,'S-Table'!C392,0),0)</f>
        <v>0</v>
      </c>
      <c r="J392" s="14">
        <f>IF(('S-Table'!$B392-$C$2)*('S-Table'!$B392-$D$2)=0,IF(('S-Table'!$C392-$C$3)*('S-Table'!$C392-$D$3)=0,'S-Table'!D392,0),0)</f>
        <v>0</v>
      </c>
      <c r="K392" s="14">
        <f>IF(('S-Table'!$B392-$C$2)*('S-Table'!$B392-$D$2)=0,IF(('S-Table'!$C392-$C$3)*('S-Table'!$C392-$D$3)=0,'S-Table'!E392,0),0)</f>
        <v>0</v>
      </c>
    </row>
    <row r="393" spans="6:11" x14ac:dyDescent="0.2">
      <c r="F393" s="14">
        <f>IF(G393=0,IF(G392=0,F392,F392+1),IF(G392=0,MAX(F$1:F392),MAX(F$1:F392)+1))</f>
        <v>13</v>
      </c>
      <c r="G393" s="14">
        <f>IF(('S-Table'!$B393-$C$2)*('S-Table'!$B393-$D$2)=0,IF(('S-Table'!$C393-$C$3)*('S-Table'!$C393-$D$3)=0,'S-Table'!A393,0),0)</f>
        <v>0</v>
      </c>
      <c r="H393" s="14">
        <f>IF(('S-Table'!$B393-$C$2)*('S-Table'!$B393-$D$2)=0,IF(('S-Table'!$C393-$C$3)*('S-Table'!$C393-$D$3)=0,'S-Table'!B393,0),0)</f>
        <v>0</v>
      </c>
      <c r="I393" s="14">
        <f>IF(('S-Table'!$B393-$C$2)*('S-Table'!$B393-$D$2)=0,IF(('S-Table'!$C393-$C$3)*('S-Table'!$C393-$D$3)=0,'S-Table'!C393,0),0)</f>
        <v>0</v>
      </c>
      <c r="J393" s="14">
        <f>IF(('S-Table'!$B393-$C$2)*('S-Table'!$B393-$D$2)=0,IF(('S-Table'!$C393-$C$3)*('S-Table'!$C393-$D$3)=0,'S-Table'!D393,0),0)</f>
        <v>0</v>
      </c>
      <c r="K393" s="14">
        <f>IF(('S-Table'!$B393-$C$2)*('S-Table'!$B393-$D$2)=0,IF(('S-Table'!$C393-$C$3)*('S-Table'!$C393-$D$3)=0,'S-Table'!E393,0),0)</f>
        <v>0</v>
      </c>
    </row>
    <row r="394" spans="6:11" x14ac:dyDescent="0.2">
      <c r="F394" s="14">
        <f>IF(G394=0,IF(G393=0,F393,F393+1),IF(G393=0,MAX(F$1:F393),MAX(F$1:F393)+1))</f>
        <v>13</v>
      </c>
      <c r="G394" s="14">
        <f>IF(('S-Table'!$B394-$C$2)*('S-Table'!$B394-$D$2)=0,IF(('S-Table'!$C394-$C$3)*('S-Table'!$C394-$D$3)=0,'S-Table'!A394,0),0)</f>
        <v>0</v>
      </c>
      <c r="H394" s="14">
        <f>IF(('S-Table'!$B394-$C$2)*('S-Table'!$B394-$D$2)=0,IF(('S-Table'!$C394-$C$3)*('S-Table'!$C394-$D$3)=0,'S-Table'!B394,0),0)</f>
        <v>0</v>
      </c>
      <c r="I394" s="14">
        <f>IF(('S-Table'!$B394-$C$2)*('S-Table'!$B394-$D$2)=0,IF(('S-Table'!$C394-$C$3)*('S-Table'!$C394-$D$3)=0,'S-Table'!C394,0),0)</f>
        <v>0</v>
      </c>
      <c r="J394" s="14">
        <f>IF(('S-Table'!$B394-$C$2)*('S-Table'!$B394-$D$2)=0,IF(('S-Table'!$C394-$C$3)*('S-Table'!$C394-$D$3)=0,'S-Table'!D394,0),0)</f>
        <v>0</v>
      </c>
      <c r="K394" s="14">
        <f>IF(('S-Table'!$B394-$C$2)*('S-Table'!$B394-$D$2)=0,IF(('S-Table'!$C394-$C$3)*('S-Table'!$C394-$D$3)=0,'S-Table'!E394,0),0)</f>
        <v>0</v>
      </c>
    </row>
    <row r="395" spans="6:11" x14ac:dyDescent="0.2">
      <c r="F395" s="14">
        <f>IF(G395=0,IF(G394=0,F394,F394+1),IF(G394=0,MAX(F$1:F394),MAX(F$1:F394)+1))</f>
        <v>13</v>
      </c>
      <c r="G395" s="14">
        <f>IF(('S-Table'!$B395-$C$2)*('S-Table'!$B395-$D$2)=0,IF(('S-Table'!$C395-$C$3)*('S-Table'!$C395-$D$3)=0,'S-Table'!A395,0),0)</f>
        <v>0</v>
      </c>
      <c r="H395" s="14">
        <f>IF(('S-Table'!$B395-$C$2)*('S-Table'!$B395-$D$2)=0,IF(('S-Table'!$C395-$C$3)*('S-Table'!$C395-$D$3)=0,'S-Table'!B395,0),0)</f>
        <v>0</v>
      </c>
      <c r="I395" s="14">
        <f>IF(('S-Table'!$B395-$C$2)*('S-Table'!$B395-$D$2)=0,IF(('S-Table'!$C395-$C$3)*('S-Table'!$C395-$D$3)=0,'S-Table'!C395,0),0)</f>
        <v>0</v>
      </c>
      <c r="J395" s="14">
        <f>IF(('S-Table'!$B395-$C$2)*('S-Table'!$B395-$D$2)=0,IF(('S-Table'!$C395-$C$3)*('S-Table'!$C395-$D$3)=0,'S-Table'!D395,0),0)</f>
        <v>0</v>
      </c>
      <c r="K395" s="14">
        <f>IF(('S-Table'!$B395-$C$2)*('S-Table'!$B395-$D$2)=0,IF(('S-Table'!$C395-$C$3)*('S-Table'!$C395-$D$3)=0,'S-Table'!E395,0),0)</f>
        <v>0</v>
      </c>
    </row>
    <row r="396" spans="6:11" x14ac:dyDescent="0.2">
      <c r="F396" s="14">
        <f>IF(G396=0,IF(G395=0,F395,F395+1),IF(G395=0,MAX(F$1:F395),MAX(F$1:F395)+1))</f>
        <v>13</v>
      </c>
      <c r="G396" s="14">
        <f>IF(('S-Table'!$B396-$C$2)*('S-Table'!$B396-$D$2)=0,IF(('S-Table'!$C396-$C$3)*('S-Table'!$C396-$D$3)=0,'S-Table'!A396,0),0)</f>
        <v>0</v>
      </c>
      <c r="H396" s="14">
        <f>IF(('S-Table'!$B396-$C$2)*('S-Table'!$B396-$D$2)=0,IF(('S-Table'!$C396-$C$3)*('S-Table'!$C396-$D$3)=0,'S-Table'!B396,0),0)</f>
        <v>0</v>
      </c>
      <c r="I396" s="14">
        <f>IF(('S-Table'!$B396-$C$2)*('S-Table'!$B396-$D$2)=0,IF(('S-Table'!$C396-$C$3)*('S-Table'!$C396-$D$3)=0,'S-Table'!C396,0),0)</f>
        <v>0</v>
      </c>
      <c r="J396" s="14">
        <f>IF(('S-Table'!$B396-$C$2)*('S-Table'!$B396-$D$2)=0,IF(('S-Table'!$C396-$C$3)*('S-Table'!$C396-$D$3)=0,'S-Table'!D396,0),0)</f>
        <v>0</v>
      </c>
      <c r="K396" s="14">
        <f>IF(('S-Table'!$B396-$C$2)*('S-Table'!$B396-$D$2)=0,IF(('S-Table'!$C396-$C$3)*('S-Table'!$C396-$D$3)=0,'S-Table'!E396,0),0)</f>
        <v>0</v>
      </c>
    </row>
    <row r="397" spans="6:11" x14ac:dyDescent="0.2">
      <c r="F397" s="14">
        <f>IF(G397=0,IF(G396=0,F396,F396+1),IF(G396=0,MAX(F$1:F396),MAX(F$1:F396)+1))</f>
        <v>13</v>
      </c>
      <c r="G397" s="14">
        <f>IF(('S-Table'!$B397-$C$2)*('S-Table'!$B397-$D$2)=0,IF(('S-Table'!$C397-$C$3)*('S-Table'!$C397-$D$3)=0,'S-Table'!A397,0),0)</f>
        <v>0</v>
      </c>
      <c r="H397" s="14">
        <f>IF(('S-Table'!$B397-$C$2)*('S-Table'!$B397-$D$2)=0,IF(('S-Table'!$C397-$C$3)*('S-Table'!$C397-$D$3)=0,'S-Table'!B397,0),0)</f>
        <v>0</v>
      </c>
      <c r="I397" s="14">
        <f>IF(('S-Table'!$B397-$C$2)*('S-Table'!$B397-$D$2)=0,IF(('S-Table'!$C397-$C$3)*('S-Table'!$C397-$D$3)=0,'S-Table'!C397,0),0)</f>
        <v>0</v>
      </c>
      <c r="J397" s="14">
        <f>IF(('S-Table'!$B397-$C$2)*('S-Table'!$B397-$D$2)=0,IF(('S-Table'!$C397-$C$3)*('S-Table'!$C397-$D$3)=0,'S-Table'!D397,0),0)</f>
        <v>0</v>
      </c>
      <c r="K397" s="14">
        <f>IF(('S-Table'!$B397-$C$2)*('S-Table'!$B397-$D$2)=0,IF(('S-Table'!$C397-$C$3)*('S-Table'!$C397-$D$3)=0,'S-Table'!E397,0),0)</f>
        <v>0</v>
      </c>
    </row>
    <row r="398" spans="6:11" x14ac:dyDescent="0.2">
      <c r="F398" s="14">
        <f>IF(G398=0,IF(G397=0,F397,F397+1),IF(G397=0,MAX(F$1:F397),MAX(F$1:F397)+1))</f>
        <v>13</v>
      </c>
      <c r="G398" s="14">
        <f>IF(('S-Table'!$B398-$C$2)*('S-Table'!$B398-$D$2)=0,IF(('S-Table'!$C398-$C$3)*('S-Table'!$C398-$D$3)=0,'S-Table'!A398,0),0)</f>
        <v>0</v>
      </c>
      <c r="H398" s="14">
        <f>IF(('S-Table'!$B398-$C$2)*('S-Table'!$B398-$D$2)=0,IF(('S-Table'!$C398-$C$3)*('S-Table'!$C398-$D$3)=0,'S-Table'!B398,0),0)</f>
        <v>0</v>
      </c>
      <c r="I398" s="14">
        <f>IF(('S-Table'!$B398-$C$2)*('S-Table'!$B398-$D$2)=0,IF(('S-Table'!$C398-$C$3)*('S-Table'!$C398-$D$3)=0,'S-Table'!C398,0),0)</f>
        <v>0</v>
      </c>
      <c r="J398" s="14">
        <f>IF(('S-Table'!$B398-$C$2)*('S-Table'!$B398-$D$2)=0,IF(('S-Table'!$C398-$C$3)*('S-Table'!$C398-$D$3)=0,'S-Table'!D398,0),0)</f>
        <v>0</v>
      </c>
      <c r="K398" s="14">
        <f>IF(('S-Table'!$B398-$C$2)*('S-Table'!$B398-$D$2)=0,IF(('S-Table'!$C398-$C$3)*('S-Table'!$C398-$D$3)=0,'S-Table'!E398,0),0)</f>
        <v>0</v>
      </c>
    </row>
    <row r="399" spans="6:11" x14ac:dyDescent="0.2">
      <c r="F399" s="14">
        <f>IF(G399=0,IF(G398=0,F398,F398+1),IF(G398=0,MAX(F$1:F398),MAX(F$1:F398)+1))</f>
        <v>13</v>
      </c>
      <c r="G399" s="14">
        <f>IF(('S-Table'!$B399-$C$2)*('S-Table'!$B399-$D$2)=0,IF(('S-Table'!$C399-$C$3)*('S-Table'!$C399-$D$3)=0,'S-Table'!A399,0),0)</f>
        <v>0</v>
      </c>
      <c r="H399" s="14">
        <f>IF(('S-Table'!$B399-$C$2)*('S-Table'!$B399-$D$2)=0,IF(('S-Table'!$C399-$C$3)*('S-Table'!$C399-$D$3)=0,'S-Table'!B399,0),0)</f>
        <v>0</v>
      </c>
      <c r="I399" s="14">
        <f>IF(('S-Table'!$B399-$C$2)*('S-Table'!$B399-$D$2)=0,IF(('S-Table'!$C399-$C$3)*('S-Table'!$C399-$D$3)=0,'S-Table'!C399,0),0)</f>
        <v>0</v>
      </c>
      <c r="J399" s="14">
        <f>IF(('S-Table'!$B399-$C$2)*('S-Table'!$B399-$D$2)=0,IF(('S-Table'!$C399-$C$3)*('S-Table'!$C399-$D$3)=0,'S-Table'!D399,0),0)</f>
        <v>0</v>
      </c>
      <c r="K399" s="14">
        <f>IF(('S-Table'!$B399-$C$2)*('S-Table'!$B399-$D$2)=0,IF(('S-Table'!$C399-$C$3)*('S-Table'!$C399-$D$3)=0,'S-Table'!E399,0),0)</f>
        <v>0</v>
      </c>
    </row>
    <row r="400" spans="6:11" x14ac:dyDescent="0.2">
      <c r="F400" s="14">
        <f>IF(G400=0,IF(G399=0,F399,F399+1),IF(G399=0,MAX(F$1:F399),MAX(F$1:F399)+1))</f>
        <v>13</v>
      </c>
      <c r="G400" s="14">
        <f>IF(('S-Table'!$B400-$C$2)*('S-Table'!$B400-$D$2)=0,IF(('S-Table'!$C400-$C$3)*('S-Table'!$C400-$D$3)=0,'S-Table'!A400,0),0)</f>
        <v>0</v>
      </c>
      <c r="H400" s="14">
        <f>IF(('S-Table'!$B400-$C$2)*('S-Table'!$B400-$D$2)=0,IF(('S-Table'!$C400-$C$3)*('S-Table'!$C400-$D$3)=0,'S-Table'!B400,0),0)</f>
        <v>0</v>
      </c>
      <c r="I400" s="14">
        <f>IF(('S-Table'!$B400-$C$2)*('S-Table'!$B400-$D$2)=0,IF(('S-Table'!$C400-$C$3)*('S-Table'!$C400-$D$3)=0,'S-Table'!C400,0),0)</f>
        <v>0</v>
      </c>
      <c r="J400" s="14">
        <f>IF(('S-Table'!$B400-$C$2)*('S-Table'!$B400-$D$2)=0,IF(('S-Table'!$C400-$C$3)*('S-Table'!$C400-$D$3)=0,'S-Table'!D400,0),0)</f>
        <v>0</v>
      </c>
      <c r="K400" s="14">
        <f>IF(('S-Table'!$B400-$C$2)*('S-Table'!$B400-$D$2)=0,IF(('S-Table'!$C400-$C$3)*('S-Table'!$C400-$D$3)=0,'S-Table'!E400,0),0)</f>
        <v>0</v>
      </c>
    </row>
    <row r="401" spans="6:11" x14ac:dyDescent="0.2">
      <c r="F401" s="14">
        <f>IF(G401=0,IF(G400=0,F400,F400+1),IF(G400=0,MAX(F$1:F400),MAX(F$1:F400)+1))</f>
        <v>13</v>
      </c>
      <c r="G401" s="14">
        <f>IF(('S-Table'!$B401-$C$2)*('S-Table'!$B401-$D$2)=0,IF(('S-Table'!$C401-$C$3)*('S-Table'!$C401-$D$3)=0,'S-Table'!A401,0),0)</f>
        <v>0</v>
      </c>
      <c r="H401" s="14">
        <f>IF(('S-Table'!$B401-$C$2)*('S-Table'!$B401-$D$2)=0,IF(('S-Table'!$C401-$C$3)*('S-Table'!$C401-$D$3)=0,'S-Table'!B401,0),0)</f>
        <v>0</v>
      </c>
      <c r="I401" s="14">
        <f>IF(('S-Table'!$B401-$C$2)*('S-Table'!$B401-$D$2)=0,IF(('S-Table'!$C401-$C$3)*('S-Table'!$C401-$D$3)=0,'S-Table'!C401,0),0)</f>
        <v>0</v>
      </c>
      <c r="J401" s="14">
        <f>IF(('S-Table'!$B401-$C$2)*('S-Table'!$B401-$D$2)=0,IF(('S-Table'!$C401-$C$3)*('S-Table'!$C401-$D$3)=0,'S-Table'!D401,0),0)</f>
        <v>0</v>
      </c>
      <c r="K401" s="14">
        <f>IF(('S-Table'!$B401-$C$2)*('S-Table'!$B401-$D$2)=0,IF(('S-Table'!$C401-$C$3)*('S-Table'!$C401-$D$3)=0,'S-Table'!E401,0),0)</f>
        <v>0</v>
      </c>
    </row>
    <row r="402" spans="6:11" x14ac:dyDescent="0.2">
      <c r="F402" s="14">
        <f>IF(G402=0,IF(G401=0,F401,F401+1),IF(G401=0,MAX(F$1:F401),MAX(F$1:F401)+1))</f>
        <v>13</v>
      </c>
      <c r="G402" s="14">
        <f>IF(('S-Table'!$B402-$C$2)*('S-Table'!$B402-$D$2)=0,IF(('S-Table'!$C402-$C$3)*('S-Table'!$C402-$D$3)=0,'S-Table'!A402,0),0)</f>
        <v>0</v>
      </c>
      <c r="H402" s="14">
        <f>IF(('S-Table'!$B402-$C$2)*('S-Table'!$B402-$D$2)=0,IF(('S-Table'!$C402-$C$3)*('S-Table'!$C402-$D$3)=0,'S-Table'!B402,0),0)</f>
        <v>0</v>
      </c>
      <c r="I402" s="14">
        <f>IF(('S-Table'!$B402-$C$2)*('S-Table'!$B402-$D$2)=0,IF(('S-Table'!$C402-$C$3)*('S-Table'!$C402-$D$3)=0,'S-Table'!C402,0),0)</f>
        <v>0</v>
      </c>
      <c r="J402" s="14">
        <f>IF(('S-Table'!$B402-$C$2)*('S-Table'!$B402-$D$2)=0,IF(('S-Table'!$C402-$C$3)*('S-Table'!$C402-$D$3)=0,'S-Table'!D402,0),0)</f>
        <v>0</v>
      </c>
      <c r="K402" s="14">
        <f>IF(('S-Table'!$B402-$C$2)*('S-Table'!$B402-$D$2)=0,IF(('S-Table'!$C402-$C$3)*('S-Table'!$C402-$D$3)=0,'S-Table'!E402,0),0)</f>
        <v>0</v>
      </c>
    </row>
    <row r="403" spans="6:11" x14ac:dyDescent="0.2">
      <c r="F403" s="14">
        <f>IF(G403=0,IF(G402=0,F402,F402+1),IF(G402=0,MAX(F$1:F402),MAX(F$1:F402)+1))</f>
        <v>13</v>
      </c>
      <c r="G403" s="14">
        <f>IF(('S-Table'!$B403-$C$2)*('S-Table'!$B403-$D$2)=0,IF(('S-Table'!$C403-$C$3)*('S-Table'!$C403-$D$3)=0,'S-Table'!A403,0),0)</f>
        <v>0</v>
      </c>
      <c r="H403" s="14">
        <f>IF(('S-Table'!$B403-$C$2)*('S-Table'!$B403-$D$2)=0,IF(('S-Table'!$C403-$C$3)*('S-Table'!$C403-$D$3)=0,'S-Table'!B403,0),0)</f>
        <v>0</v>
      </c>
      <c r="I403" s="14">
        <f>IF(('S-Table'!$B403-$C$2)*('S-Table'!$B403-$D$2)=0,IF(('S-Table'!$C403-$C$3)*('S-Table'!$C403-$D$3)=0,'S-Table'!C403,0),0)</f>
        <v>0</v>
      </c>
      <c r="J403" s="14">
        <f>IF(('S-Table'!$B403-$C$2)*('S-Table'!$B403-$D$2)=0,IF(('S-Table'!$C403-$C$3)*('S-Table'!$C403-$D$3)=0,'S-Table'!D403,0),0)</f>
        <v>0</v>
      </c>
      <c r="K403" s="14">
        <f>IF(('S-Table'!$B403-$C$2)*('S-Table'!$B403-$D$2)=0,IF(('S-Table'!$C403-$C$3)*('S-Table'!$C403-$D$3)=0,'S-Table'!E403,0),0)</f>
        <v>0</v>
      </c>
    </row>
    <row r="404" spans="6:11" x14ac:dyDescent="0.2">
      <c r="F404" s="14">
        <f>IF(G404=0,IF(G403=0,F403,F403+1),IF(G403=0,MAX(F$1:F403),MAX(F$1:F403)+1))</f>
        <v>13</v>
      </c>
      <c r="G404" s="14">
        <f>IF(('S-Table'!$B404-$C$2)*('S-Table'!$B404-$D$2)=0,IF(('S-Table'!$C404-$C$3)*('S-Table'!$C404-$D$3)=0,'S-Table'!A404,0),0)</f>
        <v>0</v>
      </c>
      <c r="H404" s="14">
        <f>IF(('S-Table'!$B404-$C$2)*('S-Table'!$B404-$D$2)=0,IF(('S-Table'!$C404-$C$3)*('S-Table'!$C404-$D$3)=0,'S-Table'!B404,0),0)</f>
        <v>0</v>
      </c>
      <c r="I404" s="14">
        <f>IF(('S-Table'!$B404-$C$2)*('S-Table'!$B404-$D$2)=0,IF(('S-Table'!$C404-$C$3)*('S-Table'!$C404-$D$3)=0,'S-Table'!C404,0),0)</f>
        <v>0</v>
      </c>
      <c r="J404" s="14">
        <f>IF(('S-Table'!$B404-$C$2)*('S-Table'!$B404-$D$2)=0,IF(('S-Table'!$C404-$C$3)*('S-Table'!$C404-$D$3)=0,'S-Table'!D404,0),0)</f>
        <v>0</v>
      </c>
      <c r="K404" s="14">
        <f>IF(('S-Table'!$B404-$C$2)*('S-Table'!$B404-$D$2)=0,IF(('S-Table'!$C404-$C$3)*('S-Table'!$C404-$D$3)=0,'S-Table'!E404,0),0)</f>
        <v>0</v>
      </c>
    </row>
    <row r="405" spans="6:11" x14ac:dyDescent="0.2">
      <c r="F405" s="14">
        <f>IF(G405=0,IF(G404=0,F404,F404+1),IF(G404=0,MAX(F$1:F404),MAX(F$1:F404)+1))</f>
        <v>13</v>
      </c>
      <c r="G405" s="14">
        <f>IF(('S-Table'!$B405-$C$2)*('S-Table'!$B405-$D$2)=0,IF(('S-Table'!$C405-$C$3)*('S-Table'!$C405-$D$3)=0,'S-Table'!A405,0),0)</f>
        <v>0</v>
      </c>
      <c r="H405" s="14">
        <f>IF(('S-Table'!$B405-$C$2)*('S-Table'!$B405-$D$2)=0,IF(('S-Table'!$C405-$C$3)*('S-Table'!$C405-$D$3)=0,'S-Table'!B405,0),0)</f>
        <v>0</v>
      </c>
      <c r="I405" s="14">
        <f>IF(('S-Table'!$B405-$C$2)*('S-Table'!$B405-$D$2)=0,IF(('S-Table'!$C405-$C$3)*('S-Table'!$C405-$D$3)=0,'S-Table'!C405,0),0)</f>
        <v>0</v>
      </c>
      <c r="J405" s="14">
        <f>IF(('S-Table'!$B405-$C$2)*('S-Table'!$B405-$D$2)=0,IF(('S-Table'!$C405-$C$3)*('S-Table'!$C405-$D$3)=0,'S-Table'!D405,0),0)</f>
        <v>0</v>
      </c>
      <c r="K405" s="14">
        <f>IF(('S-Table'!$B405-$C$2)*('S-Table'!$B405-$D$2)=0,IF(('S-Table'!$C405-$C$3)*('S-Table'!$C405-$D$3)=0,'S-Table'!E405,0),0)</f>
        <v>0</v>
      </c>
    </row>
    <row r="406" spans="6:11" x14ac:dyDescent="0.2">
      <c r="F406" s="14">
        <f>IF(G406=0,IF(G405=0,F405,F405+1),IF(G405=0,MAX(F$1:F405),MAX(F$1:F405)+1))</f>
        <v>13</v>
      </c>
      <c r="G406" s="14">
        <f>IF(('S-Table'!$B406-$C$2)*('S-Table'!$B406-$D$2)=0,IF(('S-Table'!$C406-$C$3)*('S-Table'!$C406-$D$3)=0,'S-Table'!A406,0),0)</f>
        <v>0</v>
      </c>
      <c r="H406" s="14">
        <f>IF(('S-Table'!$B406-$C$2)*('S-Table'!$B406-$D$2)=0,IF(('S-Table'!$C406-$C$3)*('S-Table'!$C406-$D$3)=0,'S-Table'!B406,0),0)</f>
        <v>0</v>
      </c>
      <c r="I406" s="14">
        <f>IF(('S-Table'!$B406-$C$2)*('S-Table'!$B406-$D$2)=0,IF(('S-Table'!$C406-$C$3)*('S-Table'!$C406-$D$3)=0,'S-Table'!C406,0),0)</f>
        <v>0</v>
      </c>
      <c r="J406" s="14">
        <f>IF(('S-Table'!$B406-$C$2)*('S-Table'!$B406-$D$2)=0,IF(('S-Table'!$C406-$C$3)*('S-Table'!$C406-$D$3)=0,'S-Table'!D406,0),0)</f>
        <v>0</v>
      </c>
      <c r="K406" s="14">
        <f>IF(('S-Table'!$B406-$C$2)*('S-Table'!$B406-$D$2)=0,IF(('S-Table'!$C406-$C$3)*('S-Table'!$C406-$D$3)=0,'S-Table'!E406,0),0)</f>
        <v>0</v>
      </c>
    </row>
    <row r="407" spans="6:11" x14ac:dyDescent="0.2">
      <c r="F407" s="14">
        <f>IF(G407=0,IF(G406=0,F406,F406+1),IF(G406=0,MAX(F$1:F406),MAX(F$1:F406)+1))</f>
        <v>13</v>
      </c>
      <c r="G407" s="14">
        <f>IF(('S-Table'!$B407-$C$2)*('S-Table'!$B407-$D$2)=0,IF(('S-Table'!$C407-$C$3)*('S-Table'!$C407-$D$3)=0,'S-Table'!A407,0),0)</f>
        <v>0</v>
      </c>
      <c r="H407" s="14">
        <f>IF(('S-Table'!$B407-$C$2)*('S-Table'!$B407-$D$2)=0,IF(('S-Table'!$C407-$C$3)*('S-Table'!$C407-$D$3)=0,'S-Table'!B407,0),0)</f>
        <v>0</v>
      </c>
      <c r="I407" s="14">
        <f>IF(('S-Table'!$B407-$C$2)*('S-Table'!$B407-$D$2)=0,IF(('S-Table'!$C407-$C$3)*('S-Table'!$C407-$D$3)=0,'S-Table'!C407,0),0)</f>
        <v>0</v>
      </c>
      <c r="J407" s="14">
        <f>IF(('S-Table'!$B407-$C$2)*('S-Table'!$B407-$D$2)=0,IF(('S-Table'!$C407-$C$3)*('S-Table'!$C407-$D$3)=0,'S-Table'!D407,0),0)</f>
        <v>0</v>
      </c>
      <c r="K407" s="14">
        <f>IF(('S-Table'!$B407-$C$2)*('S-Table'!$B407-$D$2)=0,IF(('S-Table'!$C407-$C$3)*('S-Table'!$C407-$D$3)=0,'S-Table'!E407,0),0)</f>
        <v>0</v>
      </c>
    </row>
    <row r="408" spans="6:11" x14ac:dyDescent="0.2">
      <c r="F408" s="14">
        <f>IF(G408=0,IF(G407=0,F407,F407+1),IF(G407=0,MAX(F$1:F407),MAX(F$1:F407)+1))</f>
        <v>13</v>
      </c>
      <c r="G408" s="14">
        <f>IF(('S-Table'!$B408-$C$2)*('S-Table'!$B408-$D$2)=0,IF(('S-Table'!$C408-$C$3)*('S-Table'!$C408-$D$3)=0,'S-Table'!A408,0),0)</f>
        <v>0</v>
      </c>
      <c r="H408" s="14">
        <f>IF(('S-Table'!$B408-$C$2)*('S-Table'!$B408-$D$2)=0,IF(('S-Table'!$C408-$C$3)*('S-Table'!$C408-$D$3)=0,'S-Table'!B408,0),0)</f>
        <v>0</v>
      </c>
      <c r="I408" s="14">
        <f>IF(('S-Table'!$B408-$C$2)*('S-Table'!$B408-$D$2)=0,IF(('S-Table'!$C408-$C$3)*('S-Table'!$C408-$D$3)=0,'S-Table'!C408,0),0)</f>
        <v>0</v>
      </c>
      <c r="J408" s="14">
        <f>IF(('S-Table'!$B408-$C$2)*('S-Table'!$B408-$D$2)=0,IF(('S-Table'!$C408-$C$3)*('S-Table'!$C408-$D$3)=0,'S-Table'!D408,0),0)</f>
        <v>0</v>
      </c>
      <c r="K408" s="14">
        <f>IF(('S-Table'!$B408-$C$2)*('S-Table'!$B408-$D$2)=0,IF(('S-Table'!$C408-$C$3)*('S-Table'!$C408-$D$3)=0,'S-Table'!E408,0),0)</f>
        <v>0</v>
      </c>
    </row>
    <row r="409" spans="6:11" x14ac:dyDescent="0.2">
      <c r="F409" s="14">
        <f>IF(G409=0,IF(G408=0,F408,F408+1),IF(G408=0,MAX(F$1:F408),MAX(F$1:F408)+1))</f>
        <v>13</v>
      </c>
      <c r="G409" s="14">
        <f>IF(('S-Table'!$B409-$C$2)*('S-Table'!$B409-$D$2)=0,IF(('S-Table'!$C409-$C$3)*('S-Table'!$C409-$D$3)=0,'S-Table'!A409,0),0)</f>
        <v>0</v>
      </c>
      <c r="H409" s="14">
        <f>IF(('S-Table'!$B409-$C$2)*('S-Table'!$B409-$D$2)=0,IF(('S-Table'!$C409-$C$3)*('S-Table'!$C409-$D$3)=0,'S-Table'!B409,0),0)</f>
        <v>0</v>
      </c>
      <c r="I409" s="14">
        <f>IF(('S-Table'!$B409-$C$2)*('S-Table'!$B409-$D$2)=0,IF(('S-Table'!$C409-$C$3)*('S-Table'!$C409-$D$3)=0,'S-Table'!C409,0),0)</f>
        <v>0</v>
      </c>
      <c r="J409" s="14">
        <f>IF(('S-Table'!$B409-$C$2)*('S-Table'!$B409-$D$2)=0,IF(('S-Table'!$C409-$C$3)*('S-Table'!$C409-$D$3)=0,'S-Table'!D409,0),0)</f>
        <v>0</v>
      </c>
      <c r="K409" s="14">
        <f>IF(('S-Table'!$B409-$C$2)*('S-Table'!$B409-$D$2)=0,IF(('S-Table'!$C409-$C$3)*('S-Table'!$C409-$D$3)=0,'S-Table'!E409,0),0)</f>
        <v>0</v>
      </c>
    </row>
    <row r="410" spans="6:11" x14ac:dyDescent="0.2">
      <c r="F410" s="14">
        <f>IF(G410=0,IF(G409=0,F409,F409+1),IF(G409=0,MAX(F$1:F409),MAX(F$1:F409)+1))</f>
        <v>13</v>
      </c>
      <c r="G410" s="14">
        <f>IF(('S-Table'!$B410-$C$2)*('S-Table'!$B410-$D$2)=0,IF(('S-Table'!$C410-$C$3)*('S-Table'!$C410-$D$3)=0,'S-Table'!A410,0),0)</f>
        <v>0</v>
      </c>
      <c r="H410" s="14">
        <f>IF(('S-Table'!$B410-$C$2)*('S-Table'!$B410-$D$2)=0,IF(('S-Table'!$C410-$C$3)*('S-Table'!$C410-$D$3)=0,'S-Table'!B410,0),0)</f>
        <v>0</v>
      </c>
      <c r="I410" s="14">
        <f>IF(('S-Table'!$B410-$C$2)*('S-Table'!$B410-$D$2)=0,IF(('S-Table'!$C410-$C$3)*('S-Table'!$C410-$D$3)=0,'S-Table'!C410,0),0)</f>
        <v>0</v>
      </c>
      <c r="J410" s="14">
        <f>IF(('S-Table'!$B410-$C$2)*('S-Table'!$B410-$D$2)=0,IF(('S-Table'!$C410-$C$3)*('S-Table'!$C410-$D$3)=0,'S-Table'!D410,0),0)</f>
        <v>0</v>
      </c>
      <c r="K410" s="14">
        <f>IF(('S-Table'!$B410-$C$2)*('S-Table'!$B410-$D$2)=0,IF(('S-Table'!$C410-$C$3)*('S-Table'!$C410-$D$3)=0,'S-Table'!E410,0),0)</f>
        <v>0</v>
      </c>
    </row>
    <row r="411" spans="6:11" x14ac:dyDescent="0.2">
      <c r="F411" s="14">
        <f>IF(G411=0,IF(G410=0,F410,F410+1),IF(G410=0,MAX(F$1:F410),MAX(F$1:F410)+1))</f>
        <v>13</v>
      </c>
      <c r="G411" s="14">
        <f>IF(('S-Table'!$B411-$C$2)*('S-Table'!$B411-$D$2)=0,IF(('S-Table'!$C411-$C$3)*('S-Table'!$C411-$D$3)=0,'S-Table'!A411,0),0)</f>
        <v>0</v>
      </c>
      <c r="H411" s="14">
        <f>IF(('S-Table'!$B411-$C$2)*('S-Table'!$B411-$D$2)=0,IF(('S-Table'!$C411-$C$3)*('S-Table'!$C411-$D$3)=0,'S-Table'!B411,0),0)</f>
        <v>0</v>
      </c>
      <c r="I411" s="14">
        <f>IF(('S-Table'!$B411-$C$2)*('S-Table'!$B411-$D$2)=0,IF(('S-Table'!$C411-$C$3)*('S-Table'!$C411-$D$3)=0,'S-Table'!C411,0),0)</f>
        <v>0</v>
      </c>
      <c r="J411" s="14">
        <f>IF(('S-Table'!$B411-$C$2)*('S-Table'!$B411-$D$2)=0,IF(('S-Table'!$C411-$C$3)*('S-Table'!$C411-$D$3)=0,'S-Table'!D411,0),0)</f>
        <v>0</v>
      </c>
      <c r="K411" s="14">
        <f>IF(('S-Table'!$B411-$C$2)*('S-Table'!$B411-$D$2)=0,IF(('S-Table'!$C411-$C$3)*('S-Table'!$C411-$D$3)=0,'S-Table'!E411,0),0)</f>
        <v>0</v>
      </c>
    </row>
    <row r="412" spans="6:11" x14ac:dyDescent="0.2">
      <c r="F412" s="14">
        <f>IF(G412=0,IF(G411=0,F411,F411+1),IF(G411=0,MAX(F$1:F411),MAX(F$1:F411)+1))</f>
        <v>13</v>
      </c>
      <c r="G412" s="14">
        <f>IF(('S-Table'!$B412-$C$2)*('S-Table'!$B412-$D$2)=0,IF(('S-Table'!$C412-$C$3)*('S-Table'!$C412-$D$3)=0,'S-Table'!A412,0),0)</f>
        <v>0</v>
      </c>
      <c r="H412" s="14">
        <f>IF(('S-Table'!$B412-$C$2)*('S-Table'!$B412-$D$2)=0,IF(('S-Table'!$C412-$C$3)*('S-Table'!$C412-$D$3)=0,'S-Table'!B412,0),0)</f>
        <v>0</v>
      </c>
      <c r="I412" s="14">
        <f>IF(('S-Table'!$B412-$C$2)*('S-Table'!$B412-$D$2)=0,IF(('S-Table'!$C412-$C$3)*('S-Table'!$C412-$D$3)=0,'S-Table'!C412,0),0)</f>
        <v>0</v>
      </c>
      <c r="J412" s="14">
        <f>IF(('S-Table'!$B412-$C$2)*('S-Table'!$B412-$D$2)=0,IF(('S-Table'!$C412-$C$3)*('S-Table'!$C412-$D$3)=0,'S-Table'!D412,0),0)</f>
        <v>0</v>
      </c>
      <c r="K412" s="14">
        <f>IF(('S-Table'!$B412-$C$2)*('S-Table'!$B412-$D$2)=0,IF(('S-Table'!$C412-$C$3)*('S-Table'!$C412-$D$3)=0,'S-Table'!E412,0),0)</f>
        <v>0</v>
      </c>
    </row>
    <row r="413" spans="6:11" x14ac:dyDescent="0.2">
      <c r="F413" s="14">
        <f>IF(G413=0,IF(G412=0,F412,F412+1),IF(G412=0,MAX(F$1:F412),MAX(F$1:F412)+1))</f>
        <v>13</v>
      </c>
      <c r="G413" s="14">
        <f>IF(('S-Table'!$B413-$C$2)*('S-Table'!$B413-$D$2)=0,IF(('S-Table'!$C413-$C$3)*('S-Table'!$C413-$D$3)=0,'S-Table'!A413,0),0)</f>
        <v>0</v>
      </c>
      <c r="H413" s="14">
        <f>IF(('S-Table'!$B413-$C$2)*('S-Table'!$B413-$D$2)=0,IF(('S-Table'!$C413-$C$3)*('S-Table'!$C413-$D$3)=0,'S-Table'!B413,0),0)</f>
        <v>0</v>
      </c>
      <c r="I413" s="14">
        <f>IF(('S-Table'!$B413-$C$2)*('S-Table'!$B413-$D$2)=0,IF(('S-Table'!$C413-$C$3)*('S-Table'!$C413-$D$3)=0,'S-Table'!C413,0),0)</f>
        <v>0</v>
      </c>
      <c r="J413" s="14">
        <f>IF(('S-Table'!$B413-$C$2)*('S-Table'!$B413-$D$2)=0,IF(('S-Table'!$C413-$C$3)*('S-Table'!$C413-$D$3)=0,'S-Table'!D413,0),0)</f>
        <v>0</v>
      </c>
      <c r="K413" s="14">
        <f>IF(('S-Table'!$B413-$C$2)*('S-Table'!$B413-$D$2)=0,IF(('S-Table'!$C413-$C$3)*('S-Table'!$C413-$D$3)=0,'S-Table'!E413,0),0)</f>
        <v>0</v>
      </c>
    </row>
    <row r="414" spans="6:11" x14ac:dyDescent="0.2">
      <c r="F414" s="14">
        <f>IF(G414=0,IF(G413=0,F413,F413+1),IF(G413=0,MAX(F$1:F413),MAX(F$1:F413)+1))</f>
        <v>13</v>
      </c>
      <c r="G414" s="14">
        <f>IF(('S-Table'!$B414-$C$2)*('S-Table'!$B414-$D$2)=0,IF(('S-Table'!$C414-$C$3)*('S-Table'!$C414-$D$3)=0,'S-Table'!A414,0),0)</f>
        <v>0</v>
      </c>
      <c r="H414" s="14">
        <f>IF(('S-Table'!$B414-$C$2)*('S-Table'!$B414-$D$2)=0,IF(('S-Table'!$C414-$C$3)*('S-Table'!$C414-$D$3)=0,'S-Table'!B414,0),0)</f>
        <v>0</v>
      </c>
      <c r="I414" s="14">
        <f>IF(('S-Table'!$B414-$C$2)*('S-Table'!$B414-$D$2)=0,IF(('S-Table'!$C414-$C$3)*('S-Table'!$C414-$D$3)=0,'S-Table'!C414,0),0)</f>
        <v>0</v>
      </c>
      <c r="J414" s="14">
        <f>IF(('S-Table'!$B414-$C$2)*('S-Table'!$B414-$D$2)=0,IF(('S-Table'!$C414-$C$3)*('S-Table'!$C414-$D$3)=0,'S-Table'!D414,0),0)</f>
        <v>0</v>
      </c>
      <c r="K414" s="14">
        <f>IF(('S-Table'!$B414-$C$2)*('S-Table'!$B414-$D$2)=0,IF(('S-Table'!$C414-$C$3)*('S-Table'!$C414-$D$3)=0,'S-Table'!E414,0),0)</f>
        <v>0</v>
      </c>
    </row>
    <row r="415" spans="6:11" x14ac:dyDescent="0.2">
      <c r="F415" s="14">
        <f>IF(G415=0,IF(G414=0,F414,F414+1),IF(G414=0,MAX(F$1:F414),MAX(F$1:F414)+1))</f>
        <v>13</v>
      </c>
      <c r="G415" s="14">
        <f>IF(('S-Table'!$B415-$C$2)*('S-Table'!$B415-$D$2)=0,IF(('S-Table'!$C415-$C$3)*('S-Table'!$C415-$D$3)=0,'S-Table'!A415,0),0)</f>
        <v>0</v>
      </c>
      <c r="H415" s="14">
        <f>IF(('S-Table'!$B415-$C$2)*('S-Table'!$B415-$D$2)=0,IF(('S-Table'!$C415-$C$3)*('S-Table'!$C415-$D$3)=0,'S-Table'!B415,0),0)</f>
        <v>0</v>
      </c>
      <c r="I415" s="14">
        <f>IF(('S-Table'!$B415-$C$2)*('S-Table'!$B415-$D$2)=0,IF(('S-Table'!$C415-$C$3)*('S-Table'!$C415-$D$3)=0,'S-Table'!C415,0),0)</f>
        <v>0</v>
      </c>
      <c r="J415" s="14">
        <f>IF(('S-Table'!$B415-$C$2)*('S-Table'!$B415-$D$2)=0,IF(('S-Table'!$C415-$C$3)*('S-Table'!$C415-$D$3)=0,'S-Table'!D415,0),0)</f>
        <v>0</v>
      </c>
      <c r="K415" s="14">
        <f>IF(('S-Table'!$B415-$C$2)*('S-Table'!$B415-$D$2)=0,IF(('S-Table'!$C415-$C$3)*('S-Table'!$C415-$D$3)=0,'S-Table'!E415,0),0)</f>
        <v>0</v>
      </c>
    </row>
    <row r="416" spans="6:11" x14ac:dyDescent="0.2">
      <c r="F416" s="14">
        <f>IF(G416=0,IF(G415=0,F415,F415+1),IF(G415=0,MAX(F$1:F415),MAX(F$1:F415)+1))</f>
        <v>13</v>
      </c>
      <c r="G416" s="14">
        <f>IF(('S-Table'!$B416-$C$2)*('S-Table'!$B416-$D$2)=0,IF(('S-Table'!$C416-$C$3)*('S-Table'!$C416-$D$3)=0,'S-Table'!A416,0),0)</f>
        <v>0</v>
      </c>
      <c r="H416" s="14">
        <f>IF(('S-Table'!$B416-$C$2)*('S-Table'!$B416-$D$2)=0,IF(('S-Table'!$C416-$C$3)*('S-Table'!$C416-$D$3)=0,'S-Table'!B416,0),0)</f>
        <v>0</v>
      </c>
      <c r="I416" s="14">
        <f>IF(('S-Table'!$B416-$C$2)*('S-Table'!$B416-$D$2)=0,IF(('S-Table'!$C416-$C$3)*('S-Table'!$C416-$D$3)=0,'S-Table'!C416,0),0)</f>
        <v>0</v>
      </c>
      <c r="J416" s="14">
        <f>IF(('S-Table'!$B416-$C$2)*('S-Table'!$B416-$D$2)=0,IF(('S-Table'!$C416-$C$3)*('S-Table'!$C416-$D$3)=0,'S-Table'!D416,0),0)</f>
        <v>0</v>
      </c>
      <c r="K416" s="14">
        <f>IF(('S-Table'!$B416-$C$2)*('S-Table'!$B416-$D$2)=0,IF(('S-Table'!$C416-$C$3)*('S-Table'!$C416-$D$3)=0,'S-Table'!E416,0),0)</f>
        <v>0</v>
      </c>
    </row>
    <row r="417" spans="6:11" x14ac:dyDescent="0.2">
      <c r="F417" s="14">
        <f>IF(G417=0,IF(G416=0,F416,F416+1),IF(G416=0,MAX(F$1:F416),MAX(F$1:F416)+1))</f>
        <v>13</v>
      </c>
      <c r="G417" s="14">
        <f>IF(('S-Table'!$B417-$C$2)*('S-Table'!$B417-$D$2)=0,IF(('S-Table'!$C417-$C$3)*('S-Table'!$C417-$D$3)=0,'S-Table'!A417,0),0)</f>
        <v>0</v>
      </c>
      <c r="H417" s="14">
        <f>IF(('S-Table'!$B417-$C$2)*('S-Table'!$B417-$D$2)=0,IF(('S-Table'!$C417-$C$3)*('S-Table'!$C417-$D$3)=0,'S-Table'!B417,0),0)</f>
        <v>0</v>
      </c>
      <c r="I417" s="14">
        <f>IF(('S-Table'!$B417-$C$2)*('S-Table'!$B417-$D$2)=0,IF(('S-Table'!$C417-$C$3)*('S-Table'!$C417-$D$3)=0,'S-Table'!C417,0),0)</f>
        <v>0</v>
      </c>
      <c r="J417" s="14">
        <f>IF(('S-Table'!$B417-$C$2)*('S-Table'!$B417-$D$2)=0,IF(('S-Table'!$C417-$C$3)*('S-Table'!$C417-$D$3)=0,'S-Table'!D417,0),0)</f>
        <v>0</v>
      </c>
      <c r="K417" s="14">
        <f>IF(('S-Table'!$B417-$C$2)*('S-Table'!$B417-$D$2)=0,IF(('S-Table'!$C417-$C$3)*('S-Table'!$C417-$D$3)=0,'S-Table'!E417,0),0)</f>
        <v>0</v>
      </c>
    </row>
    <row r="418" spans="6:11" x14ac:dyDescent="0.2">
      <c r="F418" s="14">
        <f>IF(G418=0,IF(G417=0,F417,F417+1),IF(G417=0,MAX(F$1:F417),MAX(F$1:F417)+1))</f>
        <v>13</v>
      </c>
      <c r="G418" s="14">
        <f>IF(('S-Table'!$B418-$C$2)*('S-Table'!$B418-$D$2)=0,IF(('S-Table'!$C418-$C$3)*('S-Table'!$C418-$D$3)=0,'S-Table'!A418,0),0)</f>
        <v>0</v>
      </c>
      <c r="H418" s="14">
        <f>IF(('S-Table'!$B418-$C$2)*('S-Table'!$B418-$D$2)=0,IF(('S-Table'!$C418-$C$3)*('S-Table'!$C418-$D$3)=0,'S-Table'!B418,0),0)</f>
        <v>0</v>
      </c>
      <c r="I418" s="14">
        <f>IF(('S-Table'!$B418-$C$2)*('S-Table'!$B418-$D$2)=0,IF(('S-Table'!$C418-$C$3)*('S-Table'!$C418-$D$3)=0,'S-Table'!C418,0),0)</f>
        <v>0</v>
      </c>
      <c r="J418" s="14">
        <f>IF(('S-Table'!$B418-$C$2)*('S-Table'!$B418-$D$2)=0,IF(('S-Table'!$C418-$C$3)*('S-Table'!$C418-$D$3)=0,'S-Table'!D418,0),0)</f>
        <v>0</v>
      </c>
      <c r="K418" s="14">
        <f>IF(('S-Table'!$B418-$C$2)*('S-Table'!$B418-$D$2)=0,IF(('S-Table'!$C418-$C$3)*('S-Table'!$C418-$D$3)=0,'S-Table'!E418,0),0)</f>
        <v>0</v>
      </c>
    </row>
    <row r="419" spans="6:11" x14ac:dyDescent="0.2">
      <c r="F419" s="14">
        <f>IF(G419=0,IF(G418=0,F418,F418+1),IF(G418=0,MAX(F$1:F418),MAX(F$1:F418)+1))</f>
        <v>13</v>
      </c>
      <c r="G419" s="14">
        <f>IF(('S-Table'!$B419-$C$2)*('S-Table'!$B419-$D$2)=0,IF(('S-Table'!$C419-$C$3)*('S-Table'!$C419-$D$3)=0,'S-Table'!A419,0),0)</f>
        <v>0</v>
      </c>
      <c r="H419" s="14">
        <f>IF(('S-Table'!$B419-$C$2)*('S-Table'!$B419-$D$2)=0,IF(('S-Table'!$C419-$C$3)*('S-Table'!$C419-$D$3)=0,'S-Table'!B419,0),0)</f>
        <v>0</v>
      </c>
      <c r="I419" s="14">
        <f>IF(('S-Table'!$B419-$C$2)*('S-Table'!$B419-$D$2)=0,IF(('S-Table'!$C419-$C$3)*('S-Table'!$C419-$D$3)=0,'S-Table'!C419,0),0)</f>
        <v>0</v>
      </c>
      <c r="J419" s="14">
        <f>IF(('S-Table'!$B419-$C$2)*('S-Table'!$B419-$D$2)=0,IF(('S-Table'!$C419-$C$3)*('S-Table'!$C419-$D$3)=0,'S-Table'!D419,0),0)</f>
        <v>0</v>
      </c>
      <c r="K419" s="14">
        <f>IF(('S-Table'!$B419-$C$2)*('S-Table'!$B419-$D$2)=0,IF(('S-Table'!$C419-$C$3)*('S-Table'!$C419-$D$3)=0,'S-Table'!E419,0),0)</f>
        <v>0</v>
      </c>
    </row>
    <row r="420" spans="6:11" x14ac:dyDescent="0.2">
      <c r="F420" s="14">
        <f>IF(G420=0,IF(G419=0,F419,F419+1),IF(G419=0,MAX(F$1:F419),MAX(F$1:F419)+1))</f>
        <v>13</v>
      </c>
      <c r="G420" s="14">
        <f>IF(('S-Table'!$B420-$C$2)*('S-Table'!$B420-$D$2)=0,IF(('S-Table'!$C420-$C$3)*('S-Table'!$C420-$D$3)=0,'S-Table'!A420,0),0)</f>
        <v>0</v>
      </c>
      <c r="H420" s="14">
        <f>IF(('S-Table'!$B420-$C$2)*('S-Table'!$B420-$D$2)=0,IF(('S-Table'!$C420-$C$3)*('S-Table'!$C420-$D$3)=0,'S-Table'!B420,0),0)</f>
        <v>0</v>
      </c>
      <c r="I420" s="14">
        <f>IF(('S-Table'!$B420-$C$2)*('S-Table'!$B420-$D$2)=0,IF(('S-Table'!$C420-$C$3)*('S-Table'!$C420-$D$3)=0,'S-Table'!C420,0),0)</f>
        <v>0</v>
      </c>
      <c r="J420" s="14">
        <f>IF(('S-Table'!$B420-$C$2)*('S-Table'!$B420-$D$2)=0,IF(('S-Table'!$C420-$C$3)*('S-Table'!$C420-$D$3)=0,'S-Table'!D420,0),0)</f>
        <v>0</v>
      </c>
      <c r="K420" s="14">
        <f>IF(('S-Table'!$B420-$C$2)*('S-Table'!$B420-$D$2)=0,IF(('S-Table'!$C420-$C$3)*('S-Table'!$C420-$D$3)=0,'S-Table'!E420,0),0)</f>
        <v>0</v>
      </c>
    </row>
    <row r="421" spans="6:11" x14ac:dyDescent="0.2">
      <c r="F421" s="14">
        <f>IF(G421=0,IF(G420=0,F420,F420+1),IF(G420=0,MAX(F$1:F420),MAX(F$1:F420)+1))</f>
        <v>13</v>
      </c>
      <c r="G421" s="14">
        <f>IF(('S-Table'!$B421-$C$2)*('S-Table'!$B421-$D$2)=0,IF(('S-Table'!$C421-$C$3)*('S-Table'!$C421-$D$3)=0,'S-Table'!A421,0),0)</f>
        <v>0</v>
      </c>
      <c r="H421" s="14">
        <f>IF(('S-Table'!$B421-$C$2)*('S-Table'!$B421-$D$2)=0,IF(('S-Table'!$C421-$C$3)*('S-Table'!$C421-$D$3)=0,'S-Table'!B421,0),0)</f>
        <v>0</v>
      </c>
      <c r="I421" s="14">
        <f>IF(('S-Table'!$B421-$C$2)*('S-Table'!$B421-$D$2)=0,IF(('S-Table'!$C421-$C$3)*('S-Table'!$C421-$D$3)=0,'S-Table'!C421,0),0)</f>
        <v>0</v>
      </c>
      <c r="J421" s="14">
        <f>IF(('S-Table'!$B421-$C$2)*('S-Table'!$B421-$D$2)=0,IF(('S-Table'!$C421-$C$3)*('S-Table'!$C421-$D$3)=0,'S-Table'!D421,0),0)</f>
        <v>0</v>
      </c>
      <c r="K421" s="14">
        <f>IF(('S-Table'!$B421-$C$2)*('S-Table'!$B421-$D$2)=0,IF(('S-Table'!$C421-$C$3)*('S-Table'!$C421-$D$3)=0,'S-Table'!E421,0),0)</f>
        <v>0</v>
      </c>
    </row>
    <row r="422" spans="6:11" x14ac:dyDescent="0.2">
      <c r="F422" s="14">
        <f>IF(G422=0,IF(G421=0,F421,F421+1),IF(G421=0,MAX(F$1:F421),MAX(F$1:F421)+1))</f>
        <v>13</v>
      </c>
      <c r="G422" s="14">
        <f>IF(('S-Table'!$B422-$C$2)*('S-Table'!$B422-$D$2)=0,IF(('S-Table'!$C422-$C$3)*('S-Table'!$C422-$D$3)=0,'S-Table'!A422,0),0)</f>
        <v>0</v>
      </c>
      <c r="H422" s="14">
        <f>IF(('S-Table'!$B422-$C$2)*('S-Table'!$B422-$D$2)=0,IF(('S-Table'!$C422-$C$3)*('S-Table'!$C422-$D$3)=0,'S-Table'!B422,0),0)</f>
        <v>0</v>
      </c>
      <c r="I422" s="14">
        <f>IF(('S-Table'!$B422-$C$2)*('S-Table'!$B422-$D$2)=0,IF(('S-Table'!$C422-$C$3)*('S-Table'!$C422-$D$3)=0,'S-Table'!C422,0),0)</f>
        <v>0</v>
      </c>
      <c r="J422" s="14">
        <f>IF(('S-Table'!$B422-$C$2)*('S-Table'!$B422-$D$2)=0,IF(('S-Table'!$C422-$C$3)*('S-Table'!$C422-$D$3)=0,'S-Table'!D422,0),0)</f>
        <v>0</v>
      </c>
      <c r="K422" s="14">
        <f>IF(('S-Table'!$B422-$C$2)*('S-Table'!$B422-$D$2)=0,IF(('S-Table'!$C422-$C$3)*('S-Table'!$C422-$D$3)=0,'S-Table'!E422,0),0)</f>
        <v>0</v>
      </c>
    </row>
    <row r="423" spans="6:11" x14ac:dyDescent="0.2">
      <c r="F423" s="14">
        <f>IF(G423=0,IF(G422=0,F422,F422+1),IF(G422=0,MAX(F$1:F422),MAX(F$1:F422)+1))</f>
        <v>13</v>
      </c>
      <c r="G423" s="14">
        <f>IF(('S-Table'!$B423-$C$2)*('S-Table'!$B423-$D$2)=0,IF(('S-Table'!$C423-$C$3)*('S-Table'!$C423-$D$3)=0,'S-Table'!A423,0),0)</f>
        <v>0</v>
      </c>
      <c r="H423" s="14">
        <f>IF(('S-Table'!$B423-$C$2)*('S-Table'!$B423-$D$2)=0,IF(('S-Table'!$C423-$C$3)*('S-Table'!$C423-$D$3)=0,'S-Table'!B423,0),0)</f>
        <v>0</v>
      </c>
      <c r="I423" s="14">
        <f>IF(('S-Table'!$B423-$C$2)*('S-Table'!$B423-$D$2)=0,IF(('S-Table'!$C423-$C$3)*('S-Table'!$C423-$D$3)=0,'S-Table'!C423,0),0)</f>
        <v>0</v>
      </c>
      <c r="J423" s="14">
        <f>IF(('S-Table'!$B423-$C$2)*('S-Table'!$B423-$D$2)=0,IF(('S-Table'!$C423-$C$3)*('S-Table'!$C423-$D$3)=0,'S-Table'!D423,0),0)</f>
        <v>0</v>
      </c>
      <c r="K423" s="14">
        <f>IF(('S-Table'!$B423-$C$2)*('S-Table'!$B423-$D$2)=0,IF(('S-Table'!$C423-$C$3)*('S-Table'!$C423-$D$3)=0,'S-Table'!E423,0),0)</f>
        <v>0</v>
      </c>
    </row>
    <row r="424" spans="6:11" x14ac:dyDescent="0.2">
      <c r="F424" s="14">
        <f>IF(G424=0,IF(G423=0,F423,F423+1),IF(G423=0,MAX(F$1:F423),MAX(F$1:F423)+1))</f>
        <v>13</v>
      </c>
      <c r="G424" s="14">
        <f>IF(('S-Table'!$B424-$C$2)*('S-Table'!$B424-$D$2)=0,IF(('S-Table'!$C424-$C$3)*('S-Table'!$C424-$D$3)=0,'S-Table'!A424,0),0)</f>
        <v>0</v>
      </c>
      <c r="H424" s="14">
        <f>IF(('S-Table'!$B424-$C$2)*('S-Table'!$B424-$D$2)=0,IF(('S-Table'!$C424-$C$3)*('S-Table'!$C424-$D$3)=0,'S-Table'!B424,0),0)</f>
        <v>0</v>
      </c>
      <c r="I424" s="14">
        <f>IF(('S-Table'!$B424-$C$2)*('S-Table'!$B424-$D$2)=0,IF(('S-Table'!$C424-$C$3)*('S-Table'!$C424-$D$3)=0,'S-Table'!C424,0),0)</f>
        <v>0</v>
      </c>
      <c r="J424" s="14">
        <f>IF(('S-Table'!$B424-$C$2)*('S-Table'!$B424-$D$2)=0,IF(('S-Table'!$C424-$C$3)*('S-Table'!$C424-$D$3)=0,'S-Table'!D424,0),0)</f>
        <v>0</v>
      </c>
      <c r="K424" s="14">
        <f>IF(('S-Table'!$B424-$C$2)*('S-Table'!$B424-$D$2)=0,IF(('S-Table'!$C424-$C$3)*('S-Table'!$C424-$D$3)=0,'S-Table'!E424,0),0)</f>
        <v>0</v>
      </c>
    </row>
    <row r="425" spans="6:11" x14ac:dyDescent="0.2">
      <c r="F425" s="14">
        <f>IF(G425=0,IF(G424=0,F424,F424+1),IF(G424=0,MAX(F$1:F424),MAX(F$1:F424)+1))</f>
        <v>13</v>
      </c>
      <c r="G425" s="14">
        <f>IF(('S-Table'!$B425-$C$2)*('S-Table'!$B425-$D$2)=0,IF(('S-Table'!$C425-$C$3)*('S-Table'!$C425-$D$3)=0,'S-Table'!A425,0),0)</f>
        <v>0</v>
      </c>
      <c r="H425" s="14">
        <f>IF(('S-Table'!$B425-$C$2)*('S-Table'!$B425-$D$2)=0,IF(('S-Table'!$C425-$C$3)*('S-Table'!$C425-$D$3)=0,'S-Table'!B425,0),0)</f>
        <v>0</v>
      </c>
      <c r="I425" s="14">
        <f>IF(('S-Table'!$B425-$C$2)*('S-Table'!$B425-$D$2)=0,IF(('S-Table'!$C425-$C$3)*('S-Table'!$C425-$D$3)=0,'S-Table'!C425,0),0)</f>
        <v>0</v>
      </c>
      <c r="J425" s="14">
        <f>IF(('S-Table'!$B425-$C$2)*('S-Table'!$B425-$D$2)=0,IF(('S-Table'!$C425-$C$3)*('S-Table'!$C425-$D$3)=0,'S-Table'!D425,0),0)</f>
        <v>0</v>
      </c>
      <c r="K425" s="14">
        <f>IF(('S-Table'!$B425-$C$2)*('S-Table'!$B425-$D$2)=0,IF(('S-Table'!$C425-$C$3)*('S-Table'!$C425-$D$3)=0,'S-Table'!E425,0),0)</f>
        <v>0</v>
      </c>
    </row>
    <row r="426" spans="6:11" x14ac:dyDescent="0.2">
      <c r="F426" s="14">
        <f>IF(G426=0,IF(G425=0,F425,F425+1),IF(G425=0,MAX(F$1:F425),MAX(F$1:F425)+1))</f>
        <v>13</v>
      </c>
      <c r="G426" s="14">
        <f>IF(('S-Table'!$B426-$C$2)*('S-Table'!$B426-$D$2)=0,IF(('S-Table'!$C426-$C$3)*('S-Table'!$C426-$D$3)=0,'S-Table'!A426,0),0)</f>
        <v>0</v>
      </c>
      <c r="H426" s="14">
        <f>IF(('S-Table'!$B426-$C$2)*('S-Table'!$B426-$D$2)=0,IF(('S-Table'!$C426-$C$3)*('S-Table'!$C426-$D$3)=0,'S-Table'!B426,0),0)</f>
        <v>0</v>
      </c>
      <c r="I426" s="14">
        <f>IF(('S-Table'!$B426-$C$2)*('S-Table'!$B426-$D$2)=0,IF(('S-Table'!$C426-$C$3)*('S-Table'!$C426-$D$3)=0,'S-Table'!C426,0),0)</f>
        <v>0</v>
      </c>
      <c r="J426" s="14">
        <f>IF(('S-Table'!$B426-$C$2)*('S-Table'!$B426-$D$2)=0,IF(('S-Table'!$C426-$C$3)*('S-Table'!$C426-$D$3)=0,'S-Table'!D426,0),0)</f>
        <v>0</v>
      </c>
      <c r="K426" s="14">
        <f>IF(('S-Table'!$B426-$C$2)*('S-Table'!$B426-$D$2)=0,IF(('S-Table'!$C426-$C$3)*('S-Table'!$C426-$D$3)=0,'S-Table'!E426,0),0)</f>
        <v>0</v>
      </c>
    </row>
    <row r="427" spans="6:11" x14ac:dyDescent="0.2">
      <c r="F427" s="14">
        <f>IF(G427=0,IF(G426=0,F426,F426+1),IF(G426=0,MAX(F$1:F426),MAX(F$1:F426)+1))</f>
        <v>13</v>
      </c>
      <c r="G427" s="14">
        <f>IF(('S-Table'!$B427-$C$2)*('S-Table'!$B427-$D$2)=0,IF(('S-Table'!$C427-$C$3)*('S-Table'!$C427-$D$3)=0,'S-Table'!A427,0),0)</f>
        <v>0</v>
      </c>
      <c r="H427" s="14">
        <f>IF(('S-Table'!$B427-$C$2)*('S-Table'!$B427-$D$2)=0,IF(('S-Table'!$C427-$C$3)*('S-Table'!$C427-$D$3)=0,'S-Table'!B427,0),0)</f>
        <v>0</v>
      </c>
      <c r="I427" s="14">
        <f>IF(('S-Table'!$B427-$C$2)*('S-Table'!$B427-$D$2)=0,IF(('S-Table'!$C427-$C$3)*('S-Table'!$C427-$D$3)=0,'S-Table'!C427,0),0)</f>
        <v>0</v>
      </c>
      <c r="J427" s="14">
        <f>IF(('S-Table'!$B427-$C$2)*('S-Table'!$B427-$D$2)=0,IF(('S-Table'!$C427-$C$3)*('S-Table'!$C427-$D$3)=0,'S-Table'!D427,0),0)</f>
        <v>0</v>
      </c>
      <c r="K427" s="14">
        <f>IF(('S-Table'!$B427-$C$2)*('S-Table'!$B427-$D$2)=0,IF(('S-Table'!$C427-$C$3)*('S-Table'!$C427-$D$3)=0,'S-Table'!E427,0),0)</f>
        <v>0</v>
      </c>
    </row>
    <row r="428" spans="6:11" x14ac:dyDescent="0.2">
      <c r="F428" s="14">
        <f>IF(G428=0,IF(G427=0,F427,F427+1),IF(G427=0,MAX(F$1:F427),MAX(F$1:F427)+1))</f>
        <v>13</v>
      </c>
      <c r="G428" s="14">
        <f>IF(('S-Table'!$B428-$C$2)*('S-Table'!$B428-$D$2)=0,IF(('S-Table'!$C428-$C$3)*('S-Table'!$C428-$D$3)=0,'S-Table'!A428,0),0)</f>
        <v>0</v>
      </c>
      <c r="H428" s="14">
        <f>IF(('S-Table'!$B428-$C$2)*('S-Table'!$B428-$D$2)=0,IF(('S-Table'!$C428-$C$3)*('S-Table'!$C428-$D$3)=0,'S-Table'!B428,0),0)</f>
        <v>0</v>
      </c>
      <c r="I428" s="14">
        <f>IF(('S-Table'!$B428-$C$2)*('S-Table'!$B428-$D$2)=0,IF(('S-Table'!$C428-$C$3)*('S-Table'!$C428-$D$3)=0,'S-Table'!C428,0),0)</f>
        <v>0</v>
      </c>
      <c r="J428" s="14">
        <f>IF(('S-Table'!$B428-$C$2)*('S-Table'!$B428-$D$2)=0,IF(('S-Table'!$C428-$C$3)*('S-Table'!$C428-$D$3)=0,'S-Table'!D428,0),0)</f>
        <v>0</v>
      </c>
      <c r="K428" s="14">
        <f>IF(('S-Table'!$B428-$C$2)*('S-Table'!$B428-$D$2)=0,IF(('S-Table'!$C428-$C$3)*('S-Table'!$C428-$D$3)=0,'S-Table'!E428,0),0)</f>
        <v>0</v>
      </c>
    </row>
    <row r="429" spans="6:11" x14ac:dyDescent="0.2">
      <c r="F429" s="14">
        <f>IF(G429=0,IF(G428=0,F428,F428+1),IF(G428=0,MAX(F$1:F428),MAX(F$1:F428)+1))</f>
        <v>13</v>
      </c>
      <c r="G429" s="14">
        <f>IF(('S-Table'!$B429-$C$2)*('S-Table'!$B429-$D$2)=0,IF(('S-Table'!$C429-$C$3)*('S-Table'!$C429-$D$3)=0,'S-Table'!A429,0),0)</f>
        <v>0</v>
      </c>
      <c r="H429" s="14">
        <f>IF(('S-Table'!$B429-$C$2)*('S-Table'!$B429-$D$2)=0,IF(('S-Table'!$C429-$C$3)*('S-Table'!$C429-$D$3)=0,'S-Table'!B429,0),0)</f>
        <v>0</v>
      </c>
      <c r="I429" s="14">
        <f>IF(('S-Table'!$B429-$C$2)*('S-Table'!$B429-$D$2)=0,IF(('S-Table'!$C429-$C$3)*('S-Table'!$C429-$D$3)=0,'S-Table'!C429,0),0)</f>
        <v>0</v>
      </c>
      <c r="J429" s="14">
        <f>IF(('S-Table'!$B429-$C$2)*('S-Table'!$B429-$D$2)=0,IF(('S-Table'!$C429-$C$3)*('S-Table'!$C429-$D$3)=0,'S-Table'!D429,0),0)</f>
        <v>0</v>
      </c>
      <c r="K429" s="14">
        <f>IF(('S-Table'!$B429-$C$2)*('S-Table'!$B429-$D$2)=0,IF(('S-Table'!$C429-$C$3)*('S-Table'!$C429-$D$3)=0,'S-Table'!E429,0),0)</f>
        <v>0</v>
      </c>
    </row>
    <row r="430" spans="6:11" x14ac:dyDescent="0.2">
      <c r="F430" s="14">
        <f>IF(G430=0,IF(G429=0,F429,F429+1),IF(G429=0,MAX(F$1:F429),MAX(F$1:F429)+1))</f>
        <v>13</v>
      </c>
      <c r="G430" s="14">
        <f>IF(('S-Table'!$B430-$C$2)*('S-Table'!$B430-$D$2)=0,IF(('S-Table'!$C430-$C$3)*('S-Table'!$C430-$D$3)=0,'S-Table'!A430,0),0)</f>
        <v>0</v>
      </c>
      <c r="H430" s="14">
        <f>IF(('S-Table'!$B430-$C$2)*('S-Table'!$B430-$D$2)=0,IF(('S-Table'!$C430-$C$3)*('S-Table'!$C430-$D$3)=0,'S-Table'!B430,0),0)</f>
        <v>0</v>
      </c>
      <c r="I430" s="14">
        <f>IF(('S-Table'!$B430-$C$2)*('S-Table'!$B430-$D$2)=0,IF(('S-Table'!$C430-$C$3)*('S-Table'!$C430-$D$3)=0,'S-Table'!C430,0),0)</f>
        <v>0</v>
      </c>
      <c r="J430" s="14">
        <f>IF(('S-Table'!$B430-$C$2)*('S-Table'!$B430-$D$2)=0,IF(('S-Table'!$C430-$C$3)*('S-Table'!$C430-$D$3)=0,'S-Table'!D430,0),0)</f>
        <v>0</v>
      </c>
      <c r="K430" s="14">
        <f>IF(('S-Table'!$B430-$C$2)*('S-Table'!$B430-$D$2)=0,IF(('S-Table'!$C430-$C$3)*('S-Table'!$C430-$D$3)=0,'S-Table'!E430,0),0)</f>
        <v>0</v>
      </c>
    </row>
    <row r="431" spans="6:11" x14ac:dyDescent="0.2">
      <c r="F431" s="14">
        <f>IF(G431=0,IF(G430=0,F430,F430+1),IF(G430=0,MAX(F$1:F430),MAX(F$1:F430)+1))</f>
        <v>13</v>
      </c>
      <c r="G431" s="14">
        <f>IF(('S-Table'!$B431-$C$2)*('S-Table'!$B431-$D$2)=0,IF(('S-Table'!$C431-$C$3)*('S-Table'!$C431-$D$3)=0,'S-Table'!A431,0),0)</f>
        <v>0</v>
      </c>
      <c r="H431" s="14">
        <f>IF(('S-Table'!$B431-$C$2)*('S-Table'!$B431-$D$2)=0,IF(('S-Table'!$C431-$C$3)*('S-Table'!$C431-$D$3)=0,'S-Table'!B431,0),0)</f>
        <v>0</v>
      </c>
      <c r="I431" s="14">
        <f>IF(('S-Table'!$B431-$C$2)*('S-Table'!$B431-$D$2)=0,IF(('S-Table'!$C431-$C$3)*('S-Table'!$C431-$D$3)=0,'S-Table'!C431,0),0)</f>
        <v>0</v>
      </c>
      <c r="J431" s="14">
        <f>IF(('S-Table'!$B431-$C$2)*('S-Table'!$B431-$D$2)=0,IF(('S-Table'!$C431-$C$3)*('S-Table'!$C431-$D$3)=0,'S-Table'!D431,0),0)</f>
        <v>0</v>
      </c>
      <c r="K431" s="14">
        <f>IF(('S-Table'!$B431-$C$2)*('S-Table'!$B431-$D$2)=0,IF(('S-Table'!$C431-$C$3)*('S-Table'!$C431-$D$3)=0,'S-Table'!E431,0),0)</f>
        <v>0</v>
      </c>
    </row>
    <row r="432" spans="6:11" x14ac:dyDescent="0.2">
      <c r="F432" s="14">
        <f>IF(G432=0,IF(G431=0,F431,F431+1),IF(G431=0,MAX(F$1:F431),MAX(F$1:F431)+1))</f>
        <v>13</v>
      </c>
      <c r="G432" s="14">
        <f>IF(('S-Table'!$B432-$C$2)*('S-Table'!$B432-$D$2)=0,IF(('S-Table'!$C432-$C$3)*('S-Table'!$C432-$D$3)=0,'S-Table'!A432,0),0)</f>
        <v>0</v>
      </c>
      <c r="H432" s="14">
        <f>IF(('S-Table'!$B432-$C$2)*('S-Table'!$B432-$D$2)=0,IF(('S-Table'!$C432-$C$3)*('S-Table'!$C432-$D$3)=0,'S-Table'!B432,0),0)</f>
        <v>0</v>
      </c>
      <c r="I432" s="14">
        <f>IF(('S-Table'!$B432-$C$2)*('S-Table'!$B432-$D$2)=0,IF(('S-Table'!$C432-$C$3)*('S-Table'!$C432-$D$3)=0,'S-Table'!C432,0),0)</f>
        <v>0</v>
      </c>
      <c r="J432" s="14">
        <f>IF(('S-Table'!$B432-$C$2)*('S-Table'!$B432-$D$2)=0,IF(('S-Table'!$C432-$C$3)*('S-Table'!$C432-$D$3)=0,'S-Table'!D432,0),0)</f>
        <v>0</v>
      </c>
      <c r="K432" s="14">
        <f>IF(('S-Table'!$B432-$C$2)*('S-Table'!$B432-$D$2)=0,IF(('S-Table'!$C432-$C$3)*('S-Table'!$C432-$D$3)=0,'S-Table'!E432,0),0)</f>
        <v>0</v>
      </c>
    </row>
    <row r="433" spans="6:11" x14ac:dyDescent="0.2">
      <c r="F433" s="14">
        <f>IF(G433=0,IF(G432=0,F432,F432+1),IF(G432=0,MAX(F$1:F432),MAX(F$1:F432)+1))</f>
        <v>13</v>
      </c>
      <c r="G433" s="14">
        <f>IF(('S-Table'!$B433-$C$2)*('S-Table'!$B433-$D$2)=0,IF(('S-Table'!$C433-$C$3)*('S-Table'!$C433-$D$3)=0,'S-Table'!A433,0),0)</f>
        <v>0</v>
      </c>
      <c r="H433" s="14">
        <f>IF(('S-Table'!$B433-$C$2)*('S-Table'!$B433-$D$2)=0,IF(('S-Table'!$C433-$C$3)*('S-Table'!$C433-$D$3)=0,'S-Table'!B433,0),0)</f>
        <v>0</v>
      </c>
      <c r="I433" s="14">
        <f>IF(('S-Table'!$B433-$C$2)*('S-Table'!$B433-$D$2)=0,IF(('S-Table'!$C433-$C$3)*('S-Table'!$C433-$D$3)=0,'S-Table'!C433,0),0)</f>
        <v>0</v>
      </c>
      <c r="J433" s="14">
        <f>IF(('S-Table'!$B433-$C$2)*('S-Table'!$B433-$D$2)=0,IF(('S-Table'!$C433-$C$3)*('S-Table'!$C433-$D$3)=0,'S-Table'!D433,0),0)</f>
        <v>0</v>
      </c>
      <c r="K433" s="14">
        <f>IF(('S-Table'!$B433-$C$2)*('S-Table'!$B433-$D$2)=0,IF(('S-Table'!$C433-$C$3)*('S-Table'!$C433-$D$3)=0,'S-Table'!E433,0),0)</f>
        <v>0</v>
      </c>
    </row>
    <row r="434" spans="6:11" x14ac:dyDescent="0.2">
      <c r="F434" s="14">
        <f>IF(G434=0,IF(G433=0,F433,F433+1),IF(G433=0,MAX(F$1:F433),MAX(F$1:F433)+1))</f>
        <v>13</v>
      </c>
      <c r="G434" s="14">
        <f>IF(('S-Table'!$B434-$C$2)*('S-Table'!$B434-$D$2)=0,IF(('S-Table'!$C434-$C$3)*('S-Table'!$C434-$D$3)=0,'S-Table'!A434,0),0)</f>
        <v>0</v>
      </c>
      <c r="H434" s="14">
        <f>IF(('S-Table'!$B434-$C$2)*('S-Table'!$B434-$D$2)=0,IF(('S-Table'!$C434-$C$3)*('S-Table'!$C434-$D$3)=0,'S-Table'!B434,0),0)</f>
        <v>0</v>
      </c>
      <c r="I434" s="14">
        <f>IF(('S-Table'!$B434-$C$2)*('S-Table'!$B434-$D$2)=0,IF(('S-Table'!$C434-$C$3)*('S-Table'!$C434-$D$3)=0,'S-Table'!C434,0),0)</f>
        <v>0</v>
      </c>
      <c r="J434" s="14">
        <f>IF(('S-Table'!$B434-$C$2)*('S-Table'!$B434-$D$2)=0,IF(('S-Table'!$C434-$C$3)*('S-Table'!$C434-$D$3)=0,'S-Table'!D434,0),0)</f>
        <v>0</v>
      </c>
      <c r="K434" s="14">
        <f>IF(('S-Table'!$B434-$C$2)*('S-Table'!$B434-$D$2)=0,IF(('S-Table'!$C434-$C$3)*('S-Table'!$C434-$D$3)=0,'S-Table'!E434,0),0)</f>
        <v>0</v>
      </c>
    </row>
    <row r="435" spans="6:11" x14ac:dyDescent="0.2">
      <c r="F435" s="14">
        <f>IF(G435=0,IF(G434=0,F434,F434+1),IF(G434=0,MAX(F$1:F434),MAX(F$1:F434)+1))</f>
        <v>13</v>
      </c>
      <c r="G435" s="14">
        <f>IF(('S-Table'!$B435-$C$2)*('S-Table'!$B435-$D$2)=0,IF(('S-Table'!$C435-$C$3)*('S-Table'!$C435-$D$3)=0,'S-Table'!A435,0),0)</f>
        <v>0</v>
      </c>
      <c r="H435" s="14">
        <f>IF(('S-Table'!$B435-$C$2)*('S-Table'!$B435-$D$2)=0,IF(('S-Table'!$C435-$C$3)*('S-Table'!$C435-$D$3)=0,'S-Table'!B435,0),0)</f>
        <v>0</v>
      </c>
      <c r="I435" s="14">
        <f>IF(('S-Table'!$B435-$C$2)*('S-Table'!$B435-$D$2)=0,IF(('S-Table'!$C435-$C$3)*('S-Table'!$C435-$D$3)=0,'S-Table'!C435,0),0)</f>
        <v>0</v>
      </c>
      <c r="J435" s="14">
        <f>IF(('S-Table'!$B435-$C$2)*('S-Table'!$B435-$D$2)=0,IF(('S-Table'!$C435-$C$3)*('S-Table'!$C435-$D$3)=0,'S-Table'!D435,0),0)</f>
        <v>0</v>
      </c>
      <c r="K435" s="14">
        <f>IF(('S-Table'!$B435-$C$2)*('S-Table'!$B435-$D$2)=0,IF(('S-Table'!$C435-$C$3)*('S-Table'!$C435-$D$3)=0,'S-Table'!E435,0),0)</f>
        <v>0</v>
      </c>
    </row>
    <row r="436" spans="6:11" x14ac:dyDescent="0.2">
      <c r="F436" s="14">
        <f>IF(G436=0,IF(G435=0,F435,F435+1),IF(G435=0,MAX(F$1:F435),MAX(F$1:F435)+1))</f>
        <v>13</v>
      </c>
      <c r="G436" s="14">
        <f>IF(('S-Table'!$B436-$C$2)*('S-Table'!$B436-$D$2)=0,IF(('S-Table'!$C436-$C$3)*('S-Table'!$C436-$D$3)=0,'S-Table'!A436,0),0)</f>
        <v>0</v>
      </c>
      <c r="H436" s="14">
        <f>IF(('S-Table'!$B436-$C$2)*('S-Table'!$B436-$D$2)=0,IF(('S-Table'!$C436-$C$3)*('S-Table'!$C436-$D$3)=0,'S-Table'!B436,0),0)</f>
        <v>0</v>
      </c>
      <c r="I436" s="14">
        <f>IF(('S-Table'!$B436-$C$2)*('S-Table'!$B436-$D$2)=0,IF(('S-Table'!$C436-$C$3)*('S-Table'!$C436-$D$3)=0,'S-Table'!C436,0),0)</f>
        <v>0</v>
      </c>
      <c r="J436" s="14">
        <f>IF(('S-Table'!$B436-$C$2)*('S-Table'!$B436-$D$2)=0,IF(('S-Table'!$C436-$C$3)*('S-Table'!$C436-$D$3)=0,'S-Table'!D436,0),0)</f>
        <v>0</v>
      </c>
      <c r="K436" s="14">
        <f>IF(('S-Table'!$B436-$C$2)*('S-Table'!$B436-$D$2)=0,IF(('S-Table'!$C436-$C$3)*('S-Table'!$C436-$D$3)=0,'S-Table'!E436,0),0)</f>
        <v>0</v>
      </c>
    </row>
    <row r="437" spans="6:11" x14ac:dyDescent="0.2">
      <c r="F437" s="14">
        <f>IF(G437=0,IF(G436=0,F436,F436+1),IF(G436=0,MAX(F$1:F436),MAX(F$1:F436)+1))</f>
        <v>13</v>
      </c>
      <c r="G437" s="14">
        <f>IF(('S-Table'!$B437-$C$2)*('S-Table'!$B437-$D$2)=0,IF(('S-Table'!$C437-$C$3)*('S-Table'!$C437-$D$3)=0,'S-Table'!A437,0),0)</f>
        <v>0</v>
      </c>
      <c r="H437" s="14">
        <f>IF(('S-Table'!$B437-$C$2)*('S-Table'!$B437-$D$2)=0,IF(('S-Table'!$C437-$C$3)*('S-Table'!$C437-$D$3)=0,'S-Table'!B437,0),0)</f>
        <v>0</v>
      </c>
      <c r="I437" s="14">
        <f>IF(('S-Table'!$B437-$C$2)*('S-Table'!$B437-$D$2)=0,IF(('S-Table'!$C437-$C$3)*('S-Table'!$C437-$D$3)=0,'S-Table'!C437,0),0)</f>
        <v>0</v>
      </c>
      <c r="J437" s="14">
        <f>IF(('S-Table'!$B437-$C$2)*('S-Table'!$B437-$D$2)=0,IF(('S-Table'!$C437-$C$3)*('S-Table'!$C437-$D$3)=0,'S-Table'!D437,0),0)</f>
        <v>0</v>
      </c>
      <c r="K437" s="14">
        <f>IF(('S-Table'!$B437-$C$2)*('S-Table'!$B437-$D$2)=0,IF(('S-Table'!$C437-$C$3)*('S-Table'!$C437-$D$3)=0,'S-Table'!E437,0),0)</f>
        <v>0</v>
      </c>
    </row>
    <row r="438" spans="6:11" x14ac:dyDescent="0.2">
      <c r="F438" s="14">
        <f>IF(G438=0,IF(G437=0,F437,F437+1),IF(G437=0,MAX(F$1:F437),MAX(F$1:F437)+1))</f>
        <v>13</v>
      </c>
      <c r="G438" s="14">
        <f>IF(('S-Table'!$B438-$C$2)*('S-Table'!$B438-$D$2)=0,IF(('S-Table'!$C438-$C$3)*('S-Table'!$C438-$D$3)=0,'S-Table'!A438,0),0)</f>
        <v>0</v>
      </c>
      <c r="H438" s="14">
        <f>IF(('S-Table'!$B438-$C$2)*('S-Table'!$B438-$D$2)=0,IF(('S-Table'!$C438-$C$3)*('S-Table'!$C438-$D$3)=0,'S-Table'!B438,0),0)</f>
        <v>0</v>
      </c>
      <c r="I438" s="14">
        <f>IF(('S-Table'!$B438-$C$2)*('S-Table'!$B438-$D$2)=0,IF(('S-Table'!$C438-$C$3)*('S-Table'!$C438-$D$3)=0,'S-Table'!C438,0),0)</f>
        <v>0</v>
      </c>
      <c r="J438" s="14">
        <f>IF(('S-Table'!$B438-$C$2)*('S-Table'!$B438-$D$2)=0,IF(('S-Table'!$C438-$C$3)*('S-Table'!$C438-$D$3)=0,'S-Table'!D438,0),0)</f>
        <v>0</v>
      </c>
      <c r="K438" s="14">
        <f>IF(('S-Table'!$B438-$C$2)*('S-Table'!$B438-$D$2)=0,IF(('S-Table'!$C438-$C$3)*('S-Table'!$C438-$D$3)=0,'S-Table'!E438,0),0)</f>
        <v>0</v>
      </c>
    </row>
    <row r="439" spans="6:11" x14ac:dyDescent="0.2">
      <c r="F439" s="14">
        <f>IF(G439=0,IF(G438=0,F438,F438+1),IF(G438=0,MAX(F$1:F438),MAX(F$1:F438)+1))</f>
        <v>13</v>
      </c>
      <c r="G439" s="14">
        <f>IF(('S-Table'!$B439-$C$2)*('S-Table'!$B439-$D$2)=0,IF(('S-Table'!$C439-$C$3)*('S-Table'!$C439-$D$3)=0,'S-Table'!A439,0),0)</f>
        <v>0</v>
      </c>
      <c r="H439" s="14">
        <f>IF(('S-Table'!$B439-$C$2)*('S-Table'!$B439-$D$2)=0,IF(('S-Table'!$C439-$C$3)*('S-Table'!$C439-$D$3)=0,'S-Table'!B439,0),0)</f>
        <v>0</v>
      </c>
      <c r="I439" s="14">
        <f>IF(('S-Table'!$B439-$C$2)*('S-Table'!$B439-$D$2)=0,IF(('S-Table'!$C439-$C$3)*('S-Table'!$C439-$D$3)=0,'S-Table'!C439,0),0)</f>
        <v>0</v>
      </c>
      <c r="J439" s="14">
        <f>IF(('S-Table'!$B439-$C$2)*('S-Table'!$B439-$D$2)=0,IF(('S-Table'!$C439-$C$3)*('S-Table'!$C439-$D$3)=0,'S-Table'!D439,0),0)</f>
        <v>0</v>
      </c>
      <c r="K439" s="14">
        <f>IF(('S-Table'!$B439-$C$2)*('S-Table'!$B439-$D$2)=0,IF(('S-Table'!$C439-$C$3)*('S-Table'!$C439-$D$3)=0,'S-Table'!E439,0),0)</f>
        <v>0</v>
      </c>
    </row>
    <row r="440" spans="6:11" x14ac:dyDescent="0.2">
      <c r="F440" s="14">
        <f>IF(G440=0,IF(G439=0,F439,F439+1),IF(G439=0,MAX(F$1:F439),MAX(F$1:F439)+1))</f>
        <v>13</v>
      </c>
      <c r="G440" s="14">
        <f>IF(('S-Table'!$B440-$C$2)*('S-Table'!$B440-$D$2)=0,IF(('S-Table'!$C440-$C$3)*('S-Table'!$C440-$D$3)=0,'S-Table'!A440,0),0)</f>
        <v>0</v>
      </c>
      <c r="H440" s="14">
        <f>IF(('S-Table'!$B440-$C$2)*('S-Table'!$B440-$D$2)=0,IF(('S-Table'!$C440-$C$3)*('S-Table'!$C440-$D$3)=0,'S-Table'!B440,0),0)</f>
        <v>0</v>
      </c>
      <c r="I440" s="14">
        <f>IF(('S-Table'!$B440-$C$2)*('S-Table'!$B440-$D$2)=0,IF(('S-Table'!$C440-$C$3)*('S-Table'!$C440-$D$3)=0,'S-Table'!C440,0),0)</f>
        <v>0</v>
      </c>
      <c r="J440" s="14">
        <f>IF(('S-Table'!$B440-$C$2)*('S-Table'!$B440-$D$2)=0,IF(('S-Table'!$C440-$C$3)*('S-Table'!$C440-$D$3)=0,'S-Table'!D440,0),0)</f>
        <v>0</v>
      </c>
      <c r="K440" s="14">
        <f>IF(('S-Table'!$B440-$C$2)*('S-Table'!$B440-$D$2)=0,IF(('S-Table'!$C440-$C$3)*('S-Table'!$C440-$D$3)=0,'S-Table'!E440,0),0)</f>
        <v>0</v>
      </c>
    </row>
    <row r="441" spans="6:11" x14ac:dyDescent="0.2">
      <c r="F441" s="14">
        <f>IF(G441=0,IF(G440=0,F440,F440+1),IF(G440=0,MAX(F$1:F440),MAX(F$1:F440)+1))</f>
        <v>13</v>
      </c>
      <c r="G441" s="14">
        <f>IF(('S-Table'!$B441-$C$2)*('S-Table'!$B441-$D$2)=0,IF(('S-Table'!$C441-$C$3)*('S-Table'!$C441-$D$3)=0,'S-Table'!A441,0),0)</f>
        <v>0</v>
      </c>
      <c r="H441" s="14">
        <f>IF(('S-Table'!$B441-$C$2)*('S-Table'!$B441-$D$2)=0,IF(('S-Table'!$C441-$C$3)*('S-Table'!$C441-$D$3)=0,'S-Table'!B441,0),0)</f>
        <v>0</v>
      </c>
      <c r="I441" s="14">
        <f>IF(('S-Table'!$B441-$C$2)*('S-Table'!$B441-$D$2)=0,IF(('S-Table'!$C441-$C$3)*('S-Table'!$C441-$D$3)=0,'S-Table'!C441,0),0)</f>
        <v>0</v>
      </c>
      <c r="J441" s="14">
        <f>IF(('S-Table'!$B441-$C$2)*('S-Table'!$B441-$D$2)=0,IF(('S-Table'!$C441-$C$3)*('S-Table'!$C441-$D$3)=0,'S-Table'!D441,0),0)</f>
        <v>0</v>
      </c>
      <c r="K441" s="14">
        <f>IF(('S-Table'!$B441-$C$2)*('S-Table'!$B441-$D$2)=0,IF(('S-Table'!$C441-$C$3)*('S-Table'!$C441-$D$3)=0,'S-Table'!E441,0),0)</f>
        <v>0</v>
      </c>
    </row>
    <row r="442" spans="6:11" x14ac:dyDescent="0.2">
      <c r="F442" s="14">
        <f>IF(G442=0,IF(G441=0,F441,F441+1),IF(G441=0,MAX(F$1:F441),MAX(F$1:F441)+1))</f>
        <v>13</v>
      </c>
      <c r="G442" s="14">
        <f>IF(('S-Table'!$B442-$C$2)*('S-Table'!$B442-$D$2)=0,IF(('S-Table'!$C442-$C$3)*('S-Table'!$C442-$D$3)=0,'S-Table'!A442,0),0)</f>
        <v>0</v>
      </c>
      <c r="H442" s="14">
        <f>IF(('S-Table'!$B442-$C$2)*('S-Table'!$B442-$D$2)=0,IF(('S-Table'!$C442-$C$3)*('S-Table'!$C442-$D$3)=0,'S-Table'!B442,0),0)</f>
        <v>0</v>
      </c>
      <c r="I442" s="14">
        <f>IF(('S-Table'!$B442-$C$2)*('S-Table'!$B442-$D$2)=0,IF(('S-Table'!$C442-$C$3)*('S-Table'!$C442-$D$3)=0,'S-Table'!C442,0),0)</f>
        <v>0</v>
      </c>
      <c r="J442" s="14">
        <f>IF(('S-Table'!$B442-$C$2)*('S-Table'!$B442-$D$2)=0,IF(('S-Table'!$C442-$C$3)*('S-Table'!$C442-$D$3)=0,'S-Table'!D442,0),0)</f>
        <v>0</v>
      </c>
      <c r="K442" s="14">
        <f>IF(('S-Table'!$B442-$C$2)*('S-Table'!$B442-$D$2)=0,IF(('S-Table'!$C442-$C$3)*('S-Table'!$C442-$D$3)=0,'S-Table'!E442,0),0)</f>
        <v>0</v>
      </c>
    </row>
    <row r="443" spans="6:11" x14ac:dyDescent="0.2">
      <c r="F443" s="14">
        <f>IF(G443=0,IF(G442=0,F442,F442+1),IF(G442=0,MAX(F$1:F442),MAX(F$1:F442)+1))</f>
        <v>13</v>
      </c>
      <c r="G443" s="14">
        <f>IF(('S-Table'!$B443-$C$2)*('S-Table'!$B443-$D$2)=0,IF(('S-Table'!$C443-$C$3)*('S-Table'!$C443-$D$3)=0,'S-Table'!A443,0),0)</f>
        <v>0</v>
      </c>
      <c r="H443" s="14">
        <f>IF(('S-Table'!$B443-$C$2)*('S-Table'!$B443-$D$2)=0,IF(('S-Table'!$C443-$C$3)*('S-Table'!$C443-$D$3)=0,'S-Table'!B443,0),0)</f>
        <v>0</v>
      </c>
      <c r="I443" s="14">
        <f>IF(('S-Table'!$B443-$C$2)*('S-Table'!$B443-$D$2)=0,IF(('S-Table'!$C443-$C$3)*('S-Table'!$C443-$D$3)=0,'S-Table'!C443,0),0)</f>
        <v>0</v>
      </c>
      <c r="J443" s="14">
        <f>IF(('S-Table'!$B443-$C$2)*('S-Table'!$B443-$D$2)=0,IF(('S-Table'!$C443-$C$3)*('S-Table'!$C443-$D$3)=0,'S-Table'!D443,0),0)</f>
        <v>0</v>
      </c>
      <c r="K443" s="14">
        <f>IF(('S-Table'!$B443-$C$2)*('S-Table'!$B443-$D$2)=0,IF(('S-Table'!$C443-$C$3)*('S-Table'!$C443-$D$3)=0,'S-Table'!E443,0),0)</f>
        <v>0</v>
      </c>
    </row>
    <row r="444" spans="6:11" x14ac:dyDescent="0.2">
      <c r="F444" s="14">
        <f>IF(G444=0,IF(G443=0,F443,F443+1),IF(G443=0,MAX(F$1:F443),MAX(F$1:F443)+1))</f>
        <v>13</v>
      </c>
      <c r="G444" s="14">
        <f>IF(('S-Table'!$B444-$C$2)*('S-Table'!$B444-$D$2)=0,IF(('S-Table'!$C444-$C$3)*('S-Table'!$C444-$D$3)=0,'S-Table'!A444,0),0)</f>
        <v>0</v>
      </c>
      <c r="H444" s="14">
        <f>IF(('S-Table'!$B444-$C$2)*('S-Table'!$B444-$D$2)=0,IF(('S-Table'!$C444-$C$3)*('S-Table'!$C444-$D$3)=0,'S-Table'!B444,0),0)</f>
        <v>0</v>
      </c>
      <c r="I444" s="14">
        <f>IF(('S-Table'!$B444-$C$2)*('S-Table'!$B444-$D$2)=0,IF(('S-Table'!$C444-$C$3)*('S-Table'!$C444-$D$3)=0,'S-Table'!C444,0),0)</f>
        <v>0</v>
      </c>
      <c r="J444" s="14">
        <f>IF(('S-Table'!$B444-$C$2)*('S-Table'!$B444-$D$2)=0,IF(('S-Table'!$C444-$C$3)*('S-Table'!$C444-$D$3)=0,'S-Table'!D444,0),0)</f>
        <v>0</v>
      </c>
      <c r="K444" s="14">
        <f>IF(('S-Table'!$B444-$C$2)*('S-Table'!$B444-$D$2)=0,IF(('S-Table'!$C444-$C$3)*('S-Table'!$C444-$D$3)=0,'S-Table'!E444,0),0)</f>
        <v>0</v>
      </c>
    </row>
    <row r="445" spans="6:11" x14ac:dyDescent="0.2">
      <c r="F445" s="14">
        <f>IF(G445=0,IF(G444=0,F444,F444+1),IF(G444=0,MAX(F$1:F444),MAX(F$1:F444)+1))</f>
        <v>13</v>
      </c>
      <c r="G445" s="14">
        <f>IF(('S-Table'!$B445-$C$2)*('S-Table'!$B445-$D$2)=0,IF(('S-Table'!$C445-$C$3)*('S-Table'!$C445-$D$3)=0,'S-Table'!A445,0),0)</f>
        <v>0</v>
      </c>
      <c r="H445" s="14">
        <f>IF(('S-Table'!$B445-$C$2)*('S-Table'!$B445-$D$2)=0,IF(('S-Table'!$C445-$C$3)*('S-Table'!$C445-$D$3)=0,'S-Table'!B445,0),0)</f>
        <v>0</v>
      </c>
      <c r="I445" s="14">
        <f>IF(('S-Table'!$B445-$C$2)*('S-Table'!$B445-$D$2)=0,IF(('S-Table'!$C445-$C$3)*('S-Table'!$C445-$D$3)=0,'S-Table'!C445,0),0)</f>
        <v>0</v>
      </c>
      <c r="J445" s="14">
        <f>IF(('S-Table'!$B445-$C$2)*('S-Table'!$B445-$D$2)=0,IF(('S-Table'!$C445-$C$3)*('S-Table'!$C445-$D$3)=0,'S-Table'!D445,0),0)</f>
        <v>0</v>
      </c>
      <c r="K445" s="14">
        <f>IF(('S-Table'!$B445-$C$2)*('S-Table'!$B445-$D$2)=0,IF(('S-Table'!$C445-$C$3)*('S-Table'!$C445-$D$3)=0,'S-Table'!E445,0),0)</f>
        <v>0</v>
      </c>
    </row>
    <row r="446" spans="6:11" x14ac:dyDescent="0.2">
      <c r="F446" s="14">
        <f>IF(G446=0,IF(G445=0,F445,F445+1),IF(G445=0,MAX(F$1:F445),MAX(F$1:F445)+1))</f>
        <v>13</v>
      </c>
      <c r="G446" s="14">
        <f>IF(('S-Table'!$B446-$C$2)*('S-Table'!$B446-$D$2)=0,IF(('S-Table'!$C446-$C$3)*('S-Table'!$C446-$D$3)=0,'S-Table'!A446,0),0)</f>
        <v>0</v>
      </c>
      <c r="H446" s="14">
        <f>IF(('S-Table'!$B446-$C$2)*('S-Table'!$B446-$D$2)=0,IF(('S-Table'!$C446-$C$3)*('S-Table'!$C446-$D$3)=0,'S-Table'!B446,0),0)</f>
        <v>0</v>
      </c>
      <c r="I446" s="14">
        <f>IF(('S-Table'!$B446-$C$2)*('S-Table'!$B446-$D$2)=0,IF(('S-Table'!$C446-$C$3)*('S-Table'!$C446-$D$3)=0,'S-Table'!C446,0),0)</f>
        <v>0</v>
      </c>
      <c r="J446" s="14">
        <f>IF(('S-Table'!$B446-$C$2)*('S-Table'!$B446-$D$2)=0,IF(('S-Table'!$C446-$C$3)*('S-Table'!$C446-$D$3)=0,'S-Table'!D446,0),0)</f>
        <v>0</v>
      </c>
      <c r="K446" s="14">
        <f>IF(('S-Table'!$B446-$C$2)*('S-Table'!$B446-$D$2)=0,IF(('S-Table'!$C446-$C$3)*('S-Table'!$C446-$D$3)=0,'S-Table'!E446,0),0)</f>
        <v>0</v>
      </c>
    </row>
    <row r="447" spans="6:11" x14ac:dyDescent="0.2">
      <c r="F447" s="14">
        <f>IF(G447=0,IF(G446=0,F446,F446+1),IF(G446=0,MAX(F$1:F446),MAX(F$1:F446)+1))</f>
        <v>13</v>
      </c>
      <c r="G447" s="14">
        <f>IF(('S-Table'!$B447-$C$2)*('S-Table'!$B447-$D$2)=0,IF(('S-Table'!$C447-$C$3)*('S-Table'!$C447-$D$3)=0,'S-Table'!A447,0),0)</f>
        <v>0</v>
      </c>
      <c r="H447" s="14">
        <f>IF(('S-Table'!$B447-$C$2)*('S-Table'!$B447-$D$2)=0,IF(('S-Table'!$C447-$C$3)*('S-Table'!$C447-$D$3)=0,'S-Table'!B447,0),0)</f>
        <v>0</v>
      </c>
      <c r="I447" s="14">
        <f>IF(('S-Table'!$B447-$C$2)*('S-Table'!$B447-$D$2)=0,IF(('S-Table'!$C447-$C$3)*('S-Table'!$C447-$D$3)=0,'S-Table'!C447,0),0)</f>
        <v>0</v>
      </c>
      <c r="J447" s="14">
        <f>IF(('S-Table'!$B447-$C$2)*('S-Table'!$B447-$D$2)=0,IF(('S-Table'!$C447-$C$3)*('S-Table'!$C447-$D$3)=0,'S-Table'!D447,0),0)</f>
        <v>0</v>
      </c>
      <c r="K447" s="14">
        <f>IF(('S-Table'!$B447-$C$2)*('S-Table'!$B447-$D$2)=0,IF(('S-Table'!$C447-$C$3)*('S-Table'!$C447-$D$3)=0,'S-Table'!E447,0),0)</f>
        <v>0</v>
      </c>
    </row>
    <row r="448" spans="6:11" x14ac:dyDescent="0.2">
      <c r="F448" s="14">
        <f>IF(G448=0,IF(G447=0,F447,F447+1),IF(G447=0,MAX(F$1:F447),MAX(F$1:F447)+1))</f>
        <v>13</v>
      </c>
      <c r="G448" s="14">
        <f>IF(('S-Table'!$B448-$C$2)*('S-Table'!$B448-$D$2)=0,IF(('S-Table'!$C448-$C$3)*('S-Table'!$C448-$D$3)=0,'S-Table'!A448,0),0)</f>
        <v>0</v>
      </c>
      <c r="H448" s="14">
        <f>IF(('S-Table'!$B448-$C$2)*('S-Table'!$B448-$D$2)=0,IF(('S-Table'!$C448-$C$3)*('S-Table'!$C448-$D$3)=0,'S-Table'!B448,0),0)</f>
        <v>0</v>
      </c>
      <c r="I448" s="14">
        <f>IF(('S-Table'!$B448-$C$2)*('S-Table'!$B448-$D$2)=0,IF(('S-Table'!$C448-$C$3)*('S-Table'!$C448-$D$3)=0,'S-Table'!C448,0),0)</f>
        <v>0</v>
      </c>
      <c r="J448" s="14">
        <f>IF(('S-Table'!$B448-$C$2)*('S-Table'!$B448-$D$2)=0,IF(('S-Table'!$C448-$C$3)*('S-Table'!$C448-$D$3)=0,'S-Table'!D448,0),0)</f>
        <v>0</v>
      </c>
      <c r="K448" s="14">
        <f>IF(('S-Table'!$B448-$C$2)*('S-Table'!$B448-$D$2)=0,IF(('S-Table'!$C448-$C$3)*('S-Table'!$C448-$D$3)=0,'S-Table'!E448,0),0)</f>
        <v>0</v>
      </c>
    </row>
    <row r="449" spans="6:11" x14ac:dyDescent="0.2">
      <c r="F449" s="14">
        <f>IF(G449=0,IF(G448=0,F448,F448+1),IF(G448=0,MAX(F$1:F448),MAX(F$1:F448)+1))</f>
        <v>13</v>
      </c>
      <c r="G449" s="14">
        <f>IF(('S-Table'!$B449-$C$2)*('S-Table'!$B449-$D$2)=0,IF(('S-Table'!$C449-$C$3)*('S-Table'!$C449-$D$3)=0,'S-Table'!A449,0),0)</f>
        <v>0</v>
      </c>
      <c r="H449" s="14">
        <f>IF(('S-Table'!$B449-$C$2)*('S-Table'!$B449-$D$2)=0,IF(('S-Table'!$C449-$C$3)*('S-Table'!$C449-$D$3)=0,'S-Table'!B449,0),0)</f>
        <v>0</v>
      </c>
      <c r="I449" s="14">
        <f>IF(('S-Table'!$B449-$C$2)*('S-Table'!$B449-$D$2)=0,IF(('S-Table'!$C449-$C$3)*('S-Table'!$C449-$D$3)=0,'S-Table'!C449,0),0)</f>
        <v>0</v>
      </c>
      <c r="J449" s="14">
        <f>IF(('S-Table'!$B449-$C$2)*('S-Table'!$B449-$D$2)=0,IF(('S-Table'!$C449-$C$3)*('S-Table'!$C449-$D$3)=0,'S-Table'!D449,0),0)</f>
        <v>0</v>
      </c>
      <c r="K449" s="14">
        <f>IF(('S-Table'!$B449-$C$2)*('S-Table'!$B449-$D$2)=0,IF(('S-Table'!$C449-$C$3)*('S-Table'!$C449-$D$3)=0,'S-Table'!E449,0),0)</f>
        <v>0</v>
      </c>
    </row>
    <row r="450" spans="6:11" x14ac:dyDescent="0.2">
      <c r="F450" s="14">
        <f>IF(G450=0,IF(G449=0,F449,F449+1),IF(G449=0,MAX(F$1:F449),MAX(F$1:F449)+1))</f>
        <v>13</v>
      </c>
      <c r="G450" s="14">
        <f>IF(('S-Table'!$B450-$C$2)*('S-Table'!$B450-$D$2)=0,IF(('S-Table'!$C450-$C$3)*('S-Table'!$C450-$D$3)=0,'S-Table'!A450,0),0)</f>
        <v>0</v>
      </c>
      <c r="H450" s="14">
        <f>IF(('S-Table'!$B450-$C$2)*('S-Table'!$B450-$D$2)=0,IF(('S-Table'!$C450-$C$3)*('S-Table'!$C450-$D$3)=0,'S-Table'!B450,0),0)</f>
        <v>0</v>
      </c>
      <c r="I450" s="14">
        <f>IF(('S-Table'!$B450-$C$2)*('S-Table'!$B450-$D$2)=0,IF(('S-Table'!$C450-$C$3)*('S-Table'!$C450-$D$3)=0,'S-Table'!C450,0),0)</f>
        <v>0</v>
      </c>
      <c r="J450" s="14">
        <f>IF(('S-Table'!$B450-$C$2)*('S-Table'!$B450-$D$2)=0,IF(('S-Table'!$C450-$C$3)*('S-Table'!$C450-$D$3)=0,'S-Table'!D450,0),0)</f>
        <v>0</v>
      </c>
      <c r="K450" s="14">
        <f>IF(('S-Table'!$B450-$C$2)*('S-Table'!$B450-$D$2)=0,IF(('S-Table'!$C450-$C$3)*('S-Table'!$C450-$D$3)=0,'S-Table'!E450,0),0)</f>
        <v>0</v>
      </c>
    </row>
    <row r="451" spans="6:11" x14ac:dyDescent="0.2">
      <c r="F451" s="14">
        <f>IF(G451=0,IF(G450=0,F450,F450+1),IF(G450=0,MAX(F$1:F450),MAX(F$1:F450)+1))</f>
        <v>13</v>
      </c>
      <c r="G451" s="14">
        <f>IF(('S-Table'!$B451-$C$2)*('S-Table'!$B451-$D$2)=0,IF(('S-Table'!$C451-$C$3)*('S-Table'!$C451-$D$3)=0,'S-Table'!A451,0),0)</f>
        <v>0</v>
      </c>
      <c r="H451" s="14">
        <f>IF(('S-Table'!$B451-$C$2)*('S-Table'!$B451-$D$2)=0,IF(('S-Table'!$C451-$C$3)*('S-Table'!$C451-$D$3)=0,'S-Table'!B451,0),0)</f>
        <v>0</v>
      </c>
      <c r="I451" s="14">
        <f>IF(('S-Table'!$B451-$C$2)*('S-Table'!$B451-$D$2)=0,IF(('S-Table'!$C451-$C$3)*('S-Table'!$C451-$D$3)=0,'S-Table'!C451,0),0)</f>
        <v>0</v>
      </c>
      <c r="J451" s="14">
        <f>IF(('S-Table'!$B451-$C$2)*('S-Table'!$B451-$D$2)=0,IF(('S-Table'!$C451-$C$3)*('S-Table'!$C451-$D$3)=0,'S-Table'!D451,0),0)</f>
        <v>0</v>
      </c>
      <c r="K451" s="14">
        <f>IF(('S-Table'!$B451-$C$2)*('S-Table'!$B451-$D$2)=0,IF(('S-Table'!$C451-$C$3)*('S-Table'!$C451-$D$3)=0,'S-Table'!E451,0),0)</f>
        <v>0</v>
      </c>
    </row>
    <row r="452" spans="6:11" x14ac:dyDescent="0.2">
      <c r="F452" s="14">
        <f>IF(G452=0,IF(G451=0,F451,F451+1),IF(G451=0,MAX(F$1:F451),MAX(F$1:F451)+1))</f>
        <v>13</v>
      </c>
      <c r="G452" s="14">
        <f>IF(('S-Table'!$B452-$C$2)*('S-Table'!$B452-$D$2)=0,IF(('S-Table'!$C452-$C$3)*('S-Table'!$C452-$D$3)=0,'S-Table'!A452,0),0)</f>
        <v>0</v>
      </c>
      <c r="H452" s="14">
        <f>IF(('S-Table'!$B452-$C$2)*('S-Table'!$B452-$D$2)=0,IF(('S-Table'!$C452-$C$3)*('S-Table'!$C452-$D$3)=0,'S-Table'!B452,0),0)</f>
        <v>0</v>
      </c>
      <c r="I452" s="14">
        <f>IF(('S-Table'!$B452-$C$2)*('S-Table'!$B452-$D$2)=0,IF(('S-Table'!$C452-$C$3)*('S-Table'!$C452-$D$3)=0,'S-Table'!C452,0),0)</f>
        <v>0</v>
      </c>
      <c r="J452" s="14">
        <f>IF(('S-Table'!$B452-$C$2)*('S-Table'!$B452-$D$2)=0,IF(('S-Table'!$C452-$C$3)*('S-Table'!$C452-$D$3)=0,'S-Table'!D452,0),0)</f>
        <v>0</v>
      </c>
      <c r="K452" s="14">
        <f>IF(('S-Table'!$B452-$C$2)*('S-Table'!$B452-$D$2)=0,IF(('S-Table'!$C452-$C$3)*('S-Table'!$C452-$D$3)=0,'S-Table'!E452,0),0)</f>
        <v>0</v>
      </c>
    </row>
    <row r="453" spans="6:11" x14ac:dyDescent="0.2">
      <c r="F453" s="14">
        <f>IF(G453=0,IF(G452=0,F452,F452+1),IF(G452=0,MAX(F$1:F452),MAX(F$1:F452)+1))</f>
        <v>13</v>
      </c>
      <c r="G453" s="14">
        <f>IF(('S-Table'!$B453-$C$2)*('S-Table'!$B453-$D$2)=0,IF(('S-Table'!$C453-$C$3)*('S-Table'!$C453-$D$3)=0,'S-Table'!A453,0),0)</f>
        <v>0</v>
      </c>
      <c r="H453" s="14">
        <f>IF(('S-Table'!$B453-$C$2)*('S-Table'!$B453-$D$2)=0,IF(('S-Table'!$C453-$C$3)*('S-Table'!$C453-$D$3)=0,'S-Table'!B453,0),0)</f>
        <v>0</v>
      </c>
      <c r="I453" s="14">
        <f>IF(('S-Table'!$B453-$C$2)*('S-Table'!$B453-$D$2)=0,IF(('S-Table'!$C453-$C$3)*('S-Table'!$C453-$D$3)=0,'S-Table'!C453,0),0)</f>
        <v>0</v>
      </c>
      <c r="J453" s="14">
        <f>IF(('S-Table'!$B453-$C$2)*('S-Table'!$B453-$D$2)=0,IF(('S-Table'!$C453-$C$3)*('S-Table'!$C453-$D$3)=0,'S-Table'!D453,0),0)</f>
        <v>0</v>
      </c>
      <c r="K453" s="14">
        <f>IF(('S-Table'!$B453-$C$2)*('S-Table'!$B453-$D$2)=0,IF(('S-Table'!$C453-$C$3)*('S-Table'!$C453-$D$3)=0,'S-Table'!E453,0),0)</f>
        <v>0</v>
      </c>
    </row>
    <row r="454" spans="6:11" x14ac:dyDescent="0.2">
      <c r="F454" s="14">
        <f>IF(G454=0,IF(G453=0,F453,F453+1),IF(G453=0,MAX(F$1:F453),MAX(F$1:F453)+1))</f>
        <v>13</v>
      </c>
      <c r="G454" s="14">
        <f>IF(('S-Table'!$B454-$C$2)*('S-Table'!$B454-$D$2)=0,IF(('S-Table'!$C454-$C$3)*('S-Table'!$C454-$D$3)=0,'S-Table'!A454,0),0)</f>
        <v>0</v>
      </c>
      <c r="H454" s="14">
        <f>IF(('S-Table'!$B454-$C$2)*('S-Table'!$B454-$D$2)=0,IF(('S-Table'!$C454-$C$3)*('S-Table'!$C454-$D$3)=0,'S-Table'!B454,0),0)</f>
        <v>0</v>
      </c>
      <c r="I454" s="14">
        <f>IF(('S-Table'!$B454-$C$2)*('S-Table'!$B454-$D$2)=0,IF(('S-Table'!$C454-$C$3)*('S-Table'!$C454-$D$3)=0,'S-Table'!C454,0),0)</f>
        <v>0</v>
      </c>
      <c r="J454" s="14">
        <f>IF(('S-Table'!$B454-$C$2)*('S-Table'!$B454-$D$2)=0,IF(('S-Table'!$C454-$C$3)*('S-Table'!$C454-$D$3)=0,'S-Table'!D454,0),0)</f>
        <v>0</v>
      </c>
      <c r="K454" s="14">
        <f>IF(('S-Table'!$B454-$C$2)*('S-Table'!$B454-$D$2)=0,IF(('S-Table'!$C454-$C$3)*('S-Table'!$C454-$D$3)=0,'S-Table'!E454,0),0)</f>
        <v>0</v>
      </c>
    </row>
    <row r="455" spans="6:11" x14ac:dyDescent="0.2">
      <c r="F455" s="14">
        <f>IF(G455=0,IF(G454=0,F454,F454+1),IF(G454=0,MAX(F$1:F454),MAX(F$1:F454)+1))</f>
        <v>13</v>
      </c>
      <c r="G455" s="14">
        <f>IF(('S-Table'!$B455-$C$2)*('S-Table'!$B455-$D$2)=0,IF(('S-Table'!$C455-$C$3)*('S-Table'!$C455-$D$3)=0,'S-Table'!A455,0),0)</f>
        <v>0</v>
      </c>
      <c r="H455" s="14">
        <f>IF(('S-Table'!$B455-$C$2)*('S-Table'!$B455-$D$2)=0,IF(('S-Table'!$C455-$C$3)*('S-Table'!$C455-$D$3)=0,'S-Table'!B455,0),0)</f>
        <v>0</v>
      </c>
      <c r="I455" s="14">
        <f>IF(('S-Table'!$B455-$C$2)*('S-Table'!$B455-$D$2)=0,IF(('S-Table'!$C455-$C$3)*('S-Table'!$C455-$D$3)=0,'S-Table'!C455,0),0)</f>
        <v>0</v>
      </c>
      <c r="J455" s="14">
        <f>IF(('S-Table'!$B455-$C$2)*('S-Table'!$B455-$D$2)=0,IF(('S-Table'!$C455-$C$3)*('S-Table'!$C455-$D$3)=0,'S-Table'!D455,0),0)</f>
        <v>0</v>
      </c>
      <c r="K455" s="14">
        <f>IF(('S-Table'!$B455-$C$2)*('S-Table'!$B455-$D$2)=0,IF(('S-Table'!$C455-$C$3)*('S-Table'!$C455-$D$3)=0,'S-Table'!E455,0),0)</f>
        <v>0</v>
      </c>
    </row>
    <row r="456" spans="6:11" x14ac:dyDescent="0.2">
      <c r="F456" s="14">
        <f>IF(G456=0,IF(G455=0,F455,F455+1),IF(G455=0,MAX(F$1:F455),MAX(F$1:F455)+1))</f>
        <v>13</v>
      </c>
      <c r="G456" s="14">
        <f>IF(('S-Table'!$B456-$C$2)*('S-Table'!$B456-$D$2)=0,IF(('S-Table'!$C456-$C$3)*('S-Table'!$C456-$D$3)=0,'S-Table'!A456,0),0)</f>
        <v>0</v>
      </c>
      <c r="H456" s="14">
        <f>IF(('S-Table'!$B456-$C$2)*('S-Table'!$B456-$D$2)=0,IF(('S-Table'!$C456-$C$3)*('S-Table'!$C456-$D$3)=0,'S-Table'!B456,0),0)</f>
        <v>0</v>
      </c>
      <c r="I456" s="14">
        <f>IF(('S-Table'!$B456-$C$2)*('S-Table'!$B456-$D$2)=0,IF(('S-Table'!$C456-$C$3)*('S-Table'!$C456-$D$3)=0,'S-Table'!C456,0),0)</f>
        <v>0</v>
      </c>
      <c r="J456" s="14">
        <f>IF(('S-Table'!$B456-$C$2)*('S-Table'!$B456-$D$2)=0,IF(('S-Table'!$C456-$C$3)*('S-Table'!$C456-$D$3)=0,'S-Table'!D456,0),0)</f>
        <v>0</v>
      </c>
      <c r="K456" s="14">
        <f>IF(('S-Table'!$B456-$C$2)*('S-Table'!$B456-$D$2)=0,IF(('S-Table'!$C456-$C$3)*('S-Table'!$C456-$D$3)=0,'S-Table'!E456,0),0)</f>
        <v>0</v>
      </c>
    </row>
    <row r="457" spans="6:11" x14ac:dyDescent="0.2">
      <c r="F457" s="14">
        <f>IF(G457=0,IF(G456=0,F456,F456+1),IF(G456=0,MAX(F$1:F456),MAX(F$1:F456)+1))</f>
        <v>13</v>
      </c>
      <c r="G457" s="14">
        <f>IF(('S-Table'!$B457-$C$2)*('S-Table'!$B457-$D$2)=0,IF(('S-Table'!$C457-$C$3)*('S-Table'!$C457-$D$3)=0,'S-Table'!A457,0),0)</f>
        <v>0</v>
      </c>
      <c r="H457" s="14">
        <f>IF(('S-Table'!$B457-$C$2)*('S-Table'!$B457-$D$2)=0,IF(('S-Table'!$C457-$C$3)*('S-Table'!$C457-$D$3)=0,'S-Table'!B457,0),0)</f>
        <v>0</v>
      </c>
      <c r="I457" s="14">
        <f>IF(('S-Table'!$B457-$C$2)*('S-Table'!$B457-$D$2)=0,IF(('S-Table'!$C457-$C$3)*('S-Table'!$C457-$D$3)=0,'S-Table'!C457,0),0)</f>
        <v>0</v>
      </c>
      <c r="J457" s="14">
        <f>IF(('S-Table'!$B457-$C$2)*('S-Table'!$B457-$D$2)=0,IF(('S-Table'!$C457-$C$3)*('S-Table'!$C457-$D$3)=0,'S-Table'!D457,0),0)</f>
        <v>0</v>
      </c>
      <c r="K457" s="14">
        <f>IF(('S-Table'!$B457-$C$2)*('S-Table'!$B457-$D$2)=0,IF(('S-Table'!$C457-$C$3)*('S-Table'!$C457-$D$3)=0,'S-Table'!E457,0),0)</f>
        <v>0</v>
      </c>
    </row>
    <row r="458" spans="6:11" x14ac:dyDescent="0.2">
      <c r="F458" s="14">
        <f>IF(G458=0,IF(G457=0,F457,F457+1),IF(G457=0,MAX(F$1:F457),MAX(F$1:F457)+1))</f>
        <v>13</v>
      </c>
      <c r="G458" s="14">
        <f>IF(('S-Table'!$B458-$C$2)*('S-Table'!$B458-$D$2)=0,IF(('S-Table'!$C458-$C$3)*('S-Table'!$C458-$D$3)=0,'S-Table'!A458,0),0)</f>
        <v>0</v>
      </c>
      <c r="H458" s="14">
        <f>IF(('S-Table'!$B458-$C$2)*('S-Table'!$B458-$D$2)=0,IF(('S-Table'!$C458-$C$3)*('S-Table'!$C458-$D$3)=0,'S-Table'!B458,0),0)</f>
        <v>0</v>
      </c>
      <c r="I458" s="14">
        <f>IF(('S-Table'!$B458-$C$2)*('S-Table'!$B458-$D$2)=0,IF(('S-Table'!$C458-$C$3)*('S-Table'!$C458-$D$3)=0,'S-Table'!C458,0),0)</f>
        <v>0</v>
      </c>
      <c r="J458" s="14">
        <f>IF(('S-Table'!$B458-$C$2)*('S-Table'!$B458-$D$2)=0,IF(('S-Table'!$C458-$C$3)*('S-Table'!$C458-$D$3)=0,'S-Table'!D458,0),0)</f>
        <v>0</v>
      </c>
      <c r="K458" s="14">
        <f>IF(('S-Table'!$B458-$C$2)*('S-Table'!$B458-$D$2)=0,IF(('S-Table'!$C458-$C$3)*('S-Table'!$C458-$D$3)=0,'S-Table'!E458,0),0)</f>
        <v>0</v>
      </c>
    </row>
    <row r="459" spans="6:11" x14ac:dyDescent="0.2">
      <c r="F459" s="14">
        <f>IF(G459=0,IF(G458=0,F458,F458+1),IF(G458=0,MAX(F$1:F458),MAX(F$1:F458)+1))</f>
        <v>13</v>
      </c>
      <c r="G459" s="14">
        <f>IF(('S-Table'!$B459-$C$2)*('S-Table'!$B459-$D$2)=0,IF(('S-Table'!$C459-$C$3)*('S-Table'!$C459-$D$3)=0,'S-Table'!A459,0),0)</f>
        <v>0</v>
      </c>
      <c r="H459" s="14">
        <f>IF(('S-Table'!$B459-$C$2)*('S-Table'!$B459-$D$2)=0,IF(('S-Table'!$C459-$C$3)*('S-Table'!$C459-$D$3)=0,'S-Table'!B459,0),0)</f>
        <v>0</v>
      </c>
      <c r="I459" s="14">
        <f>IF(('S-Table'!$B459-$C$2)*('S-Table'!$B459-$D$2)=0,IF(('S-Table'!$C459-$C$3)*('S-Table'!$C459-$D$3)=0,'S-Table'!C459,0),0)</f>
        <v>0</v>
      </c>
      <c r="J459" s="14">
        <f>IF(('S-Table'!$B459-$C$2)*('S-Table'!$B459-$D$2)=0,IF(('S-Table'!$C459-$C$3)*('S-Table'!$C459-$D$3)=0,'S-Table'!D459,0),0)</f>
        <v>0</v>
      </c>
      <c r="K459" s="14">
        <f>IF(('S-Table'!$B459-$C$2)*('S-Table'!$B459-$D$2)=0,IF(('S-Table'!$C459-$C$3)*('S-Table'!$C459-$D$3)=0,'S-Table'!E459,0),0)</f>
        <v>0</v>
      </c>
    </row>
    <row r="460" spans="6:11" x14ac:dyDescent="0.2">
      <c r="F460" s="14">
        <f>IF(G460=0,IF(G459=0,F459,F459+1),IF(G459=0,MAX(F$1:F459),MAX(F$1:F459)+1))</f>
        <v>13</v>
      </c>
      <c r="G460" s="14">
        <f>IF(('S-Table'!$B460-$C$2)*('S-Table'!$B460-$D$2)=0,IF(('S-Table'!$C460-$C$3)*('S-Table'!$C460-$D$3)=0,'S-Table'!A460,0),0)</f>
        <v>0</v>
      </c>
      <c r="H460" s="14">
        <f>IF(('S-Table'!$B460-$C$2)*('S-Table'!$B460-$D$2)=0,IF(('S-Table'!$C460-$C$3)*('S-Table'!$C460-$D$3)=0,'S-Table'!B460,0),0)</f>
        <v>0</v>
      </c>
      <c r="I460" s="14">
        <f>IF(('S-Table'!$B460-$C$2)*('S-Table'!$B460-$D$2)=0,IF(('S-Table'!$C460-$C$3)*('S-Table'!$C460-$D$3)=0,'S-Table'!C460,0),0)</f>
        <v>0</v>
      </c>
      <c r="J460" s="14">
        <f>IF(('S-Table'!$B460-$C$2)*('S-Table'!$B460-$D$2)=0,IF(('S-Table'!$C460-$C$3)*('S-Table'!$C460-$D$3)=0,'S-Table'!D460,0),0)</f>
        <v>0</v>
      </c>
      <c r="K460" s="14">
        <f>IF(('S-Table'!$B460-$C$2)*('S-Table'!$B460-$D$2)=0,IF(('S-Table'!$C460-$C$3)*('S-Table'!$C460-$D$3)=0,'S-Table'!E460,0),0)</f>
        <v>0</v>
      </c>
    </row>
    <row r="461" spans="6:11" x14ac:dyDescent="0.2">
      <c r="F461" s="14">
        <f>IF(G461=0,IF(G460=0,F460,F460+1),IF(G460=0,MAX(F$1:F460),MAX(F$1:F460)+1))</f>
        <v>13</v>
      </c>
      <c r="G461" s="14">
        <f>IF(('S-Table'!$B461-$C$2)*('S-Table'!$B461-$D$2)=0,IF(('S-Table'!$C461-$C$3)*('S-Table'!$C461-$D$3)=0,'S-Table'!A461,0),0)</f>
        <v>0</v>
      </c>
      <c r="H461" s="14">
        <f>IF(('S-Table'!$B461-$C$2)*('S-Table'!$B461-$D$2)=0,IF(('S-Table'!$C461-$C$3)*('S-Table'!$C461-$D$3)=0,'S-Table'!B461,0),0)</f>
        <v>0</v>
      </c>
      <c r="I461" s="14">
        <f>IF(('S-Table'!$B461-$C$2)*('S-Table'!$B461-$D$2)=0,IF(('S-Table'!$C461-$C$3)*('S-Table'!$C461-$D$3)=0,'S-Table'!C461,0),0)</f>
        <v>0</v>
      </c>
      <c r="J461" s="14">
        <f>IF(('S-Table'!$B461-$C$2)*('S-Table'!$B461-$D$2)=0,IF(('S-Table'!$C461-$C$3)*('S-Table'!$C461-$D$3)=0,'S-Table'!D461,0),0)</f>
        <v>0</v>
      </c>
      <c r="K461" s="14">
        <f>IF(('S-Table'!$B461-$C$2)*('S-Table'!$B461-$D$2)=0,IF(('S-Table'!$C461-$C$3)*('S-Table'!$C461-$D$3)=0,'S-Table'!E461,0),0)</f>
        <v>0</v>
      </c>
    </row>
    <row r="462" spans="6:11" x14ac:dyDescent="0.2">
      <c r="F462" s="14">
        <f>IF(G462=0,IF(G461=0,F461,F461+1),IF(G461=0,MAX(F$1:F461),MAX(F$1:F461)+1))</f>
        <v>13</v>
      </c>
      <c r="G462" s="14">
        <f>IF(('S-Table'!$B462-$C$2)*('S-Table'!$B462-$D$2)=0,IF(('S-Table'!$C462-$C$3)*('S-Table'!$C462-$D$3)=0,'S-Table'!A462,0),0)</f>
        <v>0</v>
      </c>
      <c r="H462" s="14">
        <f>IF(('S-Table'!$B462-$C$2)*('S-Table'!$B462-$D$2)=0,IF(('S-Table'!$C462-$C$3)*('S-Table'!$C462-$D$3)=0,'S-Table'!B462,0),0)</f>
        <v>0</v>
      </c>
      <c r="I462" s="14">
        <f>IF(('S-Table'!$B462-$C$2)*('S-Table'!$B462-$D$2)=0,IF(('S-Table'!$C462-$C$3)*('S-Table'!$C462-$D$3)=0,'S-Table'!C462,0),0)</f>
        <v>0</v>
      </c>
      <c r="J462" s="14">
        <f>IF(('S-Table'!$B462-$C$2)*('S-Table'!$B462-$D$2)=0,IF(('S-Table'!$C462-$C$3)*('S-Table'!$C462-$D$3)=0,'S-Table'!D462,0),0)</f>
        <v>0</v>
      </c>
      <c r="K462" s="14">
        <f>IF(('S-Table'!$B462-$C$2)*('S-Table'!$B462-$D$2)=0,IF(('S-Table'!$C462-$C$3)*('S-Table'!$C462-$D$3)=0,'S-Table'!E462,0),0)</f>
        <v>0</v>
      </c>
    </row>
    <row r="463" spans="6:11" x14ac:dyDescent="0.2">
      <c r="F463" s="14">
        <f>IF(G463=0,IF(G462=0,F462,F462+1),IF(G462=0,MAX(F$1:F462),MAX(F$1:F462)+1))</f>
        <v>13</v>
      </c>
      <c r="G463" s="14">
        <f>IF(('S-Table'!$B463-$C$2)*('S-Table'!$B463-$D$2)=0,IF(('S-Table'!$C463-$C$3)*('S-Table'!$C463-$D$3)=0,'S-Table'!A463,0),0)</f>
        <v>0</v>
      </c>
      <c r="H463" s="14">
        <f>IF(('S-Table'!$B463-$C$2)*('S-Table'!$B463-$D$2)=0,IF(('S-Table'!$C463-$C$3)*('S-Table'!$C463-$D$3)=0,'S-Table'!B463,0),0)</f>
        <v>0</v>
      </c>
      <c r="I463" s="14">
        <f>IF(('S-Table'!$B463-$C$2)*('S-Table'!$B463-$D$2)=0,IF(('S-Table'!$C463-$C$3)*('S-Table'!$C463-$D$3)=0,'S-Table'!C463,0),0)</f>
        <v>0</v>
      </c>
      <c r="J463" s="14">
        <f>IF(('S-Table'!$B463-$C$2)*('S-Table'!$B463-$D$2)=0,IF(('S-Table'!$C463-$C$3)*('S-Table'!$C463-$D$3)=0,'S-Table'!D463,0),0)</f>
        <v>0</v>
      </c>
      <c r="K463" s="14">
        <f>IF(('S-Table'!$B463-$C$2)*('S-Table'!$B463-$D$2)=0,IF(('S-Table'!$C463-$C$3)*('S-Table'!$C463-$D$3)=0,'S-Table'!E463,0),0)</f>
        <v>0</v>
      </c>
    </row>
    <row r="464" spans="6:11" x14ac:dyDescent="0.2">
      <c r="F464" s="14">
        <f>IF(G464=0,IF(G463=0,F463,F463+1),IF(G463=0,MAX(F$1:F463),MAX(F$1:F463)+1))</f>
        <v>13</v>
      </c>
      <c r="G464" s="14">
        <f>IF(('S-Table'!$B464-$C$2)*('S-Table'!$B464-$D$2)=0,IF(('S-Table'!$C464-$C$3)*('S-Table'!$C464-$D$3)=0,'S-Table'!A464,0),0)</f>
        <v>0</v>
      </c>
      <c r="H464" s="14">
        <f>IF(('S-Table'!$B464-$C$2)*('S-Table'!$B464-$D$2)=0,IF(('S-Table'!$C464-$C$3)*('S-Table'!$C464-$D$3)=0,'S-Table'!B464,0),0)</f>
        <v>0</v>
      </c>
      <c r="I464" s="14">
        <f>IF(('S-Table'!$B464-$C$2)*('S-Table'!$B464-$D$2)=0,IF(('S-Table'!$C464-$C$3)*('S-Table'!$C464-$D$3)=0,'S-Table'!C464,0),0)</f>
        <v>0</v>
      </c>
      <c r="J464" s="14">
        <f>IF(('S-Table'!$B464-$C$2)*('S-Table'!$B464-$D$2)=0,IF(('S-Table'!$C464-$C$3)*('S-Table'!$C464-$D$3)=0,'S-Table'!D464,0),0)</f>
        <v>0</v>
      </c>
      <c r="K464" s="14">
        <f>IF(('S-Table'!$B464-$C$2)*('S-Table'!$B464-$D$2)=0,IF(('S-Table'!$C464-$C$3)*('S-Table'!$C464-$D$3)=0,'S-Table'!E464,0),0)</f>
        <v>0</v>
      </c>
    </row>
    <row r="465" spans="6:11" x14ac:dyDescent="0.2">
      <c r="F465" s="14">
        <f>IF(G465=0,IF(G464=0,F464,F464+1),IF(G464=0,MAX(F$1:F464),MAX(F$1:F464)+1))</f>
        <v>13</v>
      </c>
      <c r="G465" s="14">
        <f>IF(('S-Table'!$B465-$C$2)*('S-Table'!$B465-$D$2)=0,IF(('S-Table'!$C465-$C$3)*('S-Table'!$C465-$D$3)=0,'S-Table'!A465,0),0)</f>
        <v>0</v>
      </c>
      <c r="H465" s="14">
        <f>IF(('S-Table'!$B465-$C$2)*('S-Table'!$B465-$D$2)=0,IF(('S-Table'!$C465-$C$3)*('S-Table'!$C465-$D$3)=0,'S-Table'!B465,0),0)</f>
        <v>0</v>
      </c>
      <c r="I465" s="14">
        <f>IF(('S-Table'!$B465-$C$2)*('S-Table'!$B465-$D$2)=0,IF(('S-Table'!$C465-$C$3)*('S-Table'!$C465-$D$3)=0,'S-Table'!C465,0),0)</f>
        <v>0</v>
      </c>
      <c r="J465" s="14">
        <f>IF(('S-Table'!$B465-$C$2)*('S-Table'!$B465-$D$2)=0,IF(('S-Table'!$C465-$C$3)*('S-Table'!$C465-$D$3)=0,'S-Table'!D465,0),0)</f>
        <v>0</v>
      </c>
      <c r="K465" s="14">
        <f>IF(('S-Table'!$B465-$C$2)*('S-Table'!$B465-$D$2)=0,IF(('S-Table'!$C465-$C$3)*('S-Table'!$C465-$D$3)=0,'S-Table'!E465,0),0)</f>
        <v>0</v>
      </c>
    </row>
    <row r="466" spans="6:11" x14ac:dyDescent="0.2">
      <c r="F466" s="14">
        <f>IF(G466=0,IF(G465=0,F465,F465+1),IF(G465=0,MAX(F$1:F465),MAX(F$1:F465)+1))</f>
        <v>13</v>
      </c>
      <c r="G466" s="14">
        <f>IF(('S-Table'!$B466-$C$2)*('S-Table'!$B466-$D$2)=0,IF(('S-Table'!$C466-$C$3)*('S-Table'!$C466-$D$3)=0,'S-Table'!A466,0),0)</f>
        <v>0</v>
      </c>
      <c r="H466" s="14">
        <f>IF(('S-Table'!$B466-$C$2)*('S-Table'!$B466-$D$2)=0,IF(('S-Table'!$C466-$C$3)*('S-Table'!$C466-$D$3)=0,'S-Table'!B466,0),0)</f>
        <v>0</v>
      </c>
      <c r="I466" s="14">
        <f>IF(('S-Table'!$B466-$C$2)*('S-Table'!$B466-$D$2)=0,IF(('S-Table'!$C466-$C$3)*('S-Table'!$C466-$D$3)=0,'S-Table'!C466,0),0)</f>
        <v>0</v>
      </c>
      <c r="J466" s="14">
        <f>IF(('S-Table'!$B466-$C$2)*('S-Table'!$B466-$D$2)=0,IF(('S-Table'!$C466-$C$3)*('S-Table'!$C466-$D$3)=0,'S-Table'!D466,0),0)</f>
        <v>0</v>
      </c>
      <c r="K466" s="14">
        <f>IF(('S-Table'!$B466-$C$2)*('S-Table'!$B466-$D$2)=0,IF(('S-Table'!$C466-$C$3)*('S-Table'!$C466-$D$3)=0,'S-Table'!E466,0),0)</f>
        <v>0</v>
      </c>
    </row>
    <row r="467" spans="6:11" x14ac:dyDescent="0.2">
      <c r="F467" s="14">
        <f>IF(G467=0,IF(G466=0,F466,F466+1),IF(G466=0,MAX(F$1:F466),MAX(F$1:F466)+1))</f>
        <v>13</v>
      </c>
      <c r="G467" s="14">
        <f>IF(('S-Table'!$B467-$C$2)*('S-Table'!$B467-$D$2)=0,IF(('S-Table'!$C467-$C$3)*('S-Table'!$C467-$D$3)=0,'S-Table'!A467,0),0)</f>
        <v>0</v>
      </c>
      <c r="H467" s="14">
        <f>IF(('S-Table'!$B467-$C$2)*('S-Table'!$B467-$D$2)=0,IF(('S-Table'!$C467-$C$3)*('S-Table'!$C467-$D$3)=0,'S-Table'!B467,0),0)</f>
        <v>0</v>
      </c>
      <c r="I467" s="14">
        <f>IF(('S-Table'!$B467-$C$2)*('S-Table'!$B467-$D$2)=0,IF(('S-Table'!$C467-$C$3)*('S-Table'!$C467-$D$3)=0,'S-Table'!C467,0),0)</f>
        <v>0</v>
      </c>
      <c r="J467" s="14">
        <f>IF(('S-Table'!$B467-$C$2)*('S-Table'!$B467-$D$2)=0,IF(('S-Table'!$C467-$C$3)*('S-Table'!$C467-$D$3)=0,'S-Table'!D467,0),0)</f>
        <v>0</v>
      </c>
      <c r="K467" s="14">
        <f>IF(('S-Table'!$B467-$C$2)*('S-Table'!$B467-$D$2)=0,IF(('S-Table'!$C467-$C$3)*('S-Table'!$C467-$D$3)=0,'S-Table'!E467,0),0)</f>
        <v>0</v>
      </c>
    </row>
    <row r="468" spans="6:11" x14ac:dyDescent="0.2">
      <c r="F468" s="14">
        <f>IF(G468=0,IF(G467=0,F467,F467+1),IF(G467=0,MAX(F$1:F467),MAX(F$1:F467)+1))</f>
        <v>13</v>
      </c>
      <c r="G468" s="14">
        <f>IF(('S-Table'!$B468-$C$2)*('S-Table'!$B468-$D$2)=0,IF(('S-Table'!$C468-$C$3)*('S-Table'!$C468-$D$3)=0,'S-Table'!A468,0),0)</f>
        <v>0</v>
      </c>
      <c r="H468" s="14">
        <f>IF(('S-Table'!$B468-$C$2)*('S-Table'!$B468-$D$2)=0,IF(('S-Table'!$C468-$C$3)*('S-Table'!$C468-$D$3)=0,'S-Table'!B468,0),0)</f>
        <v>0</v>
      </c>
      <c r="I468" s="14">
        <f>IF(('S-Table'!$B468-$C$2)*('S-Table'!$B468-$D$2)=0,IF(('S-Table'!$C468-$C$3)*('S-Table'!$C468-$D$3)=0,'S-Table'!C468,0),0)</f>
        <v>0</v>
      </c>
      <c r="J468" s="14">
        <f>IF(('S-Table'!$B468-$C$2)*('S-Table'!$B468-$D$2)=0,IF(('S-Table'!$C468-$C$3)*('S-Table'!$C468-$D$3)=0,'S-Table'!D468,0),0)</f>
        <v>0</v>
      </c>
      <c r="K468" s="14">
        <f>IF(('S-Table'!$B468-$C$2)*('S-Table'!$B468-$D$2)=0,IF(('S-Table'!$C468-$C$3)*('S-Table'!$C468-$D$3)=0,'S-Table'!E468,0),0)</f>
        <v>0</v>
      </c>
    </row>
    <row r="469" spans="6:11" x14ac:dyDescent="0.2">
      <c r="F469" s="14">
        <f>IF(G469=0,IF(G468=0,F468,F468+1),IF(G468=0,MAX(F$1:F468),MAX(F$1:F468)+1))</f>
        <v>13</v>
      </c>
      <c r="G469" s="14">
        <f>IF(('S-Table'!$B469-$C$2)*('S-Table'!$B469-$D$2)=0,IF(('S-Table'!$C469-$C$3)*('S-Table'!$C469-$D$3)=0,'S-Table'!A469,0),0)</f>
        <v>0</v>
      </c>
      <c r="H469" s="14">
        <f>IF(('S-Table'!$B469-$C$2)*('S-Table'!$B469-$D$2)=0,IF(('S-Table'!$C469-$C$3)*('S-Table'!$C469-$D$3)=0,'S-Table'!B469,0),0)</f>
        <v>0</v>
      </c>
      <c r="I469" s="14">
        <f>IF(('S-Table'!$B469-$C$2)*('S-Table'!$B469-$D$2)=0,IF(('S-Table'!$C469-$C$3)*('S-Table'!$C469-$D$3)=0,'S-Table'!C469,0),0)</f>
        <v>0</v>
      </c>
      <c r="J469" s="14">
        <f>IF(('S-Table'!$B469-$C$2)*('S-Table'!$B469-$D$2)=0,IF(('S-Table'!$C469-$C$3)*('S-Table'!$C469-$D$3)=0,'S-Table'!D469,0),0)</f>
        <v>0</v>
      </c>
      <c r="K469" s="14">
        <f>IF(('S-Table'!$B469-$C$2)*('S-Table'!$B469-$D$2)=0,IF(('S-Table'!$C469-$C$3)*('S-Table'!$C469-$D$3)=0,'S-Table'!E469,0),0)</f>
        <v>0</v>
      </c>
    </row>
    <row r="470" spans="6:11" x14ac:dyDescent="0.2">
      <c r="F470" s="14">
        <f>IF(G470=0,IF(G469=0,F469,F469+1),IF(G469=0,MAX(F$1:F469),MAX(F$1:F469)+1))</f>
        <v>13</v>
      </c>
      <c r="G470" s="14">
        <f>IF(('S-Table'!$B470-$C$2)*('S-Table'!$B470-$D$2)=0,IF(('S-Table'!$C470-$C$3)*('S-Table'!$C470-$D$3)=0,'S-Table'!A470,0),0)</f>
        <v>0</v>
      </c>
      <c r="H470" s="14">
        <f>IF(('S-Table'!$B470-$C$2)*('S-Table'!$B470-$D$2)=0,IF(('S-Table'!$C470-$C$3)*('S-Table'!$C470-$D$3)=0,'S-Table'!B470,0),0)</f>
        <v>0</v>
      </c>
      <c r="I470" s="14">
        <f>IF(('S-Table'!$B470-$C$2)*('S-Table'!$B470-$D$2)=0,IF(('S-Table'!$C470-$C$3)*('S-Table'!$C470-$D$3)=0,'S-Table'!C470,0),0)</f>
        <v>0</v>
      </c>
      <c r="J470" s="14">
        <f>IF(('S-Table'!$B470-$C$2)*('S-Table'!$B470-$D$2)=0,IF(('S-Table'!$C470-$C$3)*('S-Table'!$C470-$D$3)=0,'S-Table'!D470,0),0)</f>
        <v>0</v>
      </c>
      <c r="K470" s="14">
        <f>IF(('S-Table'!$B470-$C$2)*('S-Table'!$B470-$D$2)=0,IF(('S-Table'!$C470-$C$3)*('S-Table'!$C470-$D$3)=0,'S-Table'!E470,0),0)</f>
        <v>0</v>
      </c>
    </row>
    <row r="471" spans="6:11" x14ac:dyDescent="0.2">
      <c r="F471" s="14">
        <f>IF(G471=0,IF(G470=0,F470,F470+1),IF(G470=0,MAX(F$1:F470),MAX(F$1:F470)+1))</f>
        <v>13</v>
      </c>
      <c r="G471" s="14">
        <f>IF(('S-Table'!$B471-$C$2)*('S-Table'!$B471-$D$2)=0,IF(('S-Table'!$C471-$C$3)*('S-Table'!$C471-$D$3)=0,'S-Table'!A471,0),0)</f>
        <v>0</v>
      </c>
      <c r="H471" s="14">
        <f>IF(('S-Table'!$B471-$C$2)*('S-Table'!$B471-$D$2)=0,IF(('S-Table'!$C471-$C$3)*('S-Table'!$C471-$D$3)=0,'S-Table'!B471,0),0)</f>
        <v>0</v>
      </c>
      <c r="I471" s="14">
        <f>IF(('S-Table'!$B471-$C$2)*('S-Table'!$B471-$D$2)=0,IF(('S-Table'!$C471-$C$3)*('S-Table'!$C471-$D$3)=0,'S-Table'!C471,0),0)</f>
        <v>0</v>
      </c>
      <c r="J471" s="14">
        <f>IF(('S-Table'!$B471-$C$2)*('S-Table'!$B471-$D$2)=0,IF(('S-Table'!$C471-$C$3)*('S-Table'!$C471-$D$3)=0,'S-Table'!D471,0),0)</f>
        <v>0</v>
      </c>
      <c r="K471" s="14">
        <f>IF(('S-Table'!$B471-$C$2)*('S-Table'!$B471-$D$2)=0,IF(('S-Table'!$C471-$C$3)*('S-Table'!$C471-$D$3)=0,'S-Table'!E471,0),0)</f>
        <v>0</v>
      </c>
    </row>
    <row r="472" spans="6:11" x14ac:dyDescent="0.2">
      <c r="F472" s="14">
        <f>IF(G472=0,IF(G471=0,F471,F471+1),IF(G471=0,MAX(F$1:F471),MAX(F$1:F471)+1))</f>
        <v>13</v>
      </c>
      <c r="G472" s="14">
        <f>IF(('S-Table'!$B472-$C$2)*('S-Table'!$B472-$D$2)=0,IF(('S-Table'!$C472-$C$3)*('S-Table'!$C472-$D$3)=0,'S-Table'!A472,0),0)</f>
        <v>0</v>
      </c>
      <c r="H472" s="14">
        <f>IF(('S-Table'!$B472-$C$2)*('S-Table'!$B472-$D$2)=0,IF(('S-Table'!$C472-$C$3)*('S-Table'!$C472-$D$3)=0,'S-Table'!B472,0),0)</f>
        <v>0</v>
      </c>
      <c r="I472" s="14">
        <f>IF(('S-Table'!$B472-$C$2)*('S-Table'!$B472-$D$2)=0,IF(('S-Table'!$C472-$C$3)*('S-Table'!$C472-$D$3)=0,'S-Table'!C472,0),0)</f>
        <v>0</v>
      </c>
      <c r="J472" s="14">
        <f>IF(('S-Table'!$B472-$C$2)*('S-Table'!$B472-$D$2)=0,IF(('S-Table'!$C472-$C$3)*('S-Table'!$C472-$D$3)=0,'S-Table'!D472,0),0)</f>
        <v>0</v>
      </c>
      <c r="K472" s="14">
        <f>IF(('S-Table'!$B472-$C$2)*('S-Table'!$B472-$D$2)=0,IF(('S-Table'!$C472-$C$3)*('S-Table'!$C472-$D$3)=0,'S-Table'!E472,0),0)</f>
        <v>0</v>
      </c>
    </row>
    <row r="473" spans="6:11" x14ac:dyDescent="0.2">
      <c r="F473" s="14">
        <f>IF(G473=0,IF(G472=0,F472,F472+1),IF(G472=0,MAX(F$1:F472),MAX(F$1:F472)+1))</f>
        <v>13</v>
      </c>
      <c r="G473" s="14">
        <f>IF(('S-Table'!$B473-$C$2)*('S-Table'!$B473-$D$2)=0,IF(('S-Table'!$C473-$C$3)*('S-Table'!$C473-$D$3)=0,'S-Table'!A473,0),0)</f>
        <v>0</v>
      </c>
      <c r="H473" s="14">
        <f>IF(('S-Table'!$B473-$C$2)*('S-Table'!$B473-$D$2)=0,IF(('S-Table'!$C473-$C$3)*('S-Table'!$C473-$D$3)=0,'S-Table'!B473,0),0)</f>
        <v>0</v>
      </c>
      <c r="I473" s="14">
        <f>IF(('S-Table'!$B473-$C$2)*('S-Table'!$B473-$D$2)=0,IF(('S-Table'!$C473-$C$3)*('S-Table'!$C473-$D$3)=0,'S-Table'!C473,0),0)</f>
        <v>0</v>
      </c>
      <c r="J473" s="14">
        <f>IF(('S-Table'!$B473-$C$2)*('S-Table'!$B473-$D$2)=0,IF(('S-Table'!$C473-$C$3)*('S-Table'!$C473-$D$3)=0,'S-Table'!D473,0),0)</f>
        <v>0</v>
      </c>
      <c r="K473" s="14">
        <f>IF(('S-Table'!$B473-$C$2)*('S-Table'!$B473-$D$2)=0,IF(('S-Table'!$C473-$C$3)*('S-Table'!$C473-$D$3)=0,'S-Table'!E473,0),0)</f>
        <v>0</v>
      </c>
    </row>
    <row r="474" spans="6:11" x14ac:dyDescent="0.2">
      <c r="F474" s="14">
        <f>IF(G474=0,IF(G473=0,F473,F473+1),IF(G473=0,MAX(F$1:F473),MAX(F$1:F473)+1))</f>
        <v>13</v>
      </c>
      <c r="G474" s="14">
        <f>IF(('S-Table'!$B474-$C$2)*('S-Table'!$B474-$D$2)=0,IF(('S-Table'!$C474-$C$3)*('S-Table'!$C474-$D$3)=0,'S-Table'!A474,0),0)</f>
        <v>0</v>
      </c>
      <c r="H474" s="14">
        <f>IF(('S-Table'!$B474-$C$2)*('S-Table'!$B474-$D$2)=0,IF(('S-Table'!$C474-$C$3)*('S-Table'!$C474-$D$3)=0,'S-Table'!B474,0),0)</f>
        <v>0</v>
      </c>
      <c r="I474" s="14">
        <f>IF(('S-Table'!$B474-$C$2)*('S-Table'!$B474-$D$2)=0,IF(('S-Table'!$C474-$C$3)*('S-Table'!$C474-$D$3)=0,'S-Table'!C474,0),0)</f>
        <v>0</v>
      </c>
      <c r="J474" s="14">
        <f>IF(('S-Table'!$B474-$C$2)*('S-Table'!$B474-$D$2)=0,IF(('S-Table'!$C474-$C$3)*('S-Table'!$C474-$D$3)=0,'S-Table'!D474,0),0)</f>
        <v>0</v>
      </c>
      <c r="K474" s="14">
        <f>IF(('S-Table'!$B474-$C$2)*('S-Table'!$B474-$D$2)=0,IF(('S-Table'!$C474-$C$3)*('S-Table'!$C474-$D$3)=0,'S-Table'!E474,0),0)</f>
        <v>0</v>
      </c>
    </row>
    <row r="475" spans="6:11" x14ac:dyDescent="0.2">
      <c r="F475" s="14">
        <f>IF(G475=0,IF(G474=0,F474,F474+1),IF(G474=0,MAX(F$1:F474),MAX(F$1:F474)+1))</f>
        <v>13</v>
      </c>
      <c r="G475" s="14">
        <f>IF(('S-Table'!$B475-$C$2)*('S-Table'!$B475-$D$2)=0,IF(('S-Table'!$C475-$C$3)*('S-Table'!$C475-$D$3)=0,'S-Table'!A475,0),0)</f>
        <v>0</v>
      </c>
      <c r="H475" s="14">
        <f>IF(('S-Table'!$B475-$C$2)*('S-Table'!$B475-$D$2)=0,IF(('S-Table'!$C475-$C$3)*('S-Table'!$C475-$D$3)=0,'S-Table'!B475,0),0)</f>
        <v>0</v>
      </c>
      <c r="I475" s="14">
        <f>IF(('S-Table'!$B475-$C$2)*('S-Table'!$B475-$D$2)=0,IF(('S-Table'!$C475-$C$3)*('S-Table'!$C475-$D$3)=0,'S-Table'!C475,0),0)</f>
        <v>0</v>
      </c>
      <c r="J475" s="14">
        <f>IF(('S-Table'!$B475-$C$2)*('S-Table'!$B475-$D$2)=0,IF(('S-Table'!$C475-$C$3)*('S-Table'!$C475-$D$3)=0,'S-Table'!D475,0),0)</f>
        <v>0</v>
      </c>
      <c r="K475" s="14">
        <f>IF(('S-Table'!$B475-$C$2)*('S-Table'!$B475-$D$2)=0,IF(('S-Table'!$C475-$C$3)*('S-Table'!$C475-$D$3)=0,'S-Table'!E475,0),0)</f>
        <v>0</v>
      </c>
    </row>
    <row r="476" spans="6:11" x14ac:dyDescent="0.2">
      <c r="F476" s="14">
        <f>IF(G476=0,IF(G475=0,F475,F475+1),IF(G475=0,MAX(F$1:F475),MAX(F$1:F475)+1))</f>
        <v>13</v>
      </c>
      <c r="G476" s="14">
        <f>IF(('S-Table'!$B476-$C$2)*('S-Table'!$B476-$D$2)=0,IF(('S-Table'!$C476-$C$3)*('S-Table'!$C476-$D$3)=0,'S-Table'!A476,0),0)</f>
        <v>0</v>
      </c>
      <c r="H476" s="14">
        <f>IF(('S-Table'!$B476-$C$2)*('S-Table'!$B476-$D$2)=0,IF(('S-Table'!$C476-$C$3)*('S-Table'!$C476-$D$3)=0,'S-Table'!B476,0),0)</f>
        <v>0</v>
      </c>
      <c r="I476" s="14">
        <f>IF(('S-Table'!$B476-$C$2)*('S-Table'!$B476-$D$2)=0,IF(('S-Table'!$C476-$C$3)*('S-Table'!$C476-$D$3)=0,'S-Table'!C476,0),0)</f>
        <v>0</v>
      </c>
      <c r="J476" s="14">
        <f>IF(('S-Table'!$B476-$C$2)*('S-Table'!$B476-$D$2)=0,IF(('S-Table'!$C476-$C$3)*('S-Table'!$C476-$D$3)=0,'S-Table'!D476,0),0)</f>
        <v>0</v>
      </c>
      <c r="K476" s="14">
        <f>IF(('S-Table'!$B476-$C$2)*('S-Table'!$B476-$D$2)=0,IF(('S-Table'!$C476-$C$3)*('S-Table'!$C476-$D$3)=0,'S-Table'!E476,0),0)</f>
        <v>0</v>
      </c>
    </row>
    <row r="477" spans="6:11" x14ac:dyDescent="0.2">
      <c r="F477" s="14">
        <f>IF(G477=0,IF(G476=0,F476,F476+1),IF(G476=0,MAX(F$1:F476),MAX(F$1:F476)+1))</f>
        <v>13</v>
      </c>
      <c r="G477" s="14">
        <f>IF(('S-Table'!$B477-$C$2)*('S-Table'!$B477-$D$2)=0,IF(('S-Table'!$C477-$C$3)*('S-Table'!$C477-$D$3)=0,'S-Table'!A477,0),0)</f>
        <v>0</v>
      </c>
      <c r="H477" s="14">
        <f>IF(('S-Table'!$B477-$C$2)*('S-Table'!$B477-$D$2)=0,IF(('S-Table'!$C477-$C$3)*('S-Table'!$C477-$D$3)=0,'S-Table'!B477,0),0)</f>
        <v>0</v>
      </c>
      <c r="I477" s="14">
        <f>IF(('S-Table'!$B477-$C$2)*('S-Table'!$B477-$D$2)=0,IF(('S-Table'!$C477-$C$3)*('S-Table'!$C477-$D$3)=0,'S-Table'!C477,0),0)</f>
        <v>0</v>
      </c>
      <c r="J477" s="14">
        <f>IF(('S-Table'!$B477-$C$2)*('S-Table'!$B477-$D$2)=0,IF(('S-Table'!$C477-$C$3)*('S-Table'!$C477-$D$3)=0,'S-Table'!D477,0),0)</f>
        <v>0</v>
      </c>
      <c r="K477" s="14">
        <f>IF(('S-Table'!$B477-$C$2)*('S-Table'!$B477-$D$2)=0,IF(('S-Table'!$C477-$C$3)*('S-Table'!$C477-$D$3)=0,'S-Table'!E477,0),0)</f>
        <v>0</v>
      </c>
    </row>
    <row r="478" spans="6:11" x14ac:dyDescent="0.2">
      <c r="F478" s="14">
        <f>IF(G478=0,IF(G477=0,F477,F477+1),IF(G477=0,MAX(F$1:F477),MAX(F$1:F477)+1))</f>
        <v>13</v>
      </c>
      <c r="G478" s="14">
        <f>IF(('S-Table'!$B478-$C$2)*('S-Table'!$B478-$D$2)=0,IF(('S-Table'!$C478-$C$3)*('S-Table'!$C478-$D$3)=0,'S-Table'!A478,0),0)</f>
        <v>0</v>
      </c>
      <c r="H478" s="14">
        <f>IF(('S-Table'!$B478-$C$2)*('S-Table'!$B478-$D$2)=0,IF(('S-Table'!$C478-$C$3)*('S-Table'!$C478-$D$3)=0,'S-Table'!B478,0),0)</f>
        <v>0</v>
      </c>
      <c r="I478" s="14">
        <f>IF(('S-Table'!$B478-$C$2)*('S-Table'!$B478-$D$2)=0,IF(('S-Table'!$C478-$C$3)*('S-Table'!$C478-$D$3)=0,'S-Table'!C478,0),0)</f>
        <v>0</v>
      </c>
      <c r="J478" s="14">
        <f>IF(('S-Table'!$B478-$C$2)*('S-Table'!$B478-$D$2)=0,IF(('S-Table'!$C478-$C$3)*('S-Table'!$C478-$D$3)=0,'S-Table'!D478,0),0)</f>
        <v>0</v>
      </c>
      <c r="K478" s="14">
        <f>IF(('S-Table'!$B478-$C$2)*('S-Table'!$B478-$D$2)=0,IF(('S-Table'!$C478-$C$3)*('S-Table'!$C478-$D$3)=0,'S-Table'!E478,0),0)</f>
        <v>0</v>
      </c>
    </row>
    <row r="479" spans="6:11" x14ac:dyDescent="0.2">
      <c r="F479" s="14">
        <f>IF(G479=0,IF(G478=0,F478,F478+1),IF(G478=0,MAX(F$1:F478),MAX(F$1:F478)+1))</f>
        <v>13</v>
      </c>
      <c r="G479" s="14">
        <f>IF(('S-Table'!$B479-$C$2)*('S-Table'!$B479-$D$2)=0,IF(('S-Table'!$C479-$C$3)*('S-Table'!$C479-$D$3)=0,'S-Table'!A479,0),0)</f>
        <v>0</v>
      </c>
      <c r="H479" s="14">
        <f>IF(('S-Table'!$B479-$C$2)*('S-Table'!$B479-$D$2)=0,IF(('S-Table'!$C479-$C$3)*('S-Table'!$C479-$D$3)=0,'S-Table'!B479,0),0)</f>
        <v>0</v>
      </c>
      <c r="I479" s="14">
        <f>IF(('S-Table'!$B479-$C$2)*('S-Table'!$B479-$D$2)=0,IF(('S-Table'!$C479-$C$3)*('S-Table'!$C479-$D$3)=0,'S-Table'!C479,0),0)</f>
        <v>0</v>
      </c>
      <c r="J479" s="14">
        <f>IF(('S-Table'!$B479-$C$2)*('S-Table'!$B479-$D$2)=0,IF(('S-Table'!$C479-$C$3)*('S-Table'!$C479-$D$3)=0,'S-Table'!D479,0),0)</f>
        <v>0</v>
      </c>
      <c r="K479" s="14">
        <f>IF(('S-Table'!$B479-$C$2)*('S-Table'!$B479-$D$2)=0,IF(('S-Table'!$C479-$C$3)*('S-Table'!$C479-$D$3)=0,'S-Table'!E479,0),0)</f>
        <v>0</v>
      </c>
    </row>
    <row r="480" spans="6:11" x14ac:dyDescent="0.2">
      <c r="F480" s="14">
        <f>IF(G480=0,IF(G479=0,F479,F479+1),IF(G479=0,MAX(F$1:F479),MAX(F$1:F479)+1))</f>
        <v>13</v>
      </c>
      <c r="G480" s="14">
        <f>IF(('S-Table'!$B480-$C$2)*('S-Table'!$B480-$D$2)=0,IF(('S-Table'!$C480-$C$3)*('S-Table'!$C480-$D$3)=0,'S-Table'!A480,0),0)</f>
        <v>0</v>
      </c>
      <c r="H480" s="14">
        <f>IF(('S-Table'!$B480-$C$2)*('S-Table'!$B480-$D$2)=0,IF(('S-Table'!$C480-$C$3)*('S-Table'!$C480-$D$3)=0,'S-Table'!B480,0),0)</f>
        <v>0</v>
      </c>
      <c r="I480" s="14">
        <f>IF(('S-Table'!$B480-$C$2)*('S-Table'!$B480-$D$2)=0,IF(('S-Table'!$C480-$C$3)*('S-Table'!$C480-$D$3)=0,'S-Table'!C480,0),0)</f>
        <v>0</v>
      </c>
      <c r="J480" s="14">
        <f>IF(('S-Table'!$B480-$C$2)*('S-Table'!$B480-$D$2)=0,IF(('S-Table'!$C480-$C$3)*('S-Table'!$C480-$D$3)=0,'S-Table'!D480,0),0)</f>
        <v>0</v>
      </c>
      <c r="K480" s="14">
        <f>IF(('S-Table'!$B480-$C$2)*('S-Table'!$B480-$D$2)=0,IF(('S-Table'!$C480-$C$3)*('S-Table'!$C480-$D$3)=0,'S-Table'!E480,0),0)</f>
        <v>0</v>
      </c>
    </row>
    <row r="481" spans="6:11" x14ac:dyDescent="0.2">
      <c r="F481" s="14">
        <f>IF(G481=0,IF(G480=0,F480,F480+1),IF(G480=0,MAX(F$1:F480),MAX(F$1:F480)+1))</f>
        <v>13</v>
      </c>
      <c r="G481" s="14">
        <f>IF(('S-Table'!$B481-$C$2)*('S-Table'!$B481-$D$2)=0,IF(('S-Table'!$C481-$C$3)*('S-Table'!$C481-$D$3)=0,'S-Table'!A481,0),0)</f>
        <v>0</v>
      </c>
      <c r="H481" s="14">
        <f>IF(('S-Table'!$B481-$C$2)*('S-Table'!$B481-$D$2)=0,IF(('S-Table'!$C481-$C$3)*('S-Table'!$C481-$D$3)=0,'S-Table'!B481,0),0)</f>
        <v>0</v>
      </c>
      <c r="I481" s="14">
        <f>IF(('S-Table'!$B481-$C$2)*('S-Table'!$B481-$D$2)=0,IF(('S-Table'!$C481-$C$3)*('S-Table'!$C481-$D$3)=0,'S-Table'!C481,0),0)</f>
        <v>0</v>
      </c>
      <c r="J481" s="14">
        <f>IF(('S-Table'!$B481-$C$2)*('S-Table'!$B481-$D$2)=0,IF(('S-Table'!$C481-$C$3)*('S-Table'!$C481-$D$3)=0,'S-Table'!D481,0),0)</f>
        <v>0</v>
      </c>
      <c r="K481" s="14">
        <f>IF(('S-Table'!$B481-$C$2)*('S-Table'!$B481-$D$2)=0,IF(('S-Table'!$C481-$C$3)*('S-Table'!$C481-$D$3)=0,'S-Table'!E481,0),0)</f>
        <v>0</v>
      </c>
    </row>
    <row r="482" spans="6:11" x14ac:dyDescent="0.2">
      <c r="F482" s="14">
        <f>IF(G482=0,IF(G481=0,F481,F481+1),IF(G481=0,MAX(F$1:F481),MAX(F$1:F481)+1))</f>
        <v>13</v>
      </c>
      <c r="G482" s="14">
        <f>IF(('S-Table'!$B482-$C$2)*('S-Table'!$B482-$D$2)=0,IF(('S-Table'!$C482-$C$3)*('S-Table'!$C482-$D$3)=0,'S-Table'!A482,0),0)</f>
        <v>0</v>
      </c>
      <c r="H482" s="14">
        <f>IF(('S-Table'!$B482-$C$2)*('S-Table'!$B482-$D$2)=0,IF(('S-Table'!$C482-$C$3)*('S-Table'!$C482-$D$3)=0,'S-Table'!B482,0),0)</f>
        <v>0</v>
      </c>
      <c r="I482" s="14">
        <f>IF(('S-Table'!$B482-$C$2)*('S-Table'!$B482-$D$2)=0,IF(('S-Table'!$C482-$C$3)*('S-Table'!$C482-$D$3)=0,'S-Table'!C482,0),0)</f>
        <v>0</v>
      </c>
      <c r="J482" s="14">
        <f>IF(('S-Table'!$B482-$C$2)*('S-Table'!$B482-$D$2)=0,IF(('S-Table'!$C482-$C$3)*('S-Table'!$C482-$D$3)=0,'S-Table'!D482,0),0)</f>
        <v>0</v>
      </c>
      <c r="K482" s="14">
        <f>IF(('S-Table'!$B482-$C$2)*('S-Table'!$B482-$D$2)=0,IF(('S-Table'!$C482-$C$3)*('S-Table'!$C482-$D$3)=0,'S-Table'!E482,0),0)</f>
        <v>0</v>
      </c>
    </row>
    <row r="483" spans="6:11" x14ac:dyDescent="0.2">
      <c r="F483" s="14">
        <f>IF(G483=0,IF(G482=0,F482,F482+1),IF(G482=0,MAX(F$1:F482),MAX(F$1:F482)+1))</f>
        <v>13</v>
      </c>
      <c r="G483" s="14">
        <f>IF(('S-Table'!$B483-$C$2)*('S-Table'!$B483-$D$2)=0,IF(('S-Table'!$C483-$C$3)*('S-Table'!$C483-$D$3)=0,'S-Table'!A483,0),0)</f>
        <v>0</v>
      </c>
      <c r="H483" s="14">
        <f>IF(('S-Table'!$B483-$C$2)*('S-Table'!$B483-$D$2)=0,IF(('S-Table'!$C483-$C$3)*('S-Table'!$C483-$D$3)=0,'S-Table'!B483,0),0)</f>
        <v>0</v>
      </c>
      <c r="I483" s="14">
        <f>IF(('S-Table'!$B483-$C$2)*('S-Table'!$B483-$D$2)=0,IF(('S-Table'!$C483-$C$3)*('S-Table'!$C483-$D$3)=0,'S-Table'!C483,0),0)</f>
        <v>0</v>
      </c>
      <c r="J483" s="14">
        <f>IF(('S-Table'!$B483-$C$2)*('S-Table'!$B483-$D$2)=0,IF(('S-Table'!$C483-$C$3)*('S-Table'!$C483-$D$3)=0,'S-Table'!D483,0),0)</f>
        <v>0</v>
      </c>
      <c r="K483" s="14">
        <f>IF(('S-Table'!$B483-$C$2)*('S-Table'!$B483-$D$2)=0,IF(('S-Table'!$C483-$C$3)*('S-Table'!$C483-$D$3)=0,'S-Table'!E483,0),0)</f>
        <v>0</v>
      </c>
    </row>
    <row r="484" spans="6:11" x14ac:dyDescent="0.2">
      <c r="F484" s="14">
        <f>IF(G484=0,IF(G483=0,F483,F483+1),IF(G483=0,MAX(F$1:F483),MAX(F$1:F483)+1))</f>
        <v>13</v>
      </c>
      <c r="G484" s="14">
        <f>IF(('S-Table'!$B484-$C$2)*('S-Table'!$B484-$D$2)=0,IF(('S-Table'!$C484-$C$3)*('S-Table'!$C484-$D$3)=0,'S-Table'!A484,0),0)</f>
        <v>0</v>
      </c>
      <c r="H484" s="14">
        <f>IF(('S-Table'!$B484-$C$2)*('S-Table'!$B484-$D$2)=0,IF(('S-Table'!$C484-$C$3)*('S-Table'!$C484-$D$3)=0,'S-Table'!B484,0),0)</f>
        <v>0</v>
      </c>
      <c r="I484" s="14">
        <f>IF(('S-Table'!$B484-$C$2)*('S-Table'!$B484-$D$2)=0,IF(('S-Table'!$C484-$C$3)*('S-Table'!$C484-$D$3)=0,'S-Table'!C484,0),0)</f>
        <v>0</v>
      </c>
      <c r="J484" s="14">
        <f>IF(('S-Table'!$B484-$C$2)*('S-Table'!$B484-$D$2)=0,IF(('S-Table'!$C484-$C$3)*('S-Table'!$C484-$D$3)=0,'S-Table'!D484,0),0)</f>
        <v>0</v>
      </c>
      <c r="K484" s="14">
        <f>IF(('S-Table'!$B484-$C$2)*('S-Table'!$B484-$D$2)=0,IF(('S-Table'!$C484-$C$3)*('S-Table'!$C484-$D$3)=0,'S-Table'!E484,0),0)</f>
        <v>0</v>
      </c>
    </row>
    <row r="485" spans="6:11" x14ac:dyDescent="0.2">
      <c r="F485" s="14">
        <f>IF(G485=0,IF(G484=0,F484,F484+1),IF(G484=0,MAX(F$1:F484),MAX(F$1:F484)+1))</f>
        <v>13</v>
      </c>
      <c r="G485" s="14">
        <f>IF(('S-Table'!$B485-$C$2)*('S-Table'!$B485-$D$2)=0,IF(('S-Table'!$C485-$C$3)*('S-Table'!$C485-$D$3)=0,'S-Table'!A485,0),0)</f>
        <v>0</v>
      </c>
      <c r="H485" s="14">
        <f>IF(('S-Table'!$B485-$C$2)*('S-Table'!$B485-$D$2)=0,IF(('S-Table'!$C485-$C$3)*('S-Table'!$C485-$D$3)=0,'S-Table'!B485,0),0)</f>
        <v>0</v>
      </c>
      <c r="I485" s="14">
        <f>IF(('S-Table'!$B485-$C$2)*('S-Table'!$B485-$D$2)=0,IF(('S-Table'!$C485-$C$3)*('S-Table'!$C485-$D$3)=0,'S-Table'!C485,0),0)</f>
        <v>0</v>
      </c>
      <c r="J485" s="14">
        <f>IF(('S-Table'!$B485-$C$2)*('S-Table'!$B485-$D$2)=0,IF(('S-Table'!$C485-$C$3)*('S-Table'!$C485-$D$3)=0,'S-Table'!D485,0),0)</f>
        <v>0</v>
      </c>
      <c r="K485" s="14">
        <f>IF(('S-Table'!$B485-$C$2)*('S-Table'!$B485-$D$2)=0,IF(('S-Table'!$C485-$C$3)*('S-Table'!$C485-$D$3)=0,'S-Table'!E485,0),0)</f>
        <v>0</v>
      </c>
    </row>
    <row r="486" spans="6:11" x14ac:dyDescent="0.2">
      <c r="F486" s="14">
        <f>IF(G486=0,IF(G485=0,F485,F485+1),IF(G485=0,MAX(F$1:F485),MAX(F$1:F485)+1))</f>
        <v>13</v>
      </c>
      <c r="G486" s="14">
        <f>IF(('S-Table'!$B486-$C$2)*('S-Table'!$B486-$D$2)=0,IF(('S-Table'!$C486-$C$3)*('S-Table'!$C486-$D$3)=0,'S-Table'!A486,0),0)</f>
        <v>0</v>
      </c>
      <c r="H486" s="14">
        <f>IF(('S-Table'!$B486-$C$2)*('S-Table'!$B486-$D$2)=0,IF(('S-Table'!$C486-$C$3)*('S-Table'!$C486-$D$3)=0,'S-Table'!B486,0),0)</f>
        <v>0</v>
      </c>
      <c r="I486" s="14">
        <f>IF(('S-Table'!$B486-$C$2)*('S-Table'!$B486-$D$2)=0,IF(('S-Table'!$C486-$C$3)*('S-Table'!$C486-$D$3)=0,'S-Table'!C486,0),0)</f>
        <v>0</v>
      </c>
      <c r="J486" s="14">
        <f>IF(('S-Table'!$B486-$C$2)*('S-Table'!$B486-$D$2)=0,IF(('S-Table'!$C486-$C$3)*('S-Table'!$C486-$D$3)=0,'S-Table'!D486,0),0)</f>
        <v>0</v>
      </c>
      <c r="K486" s="14">
        <f>IF(('S-Table'!$B486-$C$2)*('S-Table'!$B486-$D$2)=0,IF(('S-Table'!$C486-$C$3)*('S-Table'!$C486-$D$3)=0,'S-Table'!E486,0),0)</f>
        <v>0</v>
      </c>
    </row>
    <row r="487" spans="6:11" x14ac:dyDescent="0.2">
      <c r="F487" s="14">
        <f>IF(G487=0,IF(G486=0,F486,F486+1),IF(G486=0,MAX(F$1:F486),MAX(F$1:F486)+1))</f>
        <v>13</v>
      </c>
      <c r="G487" s="14">
        <f>IF(('S-Table'!$B487-$C$2)*('S-Table'!$B487-$D$2)=0,IF(('S-Table'!$C487-$C$3)*('S-Table'!$C487-$D$3)=0,'S-Table'!A487,0),0)</f>
        <v>0</v>
      </c>
      <c r="H487" s="14">
        <f>IF(('S-Table'!$B487-$C$2)*('S-Table'!$B487-$D$2)=0,IF(('S-Table'!$C487-$C$3)*('S-Table'!$C487-$D$3)=0,'S-Table'!B487,0),0)</f>
        <v>0</v>
      </c>
      <c r="I487" s="14">
        <f>IF(('S-Table'!$B487-$C$2)*('S-Table'!$B487-$D$2)=0,IF(('S-Table'!$C487-$C$3)*('S-Table'!$C487-$D$3)=0,'S-Table'!C487,0),0)</f>
        <v>0</v>
      </c>
      <c r="J487" s="14">
        <f>IF(('S-Table'!$B487-$C$2)*('S-Table'!$B487-$D$2)=0,IF(('S-Table'!$C487-$C$3)*('S-Table'!$C487-$D$3)=0,'S-Table'!D487,0),0)</f>
        <v>0</v>
      </c>
      <c r="K487" s="14">
        <f>IF(('S-Table'!$B487-$C$2)*('S-Table'!$B487-$D$2)=0,IF(('S-Table'!$C487-$C$3)*('S-Table'!$C487-$D$3)=0,'S-Table'!E487,0),0)</f>
        <v>0</v>
      </c>
    </row>
    <row r="488" spans="6:11" x14ac:dyDescent="0.2">
      <c r="F488" s="14">
        <f>IF(G488=0,IF(G487=0,F487,F487+1),IF(G487=0,MAX(F$1:F487),MAX(F$1:F487)+1))</f>
        <v>13</v>
      </c>
      <c r="G488" s="14">
        <f>IF(('S-Table'!$B488-$C$2)*('S-Table'!$B488-$D$2)=0,IF(('S-Table'!$C488-$C$3)*('S-Table'!$C488-$D$3)=0,'S-Table'!A488,0),0)</f>
        <v>0</v>
      </c>
      <c r="H488" s="14">
        <f>IF(('S-Table'!$B488-$C$2)*('S-Table'!$B488-$D$2)=0,IF(('S-Table'!$C488-$C$3)*('S-Table'!$C488-$D$3)=0,'S-Table'!B488,0),0)</f>
        <v>0</v>
      </c>
      <c r="I488" s="14">
        <f>IF(('S-Table'!$B488-$C$2)*('S-Table'!$B488-$D$2)=0,IF(('S-Table'!$C488-$C$3)*('S-Table'!$C488-$D$3)=0,'S-Table'!C488,0),0)</f>
        <v>0</v>
      </c>
      <c r="J488" s="14">
        <f>IF(('S-Table'!$B488-$C$2)*('S-Table'!$B488-$D$2)=0,IF(('S-Table'!$C488-$C$3)*('S-Table'!$C488-$D$3)=0,'S-Table'!D488,0),0)</f>
        <v>0</v>
      </c>
      <c r="K488" s="14">
        <f>IF(('S-Table'!$B488-$C$2)*('S-Table'!$B488-$D$2)=0,IF(('S-Table'!$C488-$C$3)*('S-Table'!$C488-$D$3)=0,'S-Table'!E488,0),0)</f>
        <v>0</v>
      </c>
    </row>
    <row r="489" spans="6:11" x14ac:dyDescent="0.2">
      <c r="F489" s="14">
        <f>IF(G489=0,IF(G488=0,F488,F488+1),IF(G488=0,MAX(F$1:F488),MAX(F$1:F488)+1))</f>
        <v>13</v>
      </c>
      <c r="G489" s="14">
        <f>IF(('S-Table'!$B489-$C$2)*('S-Table'!$B489-$D$2)=0,IF(('S-Table'!$C489-$C$3)*('S-Table'!$C489-$D$3)=0,'S-Table'!A489,0),0)</f>
        <v>0</v>
      </c>
      <c r="H489" s="14">
        <f>IF(('S-Table'!$B489-$C$2)*('S-Table'!$B489-$D$2)=0,IF(('S-Table'!$C489-$C$3)*('S-Table'!$C489-$D$3)=0,'S-Table'!B489,0),0)</f>
        <v>0</v>
      </c>
      <c r="I489" s="14">
        <f>IF(('S-Table'!$B489-$C$2)*('S-Table'!$B489-$D$2)=0,IF(('S-Table'!$C489-$C$3)*('S-Table'!$C489-$D$3)=0,'S-Table'!C489,0),0)</f>
        <v>0</v>
      </c>
      <c r="J489" s="14">
        <f>IF(('S-Table'!$B489-$C$2)*('S-Table'!$B489-$D$2)=0,IF(('S-Table'!$C489-$C$3)*('S-Table'!$C489-$D$3)=0,'S-Table'!D489,0),0)</f>
        <v>0</v>
      </c>
      <c r="K489" s="14">
        <f>IF(('S-Table'!$B489-$C$2)*('S-Table'!$B489-$D$2)=0,IF(('S-Table'!$C489-$C$3)*('S-Table'!$C489-$D$3)=0,'S-Table'!E489,0),0)</f>
        <v>0</v>
      </c>
    </row>
    <row r="490" spans="6:11" x14ac:dyDescent="0.2">
      <c r="F490" s="14">
        <f>IF(G490=0,IF(G489=0,F489,F489+1),IF(G489=0,MAX(F$1:F489),MAX(F$1:F489)+1))</f>
        <v>13</v>
      </c>
      <c r="G490" s="14">
        <f>IF(('S-Table'!$B490-$C$2)*('S-Table'!$B490-$D$2)=0,IF(('S-Table'!$C490-$C$3)*('S-Table'!$C490-$D$3)=0,'S-Table'!A490,0),0)</f>
        <v>0</v>
      </c>
      <c r="H490" s="14">
        <f>IF(('S-Table'!$B490-$C$2)*('S-Table'!$B490-$D$2)=0,IF(('S-Table'!$C490-$C$3)*('S-Table'!$C490-$D$3)=0,'S-Table'!B490,0),0)</f>
        <v>0</v>
      </c>
      <c r="I490" s="14">
        <f>IF(('S-Table'!$B490-$C$2)*('S-Table'!$B490-$D$2)=0,IF(('S-Table'!$C490-$C$3)*('S-Table'!$C490-$D$3)=0,'S-Table'!C490,0),0)</f>
        <v>0</v>
      </c>
      <c r="J490" s="14">
        <f>IF(('S-Table'!$B490-$C$2)*('S-Table'!$B490-$D$2)=0,IF(('S-Table'!$C490-$C$3)*('S-Table'!$C490-$D$3)=0,'S-Table'!D490,0),0)</f>
        <v>0</v>
      </c>
      <c r="K490" s="14">
        <f>IF(('S-Table'!$B490-$C$2)*('S-Table'!$B490-$D$2)=0,IF(('S-Table'!$C490-$C$3)*('S-Table'!$C490-$D$3)=0,'S-Table'!E490,0),0)</f>
        <v>0</v>
      </c>
    </row>
    <row r="491" spans="6:11" x14ac:dyDescent="0.2">
      <c r="F491" s="14">
        <f>IF(G491=0,IF(G490=0,F490,F490+1),IF(G490=0,MAX(F$1:F490),MAX(F$1:F490)+1))</f>
        <v>13</v>
      </c>
      <c r="G491" s="14">
        <f>IF(('S-Table'!$B491-$C$2)*('S-Table'!$B491-$D$2)=0,IF(('S-Table'!$C491-$C$3)*('S-Table'!$C491-$D$3)=0,'S-Table'!A491,0),0)</f>
        <v>0</v>
      </c>
      <c r="H491" s="14">
        <f>IF(('S-Table'!$B491-$C$2)*('S-Table'!$B491-$D$2)=0,IF(('S-Table'!$C491-$C$3)*('S-Table'!$C491-$D$3)=0,'S-Table'!B491,0),0)</f>
        <v>0</v>
      </c>
      <c r="I491" s="14">
        <f>IF(('S-Table'!$B491-$C$2)*('S-Table'!$B491-$D$2)=0,IF(('S-Table'!$C491-$C$3)*('S-Table'!$C491-$D$3)=0,'S-Table'!C491,0),0)</f>
        <v>0</v>
      </c>
      <c r="J491" s="14">
        <f>IF(('S-Table'!$B491-$C$2)*('S-Table'!$B491-$D$2)=0,IF(('S-Table'!$C491-$C$3)*('S-Table'!$C491-$D$3)=0,'S-Table'!D491,0),0)</f>
        <v>0</v>
      </c>
      <c r="K491" s="14">
        <f>IF(('S-Table'!$B491-$C$2)*('S-Table'!$B491-$D$2)=0,IF(('S-Table'!$C491-$C$3)*('S-Table'!$C491-$D$3)=0,'S-Table'!E491,0),0)</f>
        <v>0</v>
      </c>
    </row>
    <row r="492" spans="6:11" x14ac:dyDescent="0.2">
      <c r="F492" s="14">
        <f>IF(G492=0,IF(G491=0,F491,F491+1),IF(G491=0,MAX(F$1:F491),MAX(F$1:F491)+1))</f>
        <v>13</v>
      </c>
      <c r="G492" s="14">
        <f>IF(('S-Table'!$B492-$C$2)*('S-Table'!$B492-$D$2)=0,IF(('S-Table'!$C492-$C$3)*('S-Table'!$C492-$D$3)=0,'S-Table'!A492,0),0)</f>
        <v>0</v>
      </c>
      <c r="H492" s="14">
        <f>IF(('S-Table'!$B492-$C$2)*('S-Table'!$B492-$D$2)=0,IF(('S-Table'!$C492-$C$3)*('S-Table'!$C492-$D$3)=0,'S-Table'!B492,0),0)</f>
        <v>0</v>
      </c>
      <c r="I492" s="14">
        <f>IF(('S-Table'!$B492-$C$2)*('S-Table'!$B492-$D$2)=0,IF(('S-Table'!$C492-$C$3)*('S-Table'!$C492-$D$3)=0,'S-Table'!C492,0),0)</f>
        <v>0</v>
      </c>
      <c r="J492" s="14">
        <f>IF(('S-Table'!$B492-$C$2)*('S-Table'!$B492-$D$2)=0,IF(('S-Table'!$C492-$C$3)*('S-Table'!$C492-$D$3)=0,'S-Table'!D492,0),0)</f>
        <v>0</v>
      </c>
      <c r="K492" s="14">
        <f>IF(('S-Table'!$B492-$C$2)*('S-Table'!$B492-$D$2)=0,IF(('S-Table'!$C492-$C$3)*('S-Table'!$C492-$D$3)=0,'S-Table'!E492,0),0)</f>
        <v>0</v>
      </c>
    </row>
    <row r="493" spans="6:11" x14ac:dyDescent="0.2">
      <c r="F493" s="14">
        <f>IF(G493=0,IF(G492=0,F492,F492+1),IF(G492=0,MAX(F$1:F492),MAX(F$1:F492)+1))</f>
        <v>13</v>
      </c>
      <c r="G493" s="14">
        <f>IF(('S-Table'!$B493-$C$2)*('S-Table'!$B493-$D$2)=0,IF(('S-Table'!$C493-$C$3)*('S-Table'!$C493-$D$3)=0,'S-Table'!A493,0),0)</f>
        <v>0</v>
      </c>
      <c r="H493" s="14">
        <f>IF(('S-Table'!$B493-$C$2)*('S-Table'!$B493-$D$2)=0,IF(('S-Table'!$C493-$C$3)*('S-Table'!$C493-$D$3)=0,'S-Table'!B493,0),0)</f>
        <v>0</v>
      </c>
      <c r="I493" s="14">
        <f>IF(('S-Table'!$B493-$C$2)*('S-Table'!$B493-$D$2)=0,IF(('S-Table'!$C493-$C$3)*('S-Table'!$C493-$D$3)=0,'S-Table'!C493,0),0)</f>
        <v>0</v>
      </c>
      <c r="J493" s="14">
        <f>IF(('S-Table'!$B493-$C$2)*('S-Table'!$B493-$D$2)=0,IF(('S-Table'!$C493-$C$3)*('S-Table'!$C493-$D$3)=0,'S-Table'!D493,0),0)</f>
        <v>0</v>
      </c>
      <c r="K493" s="14">
        <f>IF(('S-Table'!$B493-$C$2)*('S-Table'!$B493-$D$2)=0,IF(('S-Table'!$C493-$C$3)*('S-Table'!$C493-$D$3)=0,'S-Table'!E493,0),0)</f>
        <v>0</v>
      </c>
    </row>
    <row r="494" spans="6:11" x14ac:dyDescent="0.2">
      <c r="F494" s="14">
        <f>IF(G494=0,IF(G493=0,F493,F493+1),IF(G493=0,MAX(F$1:F493),MAX(F$1:F493)+1))</f>
        <v>13</v>
      </c>
      <c r="G494" s="14">
        <f>IF(('S-Table'!$B494-$C$2)*('S-Table'!$B494-$D$2)=0,IF(('S-Table'!$C494-$C$3)*('S-Table'!$C494-$D$3)=0,'S-Table'!A494,0),0)</f>
        <v>0</v>
      </c>
      <c r="H494" s="14">
        <f>IF(('S-Table'!$B494-$C$2)*('S-Table'!$B494-$D$2)=0,IF(('S-Table'!$C494-$C$3)*('S-Table'!$C494-$D$3)=0,'S-Table'!B494,0),0)</f>
        <v>0</v>
      </c>
      <c r="I494" s="14">
        <f>IF(('S-Table'!$B494-$C$2)*('S-Table'!$B494-$D$2)=0,IF(('S-Table'!$C494-$C$3)*('S-Table'!$C494-$D$3)=0,'S-Table'!C494,0),0)</f>
        <v>0</v>
      </c>
      <c r="J494" s="14">
        <f>IF(('S-Table'!$B494-$C$2)*('S-Table'!$B494-$D$2)=0,IF(('S-Table'!$C494-$C$3)*('S-Table'!$C494-$D$3)=0,'S-Table'!D494,0),0)</f>
        <v>0</v>
      </c>
      <c r="K494" s="14">
        <f>IF(('S-Table'!$B494-$C$2)*('S-Table'!$B494-$D$2)=0,IF(('S-Table'!$C494-$C$3)*('S-Table'!$C494-$D$3)=0,'S-Table'!E494,0),0)</f>
        <v>0</v>
      </c>
    </row>
    <row r="495" spans="6:11" x14ac:dyDescent="0.2">
      <c r="F495" s="14">
        <f>IF(G495=0,IF(G494=0,F494,F494+1),IF(G494=0,MAX(F$1:F494),MAX(F$1:F494)+1))</f>
        <v>13</v>
      </c>
      <c r="G495" s="14">
        <f>IF(('S-Table'!$B495-$C$2)*('S-Table'!$B495-$D$2)=0,IF(('S-Table'!$C495-$C$3)*('S-Table'!$C495-$D$3)=0,'S-Table'!A495,0),0)</f>
        <v>0</v>
      </c>
      <c r="H495" s="14">
        <f>IF(('S-Table'!$B495-$C$2)*('S-Table'!$B495-$D$2)=0,IF(('S-Table'!$C495-$C$3)*('S-Table'!$C495-$D$3)=0,'S-Table'!B495,0),0)</f>
        <v>0</v>
      </c>
      <c r="I495" s="14">
        <f>IF(('S-Table'!$B495-$C$2)*('S-Table'!$B495-$D$2)=0,IF(('S-Table'!$C495-$C$3)*('S-Table'!$C495-$D$3)=0,'S-Table'!C495,0),0)</f>
        <v>0</v>
      </c>
      <c r="J495" s="14">
        <f>IF(('S-Table'!$B495-$C$2)*('S-Table'!$B495-$D$2)=0,IF(('S-Table'!$C495-$C$3)*('S-Table'!$C495-$D$3)=0,'S-Table'!D495,0),0)</f>
        <v>0</v>
      </c>
      <c r="K495" s="14">
        <f>IF(('S-Table'!$B495-$C$2)*('S-Table'!$B495-$D$2)=0,IF(('S-Table'!$C495-$C$3)*('S-Table'!$C495-$D$3)=0,'S-Table'!E495,0),0)</f>
        <v>0</v>
      </c>
    </row>
    <row r="496" spans="6:11" x14ac:dyDescent="0.2">
      <c r="F496" s="14">
        <f>IF(G496=0,IF(G495=0,F495,F495+1),IF(G495=0,MAX(F$1:F495),MAX(F$1:F495)+1))</f>
        <v>13</v>
      </c>
      <c r="G496" s="14">
        <f>IF(('S-Table'!$B496-$C$2)*('S-Table'!$B496-$D$2)=0,IF(('S-Table'!$C496-$C$3)*('S-Table'!$C496-$D$3)=0,'S-Table'!A496,0),0)</f>
        <v>0</v>
      </c>
      <c r="H496" s="14">
        <f>IF(('S-Table'!$B496-$C$2)*('S-Table'!$B496-$D$2)=0,IF(('S-Table'!$C496-$C$3)*('S-Table'!$C496-$D$3)=0,'S-Table'!B496,0),0)</f>
        <v>0</v>
      </c>
      <c r="I496" s="14">
        <f>IF(('S-Table'!$B496-$C$2)*('S-Table'!$B496-$D$2)=0,IF(('S-Table'!$C496-$C$3)*('S-Table'!$C496-$D$3)=0,'S-Table'!C496,0),0)</f>
        <v>0</v>
      </c>
      <c r="J496" s="14">
        <f>IF(('S-Table'!$B496-$C$2)*('S-Table'!$B496-$D$2)=0,IF(('S-Table'!$C496-$C$3)*('S-Table'!$C496-$D$3)=0,'S-Table'!D496,0),0)</f>
        <v>0</v>
      </c>
      <c r="K496" s="14">
        <f>IF(('S-Table'!$B496-$C$2)*('S-Table'!$B496-$D$2)=0,IF(('S-Table'!$C496-$C$3)*('S-Table'!$C496-$D$3)=0,'S-Table'!E496,0),0)</f>
        <v>0</v>
      </c>
    </row>
    <row r="497" spans="6:11" x14ac:dyDescent="0.2">
      <c r="F497" s="14">
        <f>IF(G497=0,IF(G496=0,F496,F496+1),IF(G496=0,MAX(F$1:F496),MAX(F$1:F496)+1))</f>
        <v>13</v>
      </c>
      <c r="G497" s="14">
        <f>IF(('S-Table'!$B497-$C$2)*('S-Table'!$B497-$D$2)=0,IF(('S-Table'!$C497-$C$3)*('S-Table'!$C497-$D$3)=0,'S-Table'!A497,0),0)</f>
        <v>0</v>
      </c>
      <c r="H497" s="14">
        <f>IF(('S-Table'!$B497-$C$2)*('S-Table'!$B497-$D$2)=0,IF(('S-Table'!$C497-$C$3)*('S-Table'!$C497-$D$3)=0,'S-Table'!B497,0),0)</f>
        <v>0</v>
      </c>
      <c r="I497" s="14">
        <f>IF(('S-Table'!$B497-$C$2)*('S-Table'!$B497-$D$2)=0,IF(('S-Table'!$C497-$C$3)*('S-Table'!$C497-$D$3)=0,'S-Table'!C497,0),0)</f>
        <v>0</v>
      </c>
      <c r="J497" s="14">
        <f>IF(('S-Table'!$B497-$C$2)*('S-Table'!$B497-$D$2)=0,IF(('S-Table'!$C497-$C$3)*('S-Table'!$C497-$D$3)=0,'S-Table'!D497,0),0)</f>
        <v>0</v>
      </c>
      <c r="K497" s="14">
        <f>IF(('S-Table'!$B497-$C$2)*('S-Table'!$B497-$D$2)=0,IF(('S-Table'!$C497-$C$3)*('S-Table'!$C497-$D$3)=0,'S-Table'!E497,0),0)</f>
        <v>0</v>
      </c>
    </row>
    <row r="498" spans="6:11" x14ac:dyDescent="0.2">
      <c r="F498" s="14">
        <f>IF(G498=0,IF(G497=0,F497,F497+1),IF(G497=0,MAX(F$1:F497),MAX(F$1:F497)+1))</f>
        <v>13</v>
      </c>
      <c r="G498" s="14">
        <f>IF(('S-Table'!$B498-$C$2)*('S-Table'!$B498-$D$2)=0,IF(('S-Table'!$C498-$C$3)*('S-Table'!$C498-$D$3)=0,'S-Table'!A498,0),0)</f>
        <v>0</v>
      </c>
      <c r="H498" s="14">
        <f>IF(('S-Table'!$B498-$C$2)*('S-Table'!$B498-$D$2)=0,IF(('S-Table'!$C498-$C$3)*('S-Table'!$C498-$D$3)=0,'S-Table'!B498,0),0)</f>
        <v>0</v>
      </c>
      <c r="I498" s="14">
        <f>IF(('S-Table'!$B498-$C$2)*('S-Table'!$B498-$D$2)=0,IF(('S-Table'!$C498-$C$3)*('S-Table'!$C498-$D$3)=0,'S-Table'!C498,0),0)</f>
        <v>0</v>
      </c>
      <c r="J498" s="14">
        <f>IF(('S-Table'!$B498-$C$2)*('S-Table'!$B498-$D$2)=0,IF(('S-Table'!$C498-$C$3)*('S-Table'!$C498-$D$3)=0,'S-Table'!D498,0),0)</f>
        <v>0</v>
      </c>
      <c r="K498" s="14">
        <f>IF(('S-Table'!$B498-$C$2)*('S-Table'!$B498-$D$2)=0,IF(('S-Table'!$C498-$C$3)*('S-Table'!$C498-$D$3)=0,'S-Table'!E498,0),0)</f>
        <v>0</v>
      </c>
    </row>
    <row r="499" spans="6:11" x14ac:dyDescent="0.2">
      <c r="F499" s="14">
        <f>IF(G499=0,IF(G498=0,F498,F498+1),IF(G498=0,MAX(F$1:F498),MAX(F$1:F498)+1))</f>
        <v>13</v>
      </c>
      <c r="G499" s="14">
        <f>IF(('S-Table'!$B499-$C$2)*('S-Table'!$B499-$D$2)=0,IF(('S-Table'!$C499-$C$3)*('S-Table'!$C499-$D$3)=0,'S-Table'!A499,0),0)</f>
        <v>0</v>
      </c>
      <c r="H499" s="14">
        <f>IF(('S-Table'!$B499-$C$2)*('S-Table'!$B499-$D$2)=0,IF(('S-Table'!$C499-$C$3)*('S-Table'!$C499-$D$3)=0,'S-Table'!B499,0),0)</f>
        <v>0</v>
      </c>
      <c r="I499" s="14">
        <f>IF(('S-Table'!$B499-$C$2)*('S-Table'!$B499-$D$2)=0,IF(('S-Table'!$C499-$C$3)*('S-Table'!$C499-$D$3)=0,'S-Table'!C499,0),0)</f>
        <v>0</v>
      </c>
      <c r="J499" s="14">
        <f>IF(('S-Table'!$B499-$C$2)*('S-Table'!$B499-$D$2)=0,IF(('S-Table'!$C499-$C$3)*('S-Table'!$C499-$D$3)=0,'S-Table'!D499,0),0)</f>
        <v>0</v>
      </c>
      <c r="K499" s="14">
        <f>IF(('S-Table'!$B499-$C$2)*('S-Table'!$B499-$D$2)=0,IF(('S-Table'!$C499-$C$3)*('S-Table'!$C499-$D$3)=0,'S-Table'!E499,0),0)</f>
        <v>0</v>
      </c>
    </row>
    <row r="500" spans="6:11" x14ac:dyDescent="0.2">
      <c r="F500" s="14">
        <f>IF(G500=0,IF(G499=0,F499,F499+1),IF(G499=0,MAX(F$1:F499),MAX(F$1:F499)+1))</f>
        <v>13</v>
      </c>
      <c r="G500" s="14">
        <f>IF(('S-Table'!$B500-$C$2)*('S-Table'!$B500-$D$2)=0,IF(('S-Table'!$C500-$C$3)*('S-Table'!$C500-$D$3)=0,'S-Table'!A500,0),0)</f>
        <v>0</v>
      </c>
      <c r="H500" s="14">
        <f>IF(('S-Table'!$B500-$C$2)*('S-Table'!$B500-$D$2)=0,IF(('S-Table'!$C500-$C$3)*('S-Table'!$C500-$D$3)=0,'S-Table'!B500,0),0)</f>
        <v>0</v>
      </c>
      <c r="I500" s="14">
        <f>IF(('S-Table'!$B500-$C$2)*('S-Table'!$B500-$D$2)=0,IF(('S-Table'!$C500-$C$3)*('S-Table'!$C500-$D$3)=0,'S-Table'!C500,0),0)</f>
        <v>0</v>
      </c>
      <c r="J500" s="14">
        <f>IF(('S-Table'!$B500-$C$2)*('S-Table'!$B500-$D$2)=0,IF(('S-Table'!$C500-$C$3)*('S-Table'!$C500-$D$3)=0,'S-Table'!D500,0),0)</f>
        <v>0</v>
      </c>
      <c r="K500" s="14">
        <f>IF(('S-Table'!$B500-$C$2)*('S-Table'!$B500-$D$2)=0,IF(('S-Table'!$C500-$C$3)*('S-Table'!$C500-$D$3)=0,'S-Table'!E500,0),0)</f>
        <v>0</v>
      </c>
    </row>
    <row r="501" spans="6:11" x14ac:dyDescent="0.2">
      <c r="F501" s="14">
        <f>IF(G501=0,IF(G500=0,F500,F500+1),IF(G500=0,MAX(F$1:F500),MAX(F$1:F500)+1))</f>
        <v>13</v>
      </c>
      <c r="G501" s="14">
        <f>IF(('S-Table'!$B501-$C$2)*('S-Table'!$B501-$D$2)=0,IF(('S-Table'!$C501-$C$3)*('S-Table'!$C501-$D$3)=0,'S-Table'!A501,0),0)</f>
        <v>0</v>
      </c>
      <c r="H501" s="14">
        <f>IF(('S-Table'!$B501-$C$2)*('S-Table'!$B501-$D$2)=0,IF(('S-Table'!$C501-$C$3)*('S-Table'!$C501-$D$3)=0,'S-Table'!B501,0),0)</f>
        <v>0</v>
      </c>
      <c r="I501" s="14">
        <f>IF(('S-Table'!$B501-$C$2)*('S-Table'!$B501-$D$2)=0,IF(('S-Table'!$C501-$C$3)*('S-Table'!$C501-$D$3)=0,'S-Table'!C501,0),0)</f>
        <v>0</v>
      </c>
      <c r="J501" s="14">
        <f>IF(('S-Table'!$B501-$C$2)*('S-Table'!$B501-$D$2)=0,IF(('S-Table'!$C501-$C$3)*('S-Table'!$C501-$D$3)=0,'S-Table'!D501,0),0)</f>
        <v>0</v>
      </c>
      <c r="K501" s="14">
        <f>IF(('S-Table'!$B501-$C$2)*('S-Table'!$B501-$D$2)=0,IF(('S-Table'!$C501-$C$3)*('S-Table'!$C501-$D$3)=0,'S-Table'!E501,0),0)</f>
        <v>0</v>
      </c>
    </row>
    <row r="502" spans="6:11" x14ac:dyDescent="0.2">
      <c r="F502" s="14">
        <f>IF(G502=0,IF(G501=0,F501,F501+1),IF(G501=0,MAX(F$1:F501),MAX(F$1:F501)+1))</f>
        <v>13</v>
      </c>
      <c r="G502" s="14">
        <f>IF(('S-Table'!$B502-$C$2)*('S-Table'!$B502-$D$2)=0,IF(('S-Table'!$C502-$C$3)*('S-Table'!$C502-$D$3)=0,'S-Table'!A502,0),0)</f>
        <v>0</v>
      </c>
      <c r="H502" s="14">
        <f>IF(('S-Table'!$B502-$C$2)*('S-Table'!$B502-$D$2)=0,IF(('S-Table'!$C502-$C$3)*('S-Table'!$C502-$D$3)=0,'S-Table'!B502,0),0)</f>
        <v>0</v>
      </c>
      <c r="I502" s="14">
        <f>IF(('S-Table'!$B502-$C$2)*('S-Table'!$B502-$D$2)=0,IF(('S-Table'!$C502-$C$3)*('S-Table'!$C502-$D$3)=0,'S-Table'!C502,0),0)</f>
        <v>0</v>
      </c>
      <c r="J502" s="14">
        <f>IF(('S-Table'!$B502-$C$2)*('S-Table'!$B502-$D$2)=0,IF(('S-Table'!$C502-$C$3)*('S-Table'!$C502-$D$3)=0,'S-Table'!D502,0),0)</f>
        <v>0</v>
      </c>
      <c r="K502" s="14">
        <f>IF(('S-Table'!$B502-$C$2)*('S-Table'!$B502-$D$2)=0,IF(('S-Table'!$C502-$C$3)*('S-Table'!$C502-$D$3)=0,'S-Table'!E502,0),0)</f>
        <v>0</v>
      </c>
    </row>
    <row r="503" spans="6:11" x14ac:dyDescent="0.2">
      <c r="F503" s="14">
        <f>IF(G503=0,IF(G502=0,F502,F502+1),IF(G502=0,MAX(F$1:F502),MAX(F$1:F502)+1))</f>
        <v>13</v>
      </c>
      <c r="G503" s="14">
        <f>IF(('S-Table'!$B503-$C$2)*('S-Table'!$B503-$D$2)=0,IF(('S-Table'!$C503-$C$3)*('S-Table'!$C503-$D$3)=0,'S-Table'!A503,0),0)</f>
        <v>0</v>
      </c>
      <c r="H503" s="14">
        <f>IF(('S-Table'!$B503-$C$2)*('S-Table'!$B503-$D$2)=0,IF(('S-Table'!$C503-$C$3)*('S-Table'!$C503-$D$3)=0,'S-Table'!B503,0),0)</f>
        <v>0</v>
      </c>
      <c r="I503" s="14">
        <f>IF(('S-Table'!$B503-$C$2)*('S-Table'!$B503-$D$2)=0,IF(('S-Table'!$C503-$C$3)*('S-Table'!$C503-$D$3)=0,'S-Table'!C503,0),0)</f>
        <v>0</v>
      </c>
      <c r="J503" s="14">
        <f>IF(('S-Table'!$B503-$C$2)*('S-Table'!$B503-$D$2)=0,IF(('S-Table'!$C503-$C$3)*('S-Table'!$C503-$D$3)=0,'S-Table'!D503,0),0)</f>
        <v>0</v>
      </c>
      <c r="K503" s="14">
        <f>IF(('S-Table'!$B503-$C$2)*('S-Table'!$B503-$D$2)=0,IF(('S-Table'!$C503-$C$3)*('S-Table'!$C503-$D$3)=0,'S-Table'!E503,0),0)</f>
        <v>0</v>
      </c>
    </row>
    <row r="504" spans="6:11" x14ac:dyDescent="0.2">
      <c r="F504" s="14">
        <f>IF(G504=0,IF(G503=0,F503,F503+1),IF(G503=0,MAX(F$1:F503),MAX(F$1:F503)+1))</f>
        <v>13</v>
      </c>
      <c r="G504" s="14">
        <f>IF(('S-Table'!$B504-$C$2)*('S-Table'!$B504-$D$2)=0,IF(('S-Table'!$C504-$C$3)*('S-Table'!$C504-$D$3)=0,'S-Table'!A504,0),0)</f>
        <v>0</v>
      </c>
      <c r="H504" s="14">
        <f>IF(('S-Table'!$B504-$C$2)*('S-Table'!$B504-$D$2)=0,IF(('S-Table'!$C504-$C$3)*('S-Table'!$C504-$D$3)=0,'S-Table'!B504,0),0)</f>
        <v>0</v>
      </c>
      <c r="I504" s="14">
        <f>IF(('S-Table'!$B504-$C$2)*('S-Table'!$B504-$D$2)=0,IF(('S-Table'!$C504-$C$3)*('S-Table'!$C504-$D$3)=0,'S-Table'!C504,0),0)</f>
        <v>0</v>
      </c>
      <c r="J504" s="14">
        <f>IF(('S-Table'!$B504-$C$2)*('S-Table'!$B504-$D$2)=0,IF(('S-Table'!$C504-$C$3)*('S-Table'!$C504-$D$3)=0,'S-Table'!D504,0),0)</f>
        <v>0</v>
      </c>
      <c r="K504" s="14">
        <f>IF(('S-Table'!$B504-$C$2)*('S-Table'!$B504-$D$2)=0,IF(('S-Table'!$C504-$C$3)*('S-Table'!$C504-$D$3)=0,'S-Table'!E504,0),0)</f>
        <v>0</v>
      </c>
    </row>
    <row r="505" spans="6:11" x14ac:dyDescent="0.2">
      <c r="F505" s="14">
        <f>IF(G505=0,IF(G504=0,F504,F504+1),IF(G504=0,MAX(F$1:F504),MAX(F$1:F504)+1))</f>
        <v>13</v>
      </c>
      <c r="G505" s="14">
        <f>IF(('S-Table'!$B505-$C$2)*('S-Table'!$B505-$D$2)=0,IF(('S-Table'!$C505-$C$3)*('S-Table'!$C505-$D$3)=0,'S-Table'!A505,0),0)</f>
        <v>0</v>
      </c>
      <c r="H505" s="14">
        <f>IF(('S-Table'!$B505-$C$2)*('S-Table'!$B505-$D$2)=0,IF(('S-Table'!$C505-$C$3)*('S-Table'!$C505-$D$3)=0,'S-Table'!B505,0),0)</f>
        <v>0</v>
      </c>
      <c r="I505" s="14">
        <f>IF(('S-Table'!$B505-$C$2)*('S-Table'!$B505-$D$2)=0,IF(('S-Table'!$C505-$C$3)*('S-Table'!$C505-$D$3)=0,'S-Table'!C505,0),0)</f>
        <v>0</v>
      </c>
      <c r="J505" s="14">
        <f>IF(('S-Table'!$B505-$C$2)*('S-Table'!$B505-$D$2)=0,IF(('S-Table'!$C505-$C$3)*('S-Table'!$C505-$D$3)=0,'S-Table'!D505,0),0)</f>
        <v>0</v>
      </c>
      <c r="K505" s="14">
        <f>IF(('S-Table'!$B505-$C$2)*('S-Table'!$B505-$D$2)=0,IF(('S-Table'!$C505-$C$3)*('S-Table'!$C505-$D$3)=0,'S-Table'!E505,0),0)</f>
        <v>0</v>
      </c>
    </row>
    <row r="506" spans="6:11" x14ac:dyDescent="0.2">
      <c r="F506" s="14">
        <f>IF(G506=0,IF(G505=0,F505,F505+1),IF(G505=0,MAX(F$1:F505),MAX(F$1:F505)+1))</f>
        <v>13</v>
      </c>
      <c r="G506" s="14">
        <f>IF(('S-Table'!$B506-$C$2)*('S-Table'!$B506-$D$2)=0,IF(('S-Table'!$C506-$C$3)*('S-Table'!$C506-$D$3)=0,'S-Table'!A506,0),0)</f>
        <v>35</v>
      </c>
      <c r="H506" s="14">
        <f>IF(('S-Table'!$B506-$C$2)*('S-Table'!$B506-$D$2)=0,IF(('S-Table'!$C506-$C$3)*('S-Table'!$C506-$D$3)=0,'S-Table'!B506,0),0)</f>
        <v>6</v>
      </c>
      <c r="I506" s="14">
        <f>IF(('S-Table'!$B506-$C$2)*('S-Table'!$B506-$D$2)=0,IF(('S-Table'!$C506-$C$3)*('S-Table'!$C506-$D$3)=0,'S-Table'!C506,0),0)</f>
        <v>50</v>
      </c>
      <c r="J506" s="14">
        <f>IF(('S-Table'!$B506-$C$2)*('S-Table'!$B506-$D$2)=0,IF(('S-Table'!$C506-$C$3)*('S-Table'!$C506-$D$3)=0,'S-Table'!D506,0),0)</f>
        <v>444.63</v>
      </c>
      <c r="K506" s="14">
        <f>IF(('S-Table'!$B506-$C$2)*('S-Table'!$B506-$D$2)=0,IF(('S-Table'!$C506-$C$3)*('S-Table'!$C506-$D$3)=0,'S-Table'!E506,0),0)</f>
        <v>180.38</v>
      </c>
    </row>
    <row r="507" spans="6:11" x14ac:dyDescent="0.2">
      <c r="F507" s="14">
        <f>IF(G507=0,IF(G506=0,F506,F506+1),IF(G506=0,MAX(F$1:F506),MAX(F$1:F506)+1))</f>
        <v>14</v>
      </c>
      <c r="G507" s="14">
        <f>IF(('S-Table'!$B507-$C$2)*('S-Table'!$B507-$D$2)=0,IF(('S-Table'!$C507-$C$3)*('S-Table'!$C507-$D$3)=0,'S-Table'!A507,0),0)</f>
        <v>35</v>
      </c>
      <c r="H507" s="14">
        <f>IF(('S-Table'!$B507-$C$2)*('S-Table'!$B507-$D$2)=0,IF(('S-Table'!$C507-$C$3)*('S-Table'!$C507-$D$3)=0,'S-Table'!B507,0),0)</f>
        <v>6</v>
      </c>
      <c r="I507" s="14">
        <f>IF(('S-Table'!$B507-$C$2)*('S-Table'!$B507-$D$2)=0,IF(('S-Table'!$C507-$C$3)*('S-Table'!$C507-$D$3)=0,'S-Table'!C507,0),0)</f>
        <v>100</v>
      </c>
      <c r="J507" s="14">
        <f>IF(('S-Table'!$B507-$C$2)*('S-Table'!$B507-$D$2)=0,IF(('S-Table'!$C507-$C$3)*('S-Table'!$C507-$D$3)=0,'S-Table'!D507,0),0)</f>
        <v>424.33</v>
      </c>
      <c r="K507" s="14">
        <f>IF(('S-Table'!$B507-$C$2)*('S-Table'!$B507-$D$2)=0,IF(('S-Table'!$C507-$C$3)*('S-Table'!$C507-$D$3)=0,'S-Table'!E507,0),0)</f>
        <v>180.39</v>
      </c>
    </row>
    <row r="508" spans="6:11" x14ac:dyDescent="0.2">
      <c r="F508" s="14">
        <f>IF(G508=0,IF(G507=0,F507,F507+1),IF(G507=0,MAX(F$1:F507),MAX(F$1:F507)+1))</f>
        <v>15</v>
      </c>
      <c r="G508" s="14">
        <f>IF(('S-Table'!$B508-$C$2)*('S-Table'!$B508-$D$2)=0,IF(('S-Table'!$C508-$C$3)*('S-Table'!$C508-$D$3)=0,'S-Table'!A508,0),0)</f>
        <v>0</v>
      </c>
      <c r="H508" s="14">
        <f>IF(('S-Table'!$B508-$C$2)*('S-Table'!$B508-$D$2)=0,IF(('S-Table'!$C508-$C$3)*('S-Table'!$C508-$D$3)=0,'S-Table'!B508,0),0)</f>
        <v>0</v>
      </c>
      <c r="I508" s="14">
        <f>IF(('S-Table'!$B508-$C$2)*('S-Table'!$B508-$D$2)=0,IF(('S-Table'!$C508-$C$3)*('S-Table'!$C508-$D$3)=0,'S-Table'!C508,0),0)</f>
        <v>0</v>
      </c>
      <c r="J508" s="14">
        <f>IF(('S-Table'!$B508-$C$2)*('S-Table'!$B508-$D$2)=0,IF(('S-Table'!$C508-$C$3)*('S-Table'!$C508-$D$3)=0,'S-Table'!D508,0),0)</f>
        <v>0</v>
      </c>
      <c r="K508" s="14">
        <f>IF(('S-Table'!$B508-$C$2)*('S-Table'!$B508-$D$2)=0,IF(('S-Table'!$C508-$C$3)*('S-Table'!$C508-$D$3)=0,'S-Table'!E508,0),0)</f>
        <v>0</v>
      </c>
    </row>
    <row r="509" spans="6:11" x14ac:dyDescent="0.2">
      <c r="F509" s="14">
        <f>IF(G509=0,IF(G508=0,F508,F508+1),IF(G508=0,MAX(F$1:F508),MAX(F$1:F508)+1))</f>
        <v>15</v>
      </c>
      <c r="G509" s="14">
        <f>IF(('S-Table'!$B509-$C$2)*('S-Table'!$B509-$D$2)=0,IF(('S-Table'!$C509-$C$3)*('S-Table'!$C509-$D$3)=0,'S-Table'!A509,0),0)</f>
        <v>0</v>
      </c>
      <c r="H509" s="14">
        <f>IF(('S-Table'!$B509-$C$2)*('S-Table'!$B509-$D$2)=0,IF(('S-Table'!$C509-$C$3)*('S-Table'!$C509-$D$3)=0,'S-Table'!B509,0),0)</f>
        <v>0</v>
      </c>
      <c r="I509" s="14">
        <f>IF(('S-Table'!$B509-$C$2)*('S-Table'!$B509-$D$2)=0,IF(('S-Table'!$C509-$C$3)*('S-Table'!$C509-$D$3)=0,'S-Table'!C509,0),0)</f>
        <v>0</v>
      </c>
      <c r="J509" s="14">
        <f>IF(('S-Table'!$B509-$C$2)*('S-Table'!$B509-$D$2)=0,IF(('S-Table'!$C509-$C$3)*('S-Table'!$C509-$D$3)=0,'S-Table'!D509,0),0)</f>
        <v>0</v>
      </c>
      <c r="K509" s="14">
        <f>IF(('S-Table'!$B509-$C$2)*('S-Table'!$B509-$D$2)=0,IF(('S-Table'!$C509-$C$3)*('S-Table'!$C509-$D$3)=0,'S-Table'!E509,0),0)</f>
        <v>0</v>
      </c>
    </row>
    <row r="510" spans="6:11" x14ac:dyDescent="0.2">
      <c r="F510" s="14">
        <f>IF(G510=0,IF(G509=0,F509,F509+1),IF(G509=0,MAX(F$1:F509),MAX(F$1:F509)+1))</f>
        <v>15</v>
      </c>
      <c r="G510" s="14">
        <f>IF(('S-Table'!$B510-$C$2)*('S-Table'!$B510-$D$2)=0,IF(('S-Table'!$C510-$C$3)*('S-Table'!$C510-$D$3)=0,'S-Table'!A510,0),0)</f>
        <v>0</v>
      </c>
      <c r="H510" s="14">
        <f>IF(('S-Table'!$B510-$C$2)*('S-Table'!$B510-$D$2)=0,IF(('S-Table'!$C510-$C$3)*('S-Table'!$C510-$D$3)=0,'S-Table'!B510,0),0)</f>
        <v>0</v>
      </c>
      <c r="I510" s="14">
        <f>IF(('S-Table'!$B510-$C$2)*('S-Table'!$B510-$D$2)=0,IF(('S-Table'!$C510-$C$3)*('S-Table'!$C510-$D$3)=0,'S-Table'!C510,0),0)</f>
        <v>0</v>
      </c>
      <c r="J510" s="14">
        <f>IF(('S-Table'!$B510-$C$2)*('S-Table'!$B510-$D$2)=0,IF(('S-Table'!$C510-$C$3)*('S-Table'!$C510-$D$3)=0,'S-Table'!D510,0),0)</f>
        <v>0</v>
      </c>
      <c r="K510" s="14">
        <f>IF(('S-Table'!$B510-$C$2)*('S-Table'!$B510-$D$2)=0,IF(('S-Table'!$C510-$C$3)*('S-Table'!$C510-$D$3)=0,'S-Table'!E510,0),0)</f>
        <v>0</v>
      </c>
    </row>
    <row r="511" spans="6:11" x14ac:dyDescent="0.2">
      <c r="F511" s="14">
        <f>IF(G511=0,IF(G510=0,F510,F510+1),IF(G510=0,MAX(F$1:F510),MAX(F$1:F510)+1))</f>
        <v>15</v>
      </c>
      <c r="G511" s="14">
        <f>IF(('S-Table'!$B511-$C$2)*('S-Table'!$B511-$D$2)=0,IF(('S-Table'!$C511-$C$3)*('S-Table'!$C511-$D$3)=0,'S-Table'!A511,0),0)</f>
        <v>0</v>
      </c>
      <c r="H511" s="14">
        <f>IF(('S-Table'!$B511-$C$2)*('S-Table'!$B511-$D$2)=0,IF(('S-Table'!$C511-$C$3)*('S-Table'!$C511-$D$3)=0,'S-Table'!B511,0),0)</f>
        <v>0</v>
      </c>
      <c r="I511" s="14">
        <f>IF(('S-Table'!$B511-$C$2)*('S-Table'!$B511-$D$2)=0,IF(('S-Table'!$C511-$C$3)*('S-Table'!$C511-$D$3)=0,'S-Table'!C511,0),0)</f>
        <v>0</v>
      </c>
      <c r="J511" s="14">
        <f>IF(('S-Table'!$B511-$C$2)*('S-Table'!$B511-$D$2)=0,IF(('S-Table'!$C511-$C$3)*('S-Table'!$C511-$D$3)=0,'S-Table'!D511,0),0)</f>
        <v>0</v>
      </c>
      <c r="K511" s="14">
        <f>IF(('S-Table'!$B511-$C$2)*('S-Table'!$B511-$D$2)=0,IF(('S-Table'!$C511-$C$3)*('S-Table'!$C511-$D$3)=0,'S-Table'!E511,0),0)</f>
        <v>0</v>
      </c>
    </row>
    <row r="512" spans="6:11" x14ac:dyDescent="0.2">
      <c r="F512" s="14">
        <f>IF(G512=0,IF(G511=0,F511,F511+1),IF(G511=0,MAX(F$1:F511),MAX(F$1:F511)+1))</f>
        <v>15</v>
      </c>
      <c r="G512" s="14">
        <f>IF(('S-Table'!$B512-$C$2)*('S-Table'!$B512-$D$2)=0,IF(('S-Table'!$C512-$C$3)*('S-Table'!$C512-$D$3)=0,'S-Table'!A512,0),0)</f>
        <v>0</v>
      </c>
      <c r="H512" s="14">
        <f>IF(('S-Table'!$B512-$C$2)*('S-Table'!$B512-$D$2)=0,IF(('S-Table'!$C512-$C$3)*('S-Table'!$C512-$D$3)=0,'S-Table'!B512,0),0)</f>
        <v>0</v>
      </c>
      <c r="I512" s="14">
        <f>IF(('S-Table'!$B512-$C$2)*('S-Table'!$B512-$D$2)=0,IF(('S-Table'!$C512-$C$3)*('S-Table'!$C512-$D$3)=0,'S-Table'!C512,0),0)</f>
        <v>0</v>
      </c>
      <c r="J512" s="14">
        <f>IF(('S-Table'!$B512-$C$2)*('S-Table'!$B512-$D$2)=0,IF(('S-Table'!$C512-$C$3)*('S-Table'!$C512-$D$3)=0,'S-Table'!D512,0),0)</f>
        <v>0</v>
      </c>
      <c r="K512" s="14">
        <f>IF(('S-Table'!$B512-$C$2)*('S-Table'!$B512-$D$2)=0,IF(('S-Table'!$C512-$C$3)*('S-Table'!$C512-$D$3)=0,'S-Table'!E512,0),0)</f>
        <v>0</v>
      </c>
    </row>
    <row r="513" spans="6:11" x14ac:dyDescent="0.2">
      <c r="F513" s="14">
        <f>IF(G513=0,IF(G512=0,F512,F512+1),IF(G512=0,MAX(F$1:F512),MAX(F$1:F512)+1))</f>
        <v>15</v>
      </c>
      <c r="G513" s="14">
        <f>IF(('S-Table'!$B513-$C$2)*('S-Table'!$B513-$D$2)=0,IF(('S-Table'!$C513-$C$3)*('S-Table'!$C513-$D$3)=0,'S-Table'!A513,0),0)</f>
        <v>0</v>
      </c>
      <c r="H513" s="14">
        <f>IF(('S-Table'!$B513-$C$2)*('S-Table'!$B513-$D$2)=0,IF(('S-Table'!$C513-$C$3)*('S-Table'!$C513-$D$3)=0,'S-Table'!B513,0),0)</f>
        <v>0</v>
      </c>
      <c r="I513" s="14">
        <f>IF(('S-Table'!$B513-$C$2)*('S-Table'!$B513-$D$2)=0,IF(('S-Table'!$C513-$C$3)*('S-Table'!$C513-$D$3)=0,'S-Table'!C513,0),0)</f>
        <v>0</v>
      </c>
      <c r="J513" s="14">
        <f>IF(('S-Table'!$B513-$C$2)*('S-Table'!$B513-$D$2)=0,IF(('S-Table'!$C513-$C$3)*('S-Table'!$C513-$D$3)=0,'S-Table'!D513,0),0)</f>
        <v>0</v>
      </c>
      <c r="K513" s="14">
        <f>IF(('S-Table'!$B513-$C$2)*('S-Table'!$B513-$D$2)=0,IF(('S-Table'!$C513-$C$3)*('S-Table'!$C513-$D$3)=0,'S-Table'!E513,0),0)</f>
        <v>0</v>
      </c>
    </row>
    <row r="514" spans="6:11" x14ac:dyDescent="0.2">
      <c r="F514" s="14">
        <f>IF(G514=0,IF(G513=0,F513,F513+1),IF(G513=0,MAX(F$1:F513),MAX(F$1:F513)+1))</f>
        <v>15</v>
      </c>
      <c r="G514" s="14">
        <f>IF(('S-Table'!$B514-$C$2)*('S-Table'!$B514-$D$2)=0,IF(('S-Table'!$C514-$C$3)*('S-Table'!$C514-$D$3)=0,'S-Table'!A514,0),0)</f>
        <v>35</v>
      </c>
      <c r="H514" s="14">
        <f>IF(('S-Table'!$B514-$C$2)*('S-Table'!$B514-$D$2)=0,IF(('S-Table'!$C514-$C$3)*('S-Table'!$C514-$D$3)=0,'S-Table'!B514,0),0)</f>
        <v>6.5</v>
      </c>
      <c r="I514" s="14">
        <f>IF(('S-Table'!$B514-$C$2)*('S-Table'!$B514-$D$2)=0,IF(('S-Table'!$C514-$C$3)*('S-Table'!$C514-$D$3)=0,'S-Table'!C514,0),0)</f>
        <v>50</v>
      </c>
      <c r="J514" s="14">
        <f>IF(('S-Table'!$B514-$C$2)*('S-Table'!$B514-$D$2)=0,IF(('S-Table'!$C514-$C$3)*('S-Table'!$C514-$D$3)=0,'S-Table'!D514,0),0)</f>
        <v>420.54</v>
      </c>
      <c r="K514" s="14">
        <f>IF(('S-Table'!$B514-$C$2)*('S-Table'!$B514-$D$2)=0,IF(('S-Table'!$C514-$C$3)*('S-Table'!$C514-$D$3)=0,'S-Table'!E514,0),0)</f>
        <v>180.36</v>
      </c>
    </row>
    <row r="515" spans="6:11" x14ac:dyDescent="0.2">
      <c r="F515" s="14">
        <f>IF(G515=0,IF(G514=0,F514,F514+1),IF(G514=0,MAX(F$1:F514),MAX(F$1:F514)+1))</f>
        <v>16</v>
      </c>
      <c r="G515" s="14">
        <f>IF(('S-Table'!$B515-$C$2)*('S-Table'!$B515-$D$2)=0,IF(('S-Table'!$C515-$C$3)*('S-Table'!$C515-$D$3)=0,'S-Table'!A515,0),0)</f>
        <v>35</v>
      </c>
      <c r="H515" s="14">
        <f>IF(('S-Table'!$B515-$C$2)*('S-Table'!$B515-$D$2)=0,IF(('S-Table'!$C515-$C$3)*('S-Table'!$C515-$D$3)=0,'S-Table'!B515,0),0)</f>
        <v>6.5</v>
      </c>
      <c r="I515" s="14">
        <f>IF(('S-Table'!$B515-$C$2)*('S-Table'!$B515-$D$2)=0,IF(('S-Table'!$C515-$C$3)*('S-Table'!$C515-$D$3)=0,'S-Table'!C515,0),0)</f>
        <v>100</v>
      </c>
      <c r="J515" s="14">
        <f>IF(('S-Table'!$B515-$C$2)*('S-Table'!$B515-$D$2)=0,IF(('S-Table'!$C515-$C$3)*('S-Table'!$C515-$D$3)=0,'S-Table'!D515,0),0)</f>
        <v>400.19</v>
      </c>
      <c r="K515" s="14">
        <f>IF(('S-Table'!$B515-$C$2)*('S-Table'!$B515-$D$2)=0,IF(('S-Table'!$C515-$C$3)*('S-Table'!$C515-$D$3)=0,'S-Table'!E515,0),0)</f>
        <v>180.37</v>
      </c>
    </row>
    <row r="516" spans="6:11" x14ac:dyDescent="0.2">
      <c r="F516" s="14">
        <f>IF(G516=0,IF(G515=0,F515,F515+1),IF(G515=0,MAX(F$1:F515),MAX(F$1:F515)+1))</f>
        <v>17</v>
      </c>
      <c r="G516" s="14">
        <f>IF(('S-Table'!$B516-$C$2)*('S-Table'!$B516-$D$2)=0,IF(('S-Table'!$C516-$C$3)*('S-Table'!$C516-$D$3)=0,'S-Table'!A516,0),0)</f>
        <v>0</v>
      </c>
      <c r="H516" s="14">
        <f>IF(('S-Table'!$B516-$C$2)*('S-Table'!$B516-$D$2)=0,IF(('S-Table'!$C516-$C$3)*('S-Table'!$C516-$D$3)=0,'S-Table'!B516,0),0)</f>
        <v>0</v>
      </c>
      <c r="I516" s="14">
        <f>IF(('S-Table'!$B516-$C$2)*('S-Table'!$B516-$D$2)=0,IF(('S-Table'!$C516-$C$3)*('S-Table'!$C516-$D$3)=0,'S-Table'!C516,0),0)</f>
        <v>0</v>
      </c>
      <c r="J516" s="14">
        <f>IF(('S-Table'!$B516-$C$2)*('S-Table'!$B516-$D$2)=0,IF(('S-Table'!$C516-$C$3)*('S-Table'!$C516-$D$3)=0,'S-Table'!D516,0),0)</f>
        <v>0</v>
      </c>
      <c r="K516" s="14">
        <f>IF(('S-Table'!$B516-$C$2)*('S-Table'!$B516-$D$2)=0,IF(('S-Table'!$C516-$C$3)*('S-Table'!$C516-$D$3)=0,'S-Table'!E516,0),0)</f>
        <v>0</v>
      </c>
    </row>
    <row r="517" spans="6:11" x14ac:dyDescent="0.2">
      <c r="F517" s="14">
        <f>IF(G517=0,IF(G516=0,F516,F516+1),IF(G516=0,MAX(F$1:F516),MAX(F$1:F516)+1))</f>
        <v>17</v>
      </c>
      <c r="G517" s="14">
        <f>IF(('S-Table'!$B517-$C$2)*('S-Table'!$B517-$D$2)=0,IF(('S-Table'!$C517-$C$3)*('S-Table'!$C517-$D$3)=0,'S-Table'!A517,0),0)</f>
        <v>0</v>
      </c>
      <c r="H517" s="14">
        <f>IF(('S-Table'!$B517-$C$2)*('S-Table'!$B517-$D$2)=0,IF(('S-Table'!$C517-$C$3)*('S-Table'!$C517-$D$3)=0,'S-Table'!B517,0),0)</f>
        <v>0</v>
      </c>
      <c r="I517" s="14">
        <f>IF(('S-Table'!$B517-$C$2)*('S-Table'!$B517-$D$2)=0,IF(('S-Table'!$C517-$C$3)*('S-Table'!$C517-$D$3)=0,'S-Table'!C517,0),0)</f>
        <v>0</v>
      </c>
      <c r="J517" s="14">
        <f>IF(('S-Table'!$B517-$C$2)*('S-Table'!$B517-$D$2)=0,IF(('S-Table'!$C517-$C$3)*('S-Table'!$C517-$D$3)=0,'S-Table'!D517,0),0)</f>
        <v>0</v>
      </c>
      <c r="K517" s="14">
        <f>IF(('S-Table'!$B517-$C$2)*('S-Table'!$B517-$D$2)=0,IF(('S-Table'!$C517-$C$3)*('S-Table'!$C517-$D$3)=0,'S-Table'!E517,0),0)</f>
        <v>0</v>
      </c>
    </row>
    <row r="518" spans="6:11" x14ac:dyDescent="0.2">
      <c r="F518" s="14">
        <f>IF(G518=0,IF(G517=0,F517,F517+1),IF(G517=0,MAX(F$1:F517),MAX(F$1:F517)+1))</f>
        <v>17</v>
      </c>
      <c r="G518" s="14">
        <f>IF(('S-Table'!$B518-$C$2)*('S-Table'!$B518-$D$2)=0,IF(('S-Table'!$C518-$C$3)*('S-Table'!$C518-$D$3)=0,'S-Table'!A518,0),0)</f>
        <v>0</v>
      </c>
      <c r="H518" s="14">
        <f>IF(('S-Table'!$B518-$C$2)*('S-Table'!$B518-$D$2)=0,IF(('S-Table'!$C518-$C$3)*('S-Table'!$C518-$D$3)=0,'S-Table'!B518,0),0)</f>
        <v>0</v>
      </c>
      <c r="I518" s="14">
        <f>IF(('S-Table'!$B518-$C$2)*('S-Table'!$B518-$D$2)=0,IF(('S-Table'!$C518-$C$3)*('S-Table'!$C518-$D$3)=0,'S-Table'!C518,0),0)</f>
        <v>0</v>
      </c>
      <c r="J518" s="14">
        <f>IF(('S-Table'!$B518-$C$2)*('S-Table'!$B518-$D$2)=0,IF(('S-Table'!$C518-$C$3)*('S-Table'!$C518-$D$3)=0,'S-Table'!D518,0),0)</f>
        <v>0</v>
      </c>
      <c r="K518" s="14">
        <f>IF(('S-Table'!$B518-$C$2)*('S-Table'!$B518-$D$2)=0,IF(('S-Table'!$C518-$C$3)*('S-Table'!$C518-$D$3)=0,'S-Table'!E518,0),0)</f>
        <v>0</v>
      </c>
    </row>
    <row r="519" spans="6:11" x14ac:dyDescent="0.2">
      <c r="F519" s="14">
        <f>IF(G519=0,IF(G518=0,F518,F518+1),IF(G518=0,MAX(F$1:F518),MAX(F$1:F518)+1))</f>
        <v>17</v>
      </c>
      <c r="G519" s="14">
        <f>IF(('S-Table'!$B519-$C$2)*('S-Table'!$B519-$D$2)=0,IF(('S-Table'!$C519-$C$3)*('S-Table'!$C519-$D$3)=0,'S-Table'!A519,0),0)</f>
        <v>0</v>
      </c>
      <c r="H519" s="14">
        <f>IF(('S-Table'!$B519-$C$2)*('S-Table'!$B519-$D$2)=0,IF(('S-Table'!$C519-$C$3)*('S-Table'!$C519-$D$3)=0,'S-Table'!B519,0),0)</f>
        <v>0</v>
      </c>
      <c r="I519" s="14">
        <f>IF(('S-Table'!$B519-$C$2)*('S-Table'!$B519-$D$2)=0,IF(('S-Table'!$C519-$C$3)*('S-Table'!$C519-$D$3)=0,'S-Table'!C519,0),0)</f>
        <v>0</v>
      </c>
      <c r="J519" s="14">
        <f>IF(('S-Table'!$B519-$C$2)*('S-Table'!$B519-$D$2)=0,IF(('S-Table'!$C519-$C$3)*('S-Table'!$C519-$D$3)=0,'S-Table'!D519,0),0)</f>
        <v>0</v>
      </c>
      <c r="K519" s="14">
        <f>IF(('S-Table'!$B519-$C$2)*('S-Table'!$B519-$D$2)=0,IF(('S-Table'!$C519-$C$3)*('S-Table'!$C519-$D$3)=0,'S-Table'!E519,0),0)</f>
        <v>0</v>
      </c>
    </row>
    <row r="520" spans="6:11" x14ac:dyDescent="0.2">
      <c r="F520" s="14">
        <f>IF(G520=0,IF(G519=0,F519,F519+1),IF(G519=0,MAX(F$1:F519),MAX(F$1:F519)+1))</f>
        <v>17</v>
      </c>
      <c r="G520" s="14">
        <f>IF(('S-Table'!$B520-$C$2)*('S-Table'!$B520-$D$2)=0,IF(('S-Table'!$C520-$C$3)*('S-Table'!$C520-$D$3)=0,'S-Table'!A520,0),0)</f>
        <v>0</v>
      </c>
      <c r="H520" s="14">
        <f>IF(('S-Table'!$B520-$C$2)*('S-Table'!$B520-$D$2)=0,IF(('S-Table'!$C520-$C$3)*('S-Table'!$C520-$D$3)=0,'S-Table'!B520,0),0)</f>
        <v>0</v>
      </c>
      <c r="I520" s="14">
        <f>IF(('S-Table'!$B520-$C$2)*('S-Table'!$B520-$D$2)=0,IF(('S-Table'!$C520-$C$3)*('S-Table'!$C520-$D$3)=0,'S-Table'!C520,0),0)</f>
        <v>0</v>
      </c>
      <c r="J520" s="14">
        <f>IF(('S-Table'!$B520-$C$2)*('S-Table'!$B520-$D$2)=0,IF(('S-Table'!$C520-$C$3)*('S-Table'!$C520-$D$3)=0,'S-Table'!D520,0),0)</f>
        <v>0</v>
      </c>
      <c r="K520" s="14">
        <f>IF(('S-Table'!$B520-$C$2)*('S-Table'!$B520-$D$2)=0,IF(('S-Table'!$C520-$C$3)*('S-Table'!$C520-$D$3)=0,'S-Table'!E520,0),0)</f>
        <v>0</v>
      </c>
    </row>
    <row r="521" spans="6:11" x14ac:dyDescent="0.2">
      <c r="F521" s="14">
        <f>IF(G521=0,IF(G520=0,F520,F520+1),IF(G520=0,MAX(F$1:F520),MAX(F$1:F520)+1))</f>
        <v>17</v>
      </c>
      <c r="G521" s="14">
        <f>IF(('S-Table'!$B521-$C$2)*('S-Table'!$B521-$D$2)=0,IF(('S-Table'!$C521-$C$3)*('S-Table'!$C521-$D$3)=0,'S-Table'!A521,0),0)</f>
        <v>0</v>
      </c>
      <c r="H521" s="14">
        <f>IF(('S-Table'!$B521-$C$2)*('S-Table'!$B521-$D$2)=0,IF(('S-Table'!$C521-$C$3)*('S-Table'!$C521-$D$3)=0,'S-Table'!B521,0),0)</f>
        <v>0</v>
      </c>
      <c r="I521" s="14">
        <f>IF(('S-Table'!$B521-$C$2)*('S-Table'!$B521-$D$2)=0,IF(('S-Table'!$C521-$C$3)*('S-Table'!$C521-$D$3)=0,'S-Table'!C521,0),0)</f>
        <v>0</v>
      </c>
      <c r="J521" s="14">
        <f>IF(('S-Table'!$B521-$C$2)*('S-Table'!$B521-$D$2)=0,IF(('S-Table'!$C521-$C$3)*('S-Table'!$C521-$D$3)=0,'S-Table'!D521,0),0)</f>
        <v>0</v>
      </c>
      <c r="K521" s="14">
        <f>IF(('S-Table'!$B521-$C$2)*('S-Table'!$B521-$D$2)=0,IF(('S-Table'!$C521-$C$3)*('S-Table'!$C521-$D$3)=0,'S-Table'!E521,0),0)</f>
        <v>0</v>
      </c>
    </row>
    <row r="522" spans="6:11" x14ac:dyDescent="0.2">
      <c r="F522" s="14">
        <f>IF(G522=0,IF(G521=0,F521,F521+1),IF(G521=0,MAX(F$1:F521),MAX(F$1:F521)+1))</f>
        <v>17</v>
      </c>
      <c r="G522" s="14">
        <f>IF(('S-Table'!$B522-$C$2)*('S-Table'!$B522-$D$2)=0,IF(('S-Table'!$C522-$C$3)*('S-Table'!$C522-$D$3)=0,'S-Table'!A522,0),0)</f>
        <v>0</v>
      </c>
      <c r="H522" s="14">
        <f>IF(('S-Table'!$B522-$C$2)*('S-Table'!$B522-$D$2)=0,IF(('S-Table'!$C522-$C$3)*('S-Table'!$C522-$D$3)=0,'S-Table'!B522,0),0)</f>
        <v>0</v>
      </c>
      <c r="I522" s="14">
        <f>IF(('S-Table'!$B522-$C$2)*('S-Table'!$B522-$D$2)=0,IF(('S-Table'!$C522-$C$3)*('S-Table'!$C522-$D$3)=0,'S-Table'!C522,0),0)</f>
        <v>0</v>
      </c>
      <c r="J522" s="14">
        <f>IF(('S-Table'!$B522-$C$2)*('S-Table'!$B522-$D$2)=0,IF(('S-Table'!$C522-$C$3)*('S-Table'!$C522-$D$3)=0,'S-Table'!D522,0),0)</f>
        <v>0</v>
      </c>
      <c r="K522" s="14">
        <f>IF(('S-Table'!$B522-$C$2)*('S-Table'!$B522-$D$2)=0,IF(('S-Table'!$C522-$C$3)*('S-Table'!$C522-$D$3)=0,'S-Table'!E522,0),0)</f>
        <v>0</v>
      </c>
    </row>
    <row r="523" spans="6:11" x14ac:dyDescent="0.2">
      <c r="F523" s="14">
        <f>IF(G523=0,IF(G522=0,F522,F522+1),IF(G522=0,MAX(F$1:F522),MAX(F$1:F522)+1))</f>
        <v>17</v>
      </c>
      <c r="G523" s="14">
        <f>IF(('S-Table'!$B523-$C$2)*('S-Table'!$B523-$D$2)=0,IF(('S-Table'!$C523-$C$3)*('S-Table'!$C523-$D$3)=0,'S-Table'!A523,0),0)</f>
        <v>0</v>
      </c>
      <c r="H523" s="14">
        <f>IF(('S-Table'!$B523-$C$2)*('S-Table'!$B523-$D$2)=0,IF(('S-Table'!$C523-$C$3)*('S-Table'!$C523-$D$3)=0,'S-Table'!B523,0),0)</f>
        <v>0</v>
      </c>
      <c r="I523" s="14">
        <f>IF(('S-Table'!$B523-$C$2)*('S-Table'!$B523-$D$2)=0,IF(('S-Table'!$C523-$C$3)*('S-Table'!$C523-$D$3)=0,'S-Table'!C523,0),0)</f>
        <v>0</v>
      </c>
      <c r="J523" s="14">
        <f>IF(('S-Table'!$B523-$C$2)*('S-Table'!$B523-$D$2)=0,IF(('S-Table'!$C523-$C$3)*('S-Table'!$C523-$D$3)=0,'S-Table'!D523,0),0)</f>
        <v>0</v>
      </c>
      <c r="K523" s="14">
        <f>IF(('S-Table'!$B523-$C$2)*('S-Table'!$B523-$D$2)=0,IF(('S-Table'!$C523-$C$3)*('S-Table'!$C523-$D$3)=0,'S-Table'!E523,0),0)</f>
        <v>0</v>
      </c>
    </row>
    <row r="524" spans="6:11" x14ac:dyDescent="0.2">
      <c r="F524" s="14">
        <f>IF(G524=0,IF(G523=0,F523,F523+1),IF(G523=0,MAX(F$1:F523),MAX(F$1:F523)+1))</f>
        <v>17</v>
      </c>
      <c r="G524" s="14">
        <f>IF(('S-Table'!$B524-$C$2)*('S-Table'!$B524-$D$2)=0,IF(('S-Table'!$C524-$C$3)*('S-Table'!$C524-$D$3)=0,'S-Table'!A524,0),0)</f>
        <v>0</v>
      </c>
      <c r="H524" s="14">
        <f>IF(('S-Table'!$B524-$C$2)*('S-Table'!$B524-$D$2)=0,IF(('S-Table'!$C524-$C$3)*('S-Table'!$C524-$D$3)=0,'S-Table'!B524,0),0)</f>
        <v>0</v>
      </c>
      <c r="I524" s="14">
        <f>IF(('S-Table'!$B524-$C$2)*('S-Table'!$B524-$D$2)=0,IF(('S-Table'!$C524-$C$3)*('S-Table'!$C524-$D$3)=0,'S-Table'!C524,0),0)</f>
        <v>0</v>
      </c>
      <c r="J524" s="14">
        <f>IF(('S-Table'!$B524-$C$2)*('S-Table'!$B524-$D$2)=0,IF(('S-Table'!$C524-$C$3)*('S-Table'!$C524-$D$3)=0,'S-Table'!D524,0),0)</f>
        <v>0</v>
      </c>
      <c r="K524" s="14">
        <f>IF(('S-Table'!$B524-$C$2)*('S-Table'!$B524-$D$2)=0,IF(('S-Table'!$C524-$C$3)*('S-Table'!$C524-$D$3)=0,'S-Table'!E524,0),0)</f>
        <v>0</v>
      </c>
    </row>
    <row r="525" spans="6:11" x14ac:dyDescent="0.2">
      <c r="F525" s="14">
        <f>IF(G525=0,IF(G524=0,F524,F524+1),IF(G524=0,MAX(F$1:F524),MAX(F$1:F524)+1))</f>
        <v>17</v>
      </c>
      <c r="G525" s="14">
        <f>IF(('S-Table'!$B525-$C$2)*('S-Table'!$B525-$D$2)=0,IF(('S-Table'!$C525-$C$3)*('S-Table'!$C525-$D$3)=0,'S-Table'!A525,0),0)</f>
        <v>0</v>
      </c>
      <c r="H525" s="14">
        <f>IF(('S-Table'!$B525-$C$2)*('S-Table'!$B525-$D$2)=0,IF(('S-Table'!$C525-$C$3)*('S-Table'!$C525-$D$3)=0,'S-Table'!B525,0),0)</f>
        <v>0</v>
      </c>
      <c r="I525" s="14">
        <f>IF(('S-Table'!$B525-$C$2)*('S-Table'!$B525-$D$2)=0,IF(('S-Table'!$C525-$C$3)*('S-Table'!$C525-$D$3)=0,'S-Table'!C525,0),0)</f>
        <v>0</v>
      </c>
      <c r="J525" s="14">
        <f>IF(('S-Table'!$B525-$C$2)*('S-Table'!$B525-$D$2)=0,IF(('S-Table'!$C525-$C$3)*('S-Table'!$C525-$D$3)=0,'S-Table'!D525,0),0)</f>
        <v>0</v>
      </c>
      <c r="K525" s="14">
        <f>IF(('S-Table'!$B525-$C$2)*('S-Table'!$B525-$D$2)=0,IF(('S-Table'!$C525-$C$3)*('S-Table'!$C525-$D$3)=0,'S-Table'!E525,0),0)</f>
        <v>0</v>
      </c>
    </row>
    <row r="526" spans="6:11" x14ac:dyDescent="0.2">
      <c r="F526" s="14">
        <f>IF(G526=0,IF(G525=0,F525,F525+1),IF(G525=0,MAX(F$1:F525),MAX(F$1:F525)+1))</f>
        <v>17</v>
      </c>
      <c r="G526" s="14">
        <f>IF(('S-Table'!$B526-$C$2)*('S-Table'!$B526-$D$2)=0,IF(('S-Table'!$C526-$C$3)*('S-Table'!$C526-$D$3)=0,'S-Table'!A526,0),0)</f>
        <v>0</v>
      </c>
      <c r="H526" s="14">
        <f>IF(('S-Table'!$B526-$C$2)*('S-Table'!$B526-$D$2)=0,IF(('S-Table'!$C526-$C$3)*('S-Table'!$C526-$D$3)=0,'S-Table'!B526,0),0)</f>
        <v>0</v>
      </c>
      <c r="I526" s="14">
        <f>IF(('S-Table'!$B526-$C$2)*('S-Table'!$B526-$D$2)=0,IF(('S-Table'!$C526-$C$3)*('S-Table'!$C526-$D$3)=0,'S-Table'!C526,0),0)</f>
        <v>0</v>
      </c>
      <c r="J526" s="14">
        <f>IF(('S-Table'!$B526-$C$2)*('S-Table'!$B526-$D$2)=0,IF(('S-Table'!$C526-$C$3)*('S-Table'!$C526-$D$3)=0,'S-Table'!D526,0),0)</f>
        <v>0</v>
      </c>
      <c r="K526" s="14">
        <f>IF(('S-Table'!$B526-$C$2)*('S-Table'!$B526-$D$2)=0,IF(('S-Table'!$C526-$C$3)*('S-Table'!$C526-$D$3)=0,'S-Table'!E526,0),0)</f>
        <v>0</v>
      </c>
    </row>
    <row r="527" spans="6:11" x14ac:dyDescent="0.2">
      <c r="F527" s="14">
        <f>IF(G527=0,IF(G526=0,F526,F526+1),IF(G526=0,MAX(F$1:F526),MAX(F$1:F526)+1))</f>
        <v>17</v>
      </c>
      <c r="G527" s="14">
        <f>IF(('S-Table'!$B527-$C$2)*('S-Table'!$B527-$D$2)=0,IF(('S-Table'!$C527-$C$3)*('S-Table'!$C527-$D$3)=0,'S-Table'!A527,0),0)</f>
        <v>0</v>
      </c>
      <c r="H527" s="14">
        <f>IF(('S-Table'!$B527-$C$2)*('S-Table'!$B527-$D$2)=0,IF(('S-Table'!$C527-$C$3)*('S-Table'!$C527-$D$3)=0,'S-Table'!B527,0),0)</f>
        <v>0</v>
      </c>
      <c r="I527" s="14">
        <f>IF(('S-Table'!$B527-$C$2)*('S-Table'!$B527-$D$2)=0,IF(('S-Table'!$C527-$C$3)*('S-Table'!$C527-$D$3)=0,'S-Table'!C527,0),0)</f>
        <v>0</v>
      </c>
      <c r="J527" s="14">
        <f>IF(('S-Table'!$B527-$C$2)*('S-Table'!$B527-$D$2)=0,IF(('S-Table'!$C527-$C$3)*('S-Table'!$C527-$D$3)=0,'S-Table'!D527,0),0)</f>
        <v>0</v>
      </c>
      <c r="K527" s="14">
        <f>IF(('S-Table'!$B527-$C$2)*('S-Table'!$B527-$D$2)=0,IF(('S-Table'!$C527-$C$3)*('S-Table'!$C527-$D$3)=0,'S-Table'!E527,0),0)</f>
        <v>0</v>
      </c>
    </row>
    <row r="528" spans="6:11" x14ac:dyDescent="0.2">
      <c r="F528" s="14">
        <f>IF(G528=0,IF(G527=0,F527,F527+1),IF(G527=0,MAX(F$1:F527),MAX(F$1:F527)+1))</f>
        <v>17</v>
      </c>
      <c r="G528" s="14">
        <f>IF(('S-Table'!$B528-$C$2)*('S-Table'!$B528-$D$2)=0,IF(('S-Table'!$C528-$C$3)*('S-Table'!$C528-$D$3)=0,'S-Table'!A528,0),0)</f>
        <v>0</v>
      </c>
      <c r="H528" s="14">
        <f>IF(('S-Table'!$B528-$C$2)*('S-Table'!$B528-$D$2)=0,IF(('S-Table'!$C528-$C$3)*('S-Table'!$C528-$D$3)=0,'S-Table'!B528,0),0)</f>
        <v>0</v>
      </c>
      <c r="I528" s="14">
        <f>IF(('S-Table'!$B528-$C$2)*('S-Table'!$B528-$D$2)=0,IF(('S-Table'!$C528-$C$3)*('S-Table'!$C528-$D$3)=0,'S-Table'!C528,0),0)</f>
        <v>0</v>
      </c>
      <c r="J528" s="14">
        <f>IF(('S-Table'!$B528-$C$2)*('S-Table'!$B528-$D$2)=0,IF(('S-Table'!$C528-$C$3)*('S-Table'!$C528-$D$3)=0,'S-Table'!D528,0),0)</f>
        <v>0</v>
      </c>
      <c r="K528" s="14">
        <f>IF(('S-Table'!$B528-$C$2)*('S-Table'!$B528-$D$2)=0,IF(('S-Table'!$C528-$C$3)*('S-Table'!$C528-$D$3)=0,'S-Table'!E528,0),0)</f>
        <v>0</v>
      </c>
    </row>
    <row r="529" spans="6:11" x14ac:dyDescent="0.2">
      <c r="F529" s="14">
        <f>IF(G529=0,IF(G528=0,F528,F528+1),IF(G528=0,MAX(F$1:F528),MAX(F$1:F528)+1))</f>
        <v>17</v>
      </c>
      <c r="G529" s="14">
        <f>IF(('S-Table'!$B529-$C$2)*('S-Table'!$B529-$D$2)=0,IF(('S-Table'!$C529-$C$3)*('S-Table'!$C529-$D$3)=0,'S-Table'!A529,0),0)</f>
        <v>0</v>
      </c>
      <c r="H529" s="14">
        <f>IF(('S-Table'!$B529-$C$2)*('S-Table'!$B529-$D$2)=0,IF(('S-Table'!$C529-$C$3)*('S-Table'!$C529-$D$3)=0,'S-Table'!B529,0),0)</f>
        <v>0</v>
      </c>
      <c r="I529" s="14">
        <f>IF(('S-Table'!$B529-$C$2)*('S-Table'!$B529-$D$2)=0,IF(('S-Table'!$C529-$C$3)*('S-Table'!$C529-$D$3)=0,'S-Table'!C529,0),0)</f>
        <v>0</v>
      </c>
      <c r="J529" s="14">
        <f>IF(('S-Table'!$B529-$C$2)*('S-Table'!$B529-$D$2)=0,IF(('S-Table'!$C529-$C$3)*('S-Table'!$C529-$D$3)=0,'S-Table'!D529,0),0)</f>
        <v>0</v>
      </c>
      <c r="K529" s="14">
        <f>IF(('S-Table'!$B529-$C$2)*('S-Table'!$B529-$D$2)=0,IF(('S-Table'!$C529-$C$3)*('S-Table'!$C529-$D$3)=0,'S-Table'!E529,0),0)</f>
        <v>0</v>
      </c>
    </row>
    <row r="530" spans="6:11" x14ac:dyDescent="0.2">
      <c r="F530" s="14">
        <f>IF(G530=0,IF(G529=0,F529,F529+1),IF(G529=0,MAX(F$1:F529),MAX(F$1:F529)+1))</f>
        <v>17</v>
      </c>
      <c r="G530" s="14">
        <f>IF(('S-Table'!$B530-$C$2)*('S-Table'!$B530-$D$2)=0,IF(('S-Table'!$C530-$C$3)*('S-Table'!$C530-$D$3)=0,'S-Table'!A530,0),0)</f>
        <v>0</v>
      </c>
      <c r="H530" s="14">
        <f>IF(('S-Table'!$B530-$C$2)*('S-Table'!$B530-$D$2)=0,IF(('S-Table'!$C530-$C$3)*('S-Table'!$C530-$D$3)=0,'S-Table'!B530,0),0)</f>
        <v>0</v>
      </c>
      <c r="I530" s="14">
        <f>IF(('S-Table'!$B530-$C$2)*('S-Table'!$B530-$D$2)=0,IF(('S-Table'!$C530-$C$3)*('S-Table'!$C530-$D$3)=0,'S-Table'!C530,0),0)</f>
        <v>0</v>
      </c>
      <c r="J530" s="14">
        <f>IF(('S-Table'!$B530-$C$2)*('S-Table'!$B530-$D$2)=0,IF(('S-Table'!$C530-$C$3)*('S-Table'!$C530-$D$3)=0,'S-Table'!D530,0),0)</f>
        <v>0</v>
      </c>
      <c r="K530" s="14">
        <f>IF(('S-Table'!$B530-$C$2)*('S-Table'!$B530-$D$2)=0,IF(('S-Table'!$C530-$C$3)*('S-Table'!$C530-$D$3)=0,'S-Table'!E530,0),0)</f>
        <v>0</v>
      </c>
    </row>
    <row r="531" spans="6:11" x14ac:dyDescent="0.2">
      <c r="F531" s="14">
        <f>IF(G531=0,IF(G530=0,F530,F530+1),IF(G530=0,MAX(F$1:F530),MAX(F$1:F530)+1))</f>
        <v>17</v>
      </c>
      <c r="G531" s="14">
        <f>IF(('S-Table'!$B531-$C$2)*('S-Table'!$B531-$D$2)=0,IF(('S-Table'!$C531-$C$3)*('S-Table'!$C531-$D$3)=0,'S-Table'!A531,0),0)</f>
        <v>0</v>
      </c>
      <c r="H531" s="14">
        <f>IF(('S-Table'!$B531-$C$2)*('S-Table'!$B531-$D$2)=0,IF(('S-Table'!$C531-$C$3)*('S-Table'!$C531-$D$3)=0,'S-Table'!B531,0),0)</f>
        <v>0</v>
      </c>
      <c r="I531" s="14">
        <f>IF(('S-Table'!$B531-$C$2)*('S-Table'!$B531-$D$2)=0,IF(('S-Table'!$C531-$C$3)*('S-Table'!$C531-$D$3)=0,'S-Table'!C531,0),0)</f>
        <v>0</v>
      </c>
      <c r="J531" s="14">
        <f>IF(('S-Table'!$B531-$C$2)*('S-Table'!$B531-$D$2)=0,IF(('S-Table'!$C531-$C$3)*('S-Table'!$C531-$D$3)=0,'S-Table'!D531,0),0)</f>
        <v>0</v>
      </c>
      <c r="K531" s="14">
        <f>IF(('S-Table'!$B531-$C$2)*('S-Table'!$B531-$D$2)=0,IF(('S-Table'!$C531-$C$3)*('S-Table'!$C531-$D$3)=0,'S-Table'!E531,0),0)</f>
        <v>0</v>
      </c>
    </row>
    <row r="532" spans="6:11" x14ac:dyDescent="0.2">
      <c r="F532" s="14">
        <f>IF(G532=0,IF(G531=0,F531,F531+1),IF(G531=0,MAX(F$1:F531),MAX(F$1:F531)+1))</f>
        <v>17</v>
      </c>
      <c r="G532" s="14">
        <f>IF(('S-Table'!$B532-$C$2)*('S-Table'!$B532-$D$2)=0,IF(('S-Table'!$C532-$C$3)*('S-Table'!$C532-$D$3)=0,'S-Table'!A532,0),0)</f>
        <v>0</v>
      </c>
      <c r="H532" s="14">
        <f>IF(('S-Table'!$B532-$C$2)*('S-Table'!$B532-$D$2)=0,IF(('S-Table'!$C532-$C$3)*('S-Table'!$C532-$D$3)=0,'S-Table'!B532,0),0)</f>
        <v>0</v>
      </c>
      <c r="I532" s="14">
        <f>IF(('S-Table'!$B532-$C$2)*('S-Table'!$B532-$D$2)=0,IF(('S-Table'!$C532-$C$3)*('S-Table'!$C532-$D$3)=0,'S-Table'!C532,0),0)</f>
        <v>0</v>
      </c>
      <c r="J532" s="14">
        <f>IF(('S-Table'!$B532-$C$2)*('S-Table'!$B532-$D$2)=0,IF(('S-Table'!$C532-$C$3)*('S-Table'!$C532-$D$3)=0,'S-Table'!D532,0),0)</f>
        <v>0</v>
      </c>
      <c r="K532" s="14">
        <f>IF(('S-Table'!$B532-$C$2)*('S-Table'!$B532-$D$2)=0,IF(('S-Table'!$C532-$C$3)*('S-Table'!$C532-$D$3)=0,'S-Table'!E532,0),0)</f>
        <v>0</v>
      </c>
    </row>
    <row r="533" spans="6:11" x14ac:dyDescent="0.2">
      <c r="F533" s="14">
        <f>IF(G533=0,IF(G532=0,F532,F532+1),IF(G532=0,MAX(F$1:F532),MAX(F$1:F532)+1))</f>
        <v>17</v>
      </c>
      <c r="G533" s="14">
        <f>IF(('S-Table'!$B533-$C$2)*('S-Table'!$B533-$D$2)=0,IF(('S-Table'!$C533-$C$3)*('S-Table'!$C533-$D$3)=0,'S-Table'!A533,0),0)</f>
        <v>0</v>
      </c>
      <c r="H533" s="14">
        <f>IF(('S-Table'!$B533-$C$2)*('S-Table'!$B533-$D$2)=0,IF(('S-Table'!$C533-$C$3)*('S-Table'!$C533-$D$3)=0,'S-Table'!B533,0),0)</f>
        <v>0</v>
      </c>
      <c r="I533" s="14">
        <f>IF(('S-Table'!$B533-$C$2)*('S-Table'!$B533-$D$2)=0,IF(('S-Table'!$C533-$C$3)*('S-Table'!$C533-$D$3)=0,'S-Table'!C533,0),0)</f>
        <v>0</v>
      </c>
      <c r="J533" s="14">
        <f>IF(('S-Table'!$B533-$C$2)*('S-Table'!$B533-$D$2)=0,IF(('S-Table'!$C533-$C$3)*('S-Table'!$C533-$D$3)=0,'S-Table'!D533,0),0)</f>
        <v>0</v>
      </c>
      <c r="K533" s="14">
        <f>IF(('S-Table'!$B533-$C$2)*('S-Table'!$B533-$D$2)=0,IF(('S-Table'!$C533-$C$3)*('S-Table'!$C533-$D$3)=0,'S-Table'!E533,0),0)</f>
        <v>0</v>
      </c>
    </row>
    <row r="534" spans="6:11" x14ac:dyDescent="0.2">
      <c r="F534" s="14">
        <f>IF(G534=0,IF(G533=0,F533,F533+1),IF(G533=0,MAX(F$1:F533),MAX(F$1:F533)+1))</f>
        <v>17</v>
      </c>
      <c r="G534" s="14">
        <f>IF(('S-Table'!$B534-$C$2)*('S-Table'!$B534-$D$2)=0,IF(('S-Table'!$C534-$C$3)*('S-Table'!$C534-$D$3)=0,'S-Table'!A534,0),0)</f>
        <v>0</v>
      </c>
      <c r="H534" s="14">
        <f>IF(('S-Table'!$B534-$C$2)*('S-Table'!$B534-$D$2)=0,IF(('S-Table'!$C534-$C$3)*('S-Table'!$C534-$D$3)=0,'S-Table'!B534,0),0)</f>
        <v>0</v>
      </c>
      <c r="I534" s="14">
        <f>IF(('S-Table'!$B534-$C$2)*('S-Table'!$B534-$D$2)=0,IF(('S-Table'!$C534-$C$3)*('S-Table'!$C534-$D$3)=0,'S-Table'!C534,0),0)</f>
        <v>0</v>
      </c>
      <c r="J534" s="14">
        <f>IF(('S-Table'!$B534-$C$2)*('S-Table'!$B534-$D$2)=0,IF(('S-Table'!$C534-$C$3)*('S-Table'!$C534-$D$3)=0,'S-Table'!D534,0),0)</f>
        <v>0</v>
      </c>
      <c r="K534" s="14">
        <f>IF(('S-Table'!$B534-$C$2)*('S-Table'!$B534-$D$2)=0,IF(('S-Table'!$C534-$C$3)*('S-Table'!$C534-$D$3)=0,'S-Table'!E534,0),0)</f>
        <v>0</v>
      </c>
    </row>
    <row r="535" spans="6:11" x14ac:dyDescent="0.2">
      <c r="F535" s="14">
        <f>IF(G535=0,IF(G534=0,F534,F534+1),IF(G534=0,MAX(F$1:F534),MAX(F$1:F534)+1))</f>
        <v>17</v>
      </c>
      <c r="G535" s="14">
        <f>IF(('S-Table'!$B535-$C$2)*('S-Table'!$B535-$D$2)=0,IF(('S-Table'!$C535-$C$3)*('S-Table'!$C535-$D$3)=0,'S-Table'!A535,0),0)</f>
        <v>0</v>
      </c>
      <c r="H535" s="14">
        <f>IF(('S-Table'!$B535-$C$2)*('S-Table'!$B535-$D$2)=0,IF(('S-Table'!$C535-$C$3)*('S-Table'!$C535-$D$3)=0,'S-Table'!B535,0),0)</f>
        <v>0</v>
      </c>
      <c r="I535" s="14">
        <f>IF(('S-Table'!$B535-$C$2)*('S-Table'!$B535-$D$2)=0,IF(('S-Table'!$C535-$C$3)*('S-Table'!$C535-$D$3)=0,'S-Table'!C535,0),0)</f>
        <v>0</v>
      </c>
      <c r="J535" s="14">
        <f>IF(('S-Table'!$B535-$C$2)*('S-Table'!$B535-$D$2)=0,IF(('S-Table'!$C535-$C$3)*('S-Table'!$C535-$D$3)=0,'S-Table'!D535,0),0)</f>
        <v>0</v>
      </c>
      <c r="K535" s="14">
        <f>IF(('S-Table'!$B535-$C$2)*('S-Table'!$B535-$D$2)=0,IF(('S-Table'!$C535-$C$3)*('S-Table'!$C535-$D$3)=0,'S-Table'!E535,0),0)</f>
        <v>0</v>
      </c>
    </row>
    <row r="536" spans="6:11" x14ac:dyDescent="0.2">
      <c r="F536" s="14">
        <f>IF(G536=0,IF(G535=0,F535,F535+1),IF(G535=0,MAX(F$1:F535),MAX(F$1:F535)+1))</f>
        <v>17</v>
      </c>
      <c r="G536" s="14">
        <f>IF(('S-Table'!$B536-$C$2)*('S-Table'!$B536-$D$2)=0,IF(('S-Table'!$C536-$C$3)*('S-Table'!$C536-$D$3)=0,'S-Table'!A536,0),0)</f>
        <v>0</v>
      </c>
      <c r="H536" s="14">
        <f>IF(('S-Table'!$B536-$C$2)*('S-Table'!$B536-$D$2)=0,IF(('S-Table'!$C536-$C$3)*('S-Table'!$C536-$D$3)=0,'S-Table'!B536,0),0)</f>
        <v>0</v>
      </c>
      <c r="I536" s="14">
        <f>IF(('S-Table'!$B536-$C$2)*('S-Table'!$B536-$D$2)=0,IF(('S-Table'!$C536-$C$3)*('S-Table'!$C536-$D$3)=0,'S-Table'!C536,0),0)</f>
        <v>0</v>
      </c>
      <c r="J536" s="14">
        <f>IF(('S-Table'!$B536-$C$2)*('S-Table'!$B536-$D$2)=0,IF(('S-Table'!$C536-$C$3)*('S-Table'!$C536-$D$3)=0,'S-Table'!D536,0),0)</f>
        <v>0</v>
      </c>
      <c r="K536" s="14">
        <f>IF(('S-Table'!$B536-$C$2)*('S-Table'!$B536-$D$2)=0,IF(('S-Table'!$C536-$C$3)*('S-Table'!$C536-$D$3)=0,'S-Table'!E536,0),0)</f>
        <v>0</v>
      </c>
    </row>
    <row r="537" spans="6:11" x14ac:dyDescent="0.2">
      <c r="F537" s="14">
        <f>IF(G537=0,IF(G536=0,F536,F536+1),IF(G536=0,MAX(F$1:F536),MAX(F$1:F536)+1))</f>
        <v>17</v>
      </c>
      <c r="G537" s="14">
        <f>IF(('S-Table'!$B537-$C$2)*('S-Table'!$B537-$D$2)=0,IF(('S-Table'!$C537-$C$3)*('S-Table'!$C537-$D$3)=0,'S-Table'!A537,0),0)</f>
        <v>0</v>
      </c>
      <c r="H537" s="14">
        <f>IF(('S-Table'!$B537-$C$2)*('S-Table'!$B537-$D$2)=0,IF(('S-Table'!$C537-$C$3)*('S-Table'!$C537-$D$3)=0,'S-Table'!B537,0),0)</f>
        <v>0</v>
      </c>
      <c r="I537" s="14">
        <f>IF(('S-Table'!$B537-$C$2)*('S-Table'!$B537-$D$2)=0,IF(('S-Table'!$C537-$C$3)*('S-Table'!$C537-$D$3)=0,'S-Table'!C537,0),0)</f>
        <v>0</v>
      </c>
      <c r="J537" s="14">
        <f>IF(('S-Table'!$B537-$C$2)*('S-Table'!$B537-$D$2)=0,IF(('S-Table'!$C537-$C$3)*('S-Table'!$C537-$D$3)=0,'S-Table'!D537,0),0)</f>
        <v>0</v>
      </c>
      <c r="K537" s="14">
        <f>IF(('S-Table'!$B537-$C$2)*('S-Table'!$B537-$D$2)=0,IF(('S-Table'!$C537-$C$3)*('S-Table'!$C537-$D$3)=0,'S-Table'!E537,0),0)</f>
        <v>0</v>
      </c>
    </row>
    <row r="538" spans="6:11" x14ac:dyDescent="0.2">
      <c r="F538" s="14">
        <f>IF(G538=0,IF(G537=0,F537,F537+1),IF(G537=0,MAX(F$1:F537),MAX(F$1:F537)+1))</f>
        <v>17</v>
      </c>
      <c r="G538" s="14">
        <f>IF(('S-Table'!$B538-$C$2)*('S-Table'!$B538-$D$2)=0,IF(('S-Table'!$C538-$C$3)*('S-Table'!$C538-$D$3)=0,'S-Table'!A538,0),0)</f>
        <v>0</v>
      </c>
      <c r="H538" s="14">
        <f>IF(('S-Table'!$B538-$C$2)*('S-Table'!$B538-$D$2)=0,IF(('S-Table'!$C538-$C$3)*('S-Table'!$C538-$D$3)=0,'S-Table'!B538,0),0)</f>
        <v>0</v>
      </c>
      <c r="I538" s="14">
        <f>IF(('S-Table'!$B538-$C$2)*('S-Table'!$B538-$D$2)=0,IF(('S-Table'!$C538-$C$3)*('S-Table'!$C538-$D$3)=0,'S-Table'!C538,0),0)</f>
        <v>0</v>
      </c>
      <c r="J538" s="14">
        <f>IF(('S-Table'!$B538-$C$2)*('S-Table'!$B538-$D$2)=0,IF(('S-Table'!$C538-$C$3)*('S-Table'!$C538-$D$3)=0,'S-Table'!D538,0),0)</f>
        <v>0</v>
      </c>
      <c r="K538" s="14">
        <f>IF(('S-Table'!$B538-$C$2)*('S-Table'!$B538-$D$2)=0,IF(('S-Table'!$C538-$C$3)*('S-Table'!$C538-$D$3)=0,'S-Table'!E538,0),0)</f>
        <v>0</v>
      </c>
    </row>
    <row r="539" spans="6:11" x14ac:dyDescent="0.2">
      <c r="F539" s="14">
        <f>IF(G539=0,IF(G538=0,F538,F538+1),IF(G538=0,MAX(F$1:F538),MAX(F$1:F538)+1))</f>
        <v>17</v>
      </c>
      <c r="G539" s="14">
        <f>IF(('S-Table'!$B539-$C$2)*('S-Table'!$B539-$D$2)=0,IF(('S-Table'!$C539-$C$3)*('S-Table'!$C539-$D$3)=0,'S-Table'!A539,0),0)</f>
        <v>0</v>
      </c>
      <c r="H539" s="14">
        <f>IF(('S-Table'!$B539-$C$2)*('S-Table'!$B539-$D$2)=0,IF(('S-Table'!$C539-$C$3)*('S-Table'!$C539-$D$3)=0,'S-Table'!B539,0),0)</f>
        <v>0</v>
      </c>
      <c r="I539" s="14">
        <f>IF(('S-Table'!$B539-$C$2)*('S-Table'!$B539-$D$2)=0,IF(('S-Table'!$C539-$C$3)*('S-Table'!$C539-$D$3)=0,'S-Table'!C539,0),0)</f>
        <v>0</v>
      </c>
      <c r="J539" s="14">
        <f>IF(('S-Table'!$B539-$C$2)*('S-Table'!$B539-$D$2)=0,IF(('S-Table'!$C539-$C$3)*('S-Table'!$C539-$D$3)=0,'S-Table'!D539,0),0)</f>
        <v>0</v>
      </c>
      <c r="K539" s="14">
        <f>IF(('S-Table'!$B539-$C$2)*('S-Table'!$B539-$D$2)=0,IF(('S-Table'!$C539-$C$3)*('S-Table'!$C539-$D$3)=0,'S-Table'!E539,0),0)</f>
        <v>0</v>
      </c>
    </row>
    <row r="540" spans="6:11" x14ac:dyDescent="0.2">
      <c r="F540" s="14">
        <f>IF(G540=0,IF(G539=0,F539,F539+1),IF(G539=0,MAX(F$1:F539),MAX(F$1:F539)+1))</f>
        <v>17</v>
      </c>
      <c r="G540" s="14">
        <f>IF(('S-Table'!$B540-$C$2)*('S-Table'!$B540-$D$2)=0,IF(('S-Table'!$C540-$C$3)*('S-Table'!$C540-$D$3)=0,'S-Table'!A540,0),0)</f>
        <v>0</v>
      </c>
      <c r="H540" s="14">
        <f>IF(('S-Table'!$B540-$C$2)*('S-Table'!$B540-$D$2)=0,IF(('S-Table'!$C540-$C$3)*('S-Table'!$C540-$D$3)=0,'S-Table'!B540,0),0)</f>
        <v>0</v>
      </c>
      <c r="I540" s="14">
        <f>IF(('S-Table'!$B540-$C$2)*('S-Table'!$B540-$D$2)=0,IF(('S-Table'!$C540-$C$3)*('S-Table'!$C540-$D$3)=0,'S-Table'!C540,0),0)</f>
        <v>0</v>
      </c>
      <c r="J540" s="14">
        <f>IF(('S-Table'!$B540-$C$2)*('S-Table'!$B540-$D$2)=0,IF(('S-Table'!$C540-$C$3)*('S-Table'!$C540-$D$3)=0,'S-Table'!D540,0),0)</f>
        <v>0</v>
      </c>
      <c r="K540" s="14">
        <f>IF(('S-Table'!$B540-$C$2)*('S-Table'!$B540-$D$2)=0,IF(('S-Table'!$C540-$C$3)*('S-Table'!$C540-$D$3)=0,'S-Table'!E540,0),0)</f>
        <v>0</v>
      </c>
    </row>
    <row r="541" spans="6:11" x14ac:dyDescent="0.2">
      <c r="F541" s="14">
        <f>IF(G541=0,IF(G540=0,F540,F540+1),IF(G540=0,MAX(F$1:F540),MAX(F$1:F540)+1))</f>
        <v>17</v>
      </c>
      <c r="G541" s="14">
        <f>IF(('S-Table'!$B541-$C$2)*('S-Table'!$B541-$D$2)=0,IF(('S-Table'!$C541-$C$3)*('S-Table'!$C541-$D$3)=0,'S-Table'!A541,0),0)</f>
        <v>0</v>
      </c>
      <c r="H541" s="14">
        <f>IF(('S-Table'!$B541-$C$2)*('S-Table'!$B541-$D$2)=0,IF(('S-Table'!$C541-$C$3)*('S-Table'!$C541-$D$3)=0,'S-Table'!B541,0),0)</f>
        <v>0</v>
      </c>
      <c r="I541" s="14">
        <f>IF(('S-Table'!$B541-$C$2)*('S-Table'!$B541-$D$2)=0,IF(('S-Table'!$C541-$C$3)*('S-Table'!$C541-$D$3)=0,'S-Table'!C541,0),0)</f>
        <v>0</v>
      </c>
      <c r="J541" s="14">
        <f>IF(('S-Table'!$B541-$C$2)*('S-Table'!$B541-$D$2)=0,IF(('S-Table'!$C541-$C$3)*('S-Table'!$C541-$D$3)=0,'S-Table'!D541,0),0)</f>
        <v>0</v>
      </c>
      <c r="K541" s="14">
        <f>IF(('S-Table'!$B541-$C$2)*('S-Table'!$B541-$D$2)=0,IF(('S-Table'!$C541-$C$3)*('S-Table'!$C541-$D$3)=0,'S-Table'!E541,0),0)</f>
        <v>0</v>
      </c>
    </row>
    <row r="542" spans="6:11" x14ac:dyDescent="0.2">
      <c r="F542" s="14">
        <f>IF(G542=0,IF(G541=0,F541,F541+1),IF(G541=0,MAX(F$1:F541),MAX(F$1:F541)+1))</f>
        <v>17</v>
      </c>
      <c r="G542" s="14">
        <f>IF(('S-Table'!$B542-$C$2)*('S-Table'!$B542-$D$2)=0,IF(('S-Table'!$C542-$C$3)*('S-Table'!$C542-$D$3)=0,'S-Table'!A542,0),0)</f>
        <v>0</v>
      </c>
      <c r="H542" s="14">
        <f>IF(('S-Table'!$B542-$C$2)*('S-Table'!$B542-$D$2)=0,IF(('S-Table'!$C542-$C$3)*('S-Table'!$C542-$D$3)=0,'S-Table'!B542,0),0)</f>
        <v>0</v>
      </c>
      <c r="I542" s="14">
        <f>IF(('S-Table'!$B542-$C$2)*('S-Table'!$B542-$D$2)=0,IF(('S-Table'!$C542-$C$3)*('S-Table'!$C542-$D$3)=0,'S-Table'!C542,0),0)</f>
        <v>0</v>
      </c>
      <c r="J542" s="14">
        <f>IF(('S-Table'!$B542-$C$2)*('S-Table'!$B542-$D$2)=0,IF(('S-Table'!$C542-$C$3)*('S-Table'!$C542-$D$3)=0,'S-Table'!D542,0),0)</f>
        <v>0</v>
      </c>
      <c r="K542" s="14">
        <f>IF(('S-Table'!$B542-$C$2)*('S-Table'!$B542-$D$2)=0,IF(('S-Table'!$C542-$C$3)*('S-Table'!$C542-$D$3)=0,'S-Table'!E542,0),0)</f>
        <v>0</v>
      </c>
    </row>
    <row r="543" spans="6:11" x14ac:dyDescent="0.2">
      <c r="F543" s="14">
        <f>IF(G543=0,IF(G542=0,F542,F542+1),IF(G542=0,MAX(F$1:F542),MAX(F$1:F542)+1))</f>
        <v>17</v>
      </c>
      <c r="G543" s="14">
        <f>IF(('S-Table'!$B543-$C$2)*('S-Table'!$B543-$D$2)=0,IF(('S-Table'!$C543-$C$3)*('S-Table'!$C543-$D$3)=0,'S-Table'!A543,0),0)</f>
        <v>0</v>
      </c>
      <c r="H543" s="14">
        <f>IF(('S-Table'!$B543-$C$2)*('S-Table'!$B543-$D$2)=0,IF(('S-Table'!$C543-$C$3)*('S-Table'!$C543-$D$3)=0,'S-Table'!B543,0),0)</f>
        <v>0</v>
      </c>
      <c r="I543" s="14">
        <f>IF(('S-Table'!$B543-$C$2)*('S-Table'!$B543-$D$2)=0,IF(('S-Table'!$C543-$C$3)*('S-Table'!$C543-$D$3)=0,'S-Table'!C543,0),0)</f>
        <v>0</v>
      </c>
      <c r="J543" s="14">
        <f>IF(('S-Table'!$B543-$C$2)*('S-Table'!$B543-$D$2)=0,IF(('S-Table'!$C543-$C$3)*('S-Table'!$C543-$D$3)=0,'S-Table'!D543,0),0)</f>
        <v>0</v>
      </c>
      <c r="K543" s="14">
        <f>IF(('S-Table'!$B543-$C$2)*('S-Table'!$B543-$D$2)=0,IF(('S-Table'!$C543-$C$3)*('S-Table'!$C543-$D$3)=0,'S-Table'!E543,0),0)</f>
        <v>0</v>
      </c>
    </row>
    <row r="544" spans="6:11" x14ac:dyDescent="0.2">
      <c r="F544" s="14">
        <f>IF(G544=0,IF(G543=0,F543,F543+1),IF(G543=0,MAX(F$1:F543),MAX(F$1:F543)+1))</f>
        <v>17</v>
      </c>
      <c r="G544" s="14">
        <f>IF(('S-Table'!$B544-$C$2)*('S-Table'!$B544-$D$2)=0,IF(('S-Table'!$C544-$C$3)*('S-Table'!$C544-$D$3)=0,'S-Table'!A544,0),0)</f>
        <v>0</v>
      </c>
      <c r="H544" s="14">
        <f>IF(('S-Table'!$B544-$C$2)*('S-Table'!$B544-$D$2)=0,IF(('S-Table'!$C544-$C$3)*('S-Table'!$C544-$D$3)=0,'S-Table'!B544,0),0)</f>
        <v>0</v>
      </c>
      <c r="I544" s="14">
        <f>IF(('S-Table'!$B544-$C$2)*('S-Table'!$B544-$D$2)=0,IF(('S-Table'!$C544-$C$3)*('S-Table'!$C544-$D$3)=0,'S-Table'!C544,0),0)</f>
        <v>0</v>
      </c>
      <c r="J544" s="14">
        <f>IF(('S-Table'!$B544-$C$2)*('S-Table'!$B544-$D$2)=0,IF(('S-Table'!$C544-$C$3)*('S-Table'!$C544-$D$3)=0,'S-Table'!D544,0),0)</f>
        <v>0</v>
      </c>
      <c r="K544" s="14">
        <f>IF(('S-Table'!$B544-$C$2)*('S-Table'!$B544-$D$2)=0,IF(('S-Table'!$C544-$C$3)*('S-Table'!$C544-$D$3)=0,'S-Table'!E544,0),0)</f>
        <v>0</v>
      </c>
    </row>
    <row r="545" spans="6:11" x14ac:dyDescent="0.2">
      <c r="F545" s="14">
        <f>IF(G545=0,IF(G544=0,F544,F544+1),IF(G544=0,MAX(F$1:F544),MAX(F$1:F544)+1))</f>
        <v>17</v>
      </c>
      <c r="G545" s="14">
        <f>IF(('S-Table'!$B545-$C$2)*('S-Table'!$B545-$D$2)=0,IF(('S-Table'!$C545-$C$3)*('S-Table'!$C545-$D$3)=0,'S-Table'!A545,0),0)</f>
        <v>0</v>
      </c>
      <c r="H545" s="14">
        <f>IF(('S-Table'!$B545-$C$2)*('S-Table'!$B545-$D$2)=0,IF(('S-Table'!$C545-$C$3)*('S-Table'!$C545-$D$3)=0,'S-Table'!B545,0),0)</f>
        <v>0</v>
      </c>
      <c r="I545" s="14">
        <f>IF(('S-Table'!$B545-$C$2)*('S-Table'!$B545-$D$2)=0,IF(('S-Table'!$C545-$C$3)*('S-Table'!$C545-$D$3)=0,'S-Table'!C545,0),0)</f>
        <v>0</v>
      </c>
      <c r="J545" s="14">
        <f>IF(('S-Table'!$B545-$C$2)*('S-Table'!$B545-$D$2)=0,IF(('S-Table'!$C545-$C$3)*('S-Table'!$C545-$D$3)=0,'S-Table'!D545,0),0)</f>
        <v>0</v>
      </c>
      <c r="K545" s="14">
        <f>IF(('S-Table'!$B545-$C$2)*('S-Table'!$B545-$D$2)=0,IF(('S-Table'!$C545-$C$3)*('S-Table'!$C545-$D$3)=0,'S-Table'!E545,0),0)</f>
        <v>0</v>
      </c>
    </row>
    <row r="546" spans="6:11" x14ac:dyDescent="0.2">
      <c r="F546" s="14">
        <f>IF(G546=0,IF(G545=0,F545,F545+1),IF(G545=0,MAX(F$1:F545),MAX(F$1:F545)+1))</f>
        <v>17</v>
      </c>
      <c r="G546" s="14">
        <f>IF(('S-Table'!$B546-$C$2)*('S-Table'!$B546-$D$2)=0,IF(('S-Table'!$C546-$C$3)*('S-Table'!$C546-$D$3)=0,'S-Table'!A546,0),0)</f>
        <v>0</v>
      </c>
      <c r="H546" s="14">
        <f>IF(('S-Table'!$B546-$C$2)*('S-Table'!$B546-$D$2)=0,IF(('S-Table'!$C546-$C$3)*('S-Table'!$C546-$D$3)=0,'S-Table'!B546,0),0)</f>
        <v>0</v>
      </c>
      <c r="I546" s="14">
        <f>IF(('S-Table'!$B546-$C$2)*('S-Table'!$B546-$D$2)=0,IF(('S-Table'!$C546-$C$3)*('S-Table'!$C546-$D$3)=0,'S-Table'!C546,0),0)</f>
        <v>0</v>
      </c>
      <c r="J546" s="14">
        <f>IF(('S-Table'!$B546-$C$2)*('S-Table'!$B546-$D$2)=0,IF(('S-Table'!$C546-$C$3)*('S-Table'!$C546-$D$3)=0,'S-Table'!D546,0),0)</f>
        <v>0</v>
      </c>
      <c r="K546" s="14">
        <f>IF(('S-Table'!$B546-$C$2)*('S-Table'!$B546-$D$2)=0,IF(('S-Table'!$C546-$C$3)*('S-Table'!$C546-$D$3)=0,'S-Table'!E546,0),0)</f>
        <v>0</v>
      </c>
    </row>
    <row r="547" spans="6:11" x14ac:dyDescent="0.2">
      <c r="F547" s="14">
        <f>IF(G547=0,IF(G546=0,F546,F546+1),IF(G546=0,MAX(F$1:F546),MAX(F$1:F546)+1))</f>
        <v>17</v>
      </c>
      <c r="G547" s="14">
        <f>IF(('S-Table'!$B547-$C$2)*('S-Table'!$B547-$D$2)=0,IF(('S-Table'!$C547-$C$3)*('S-Table'!$C547-$D$3)=0,'S-Table'!A547,0),0)</f>
        <v>0</v>
      </c>
      <c r="H547" s="14">
        <f>IF(('S-Table'!$B547-$C$2)*('S-Table'!$B547-$D$2)=0,IF(('S-Table'!$C547-$C$3)*('S-Table'!$C547-$D$3)=0,'S-Table'!B547,0),0)</f>
        <v>0</v>
      </c>
      <c r="I547" s="14">
        <f>IF(('S-Table'!$B547-$C$2)*('S-Table'!$B547-$D$2)=0,IF(('S-Table'!$C547-$C$3)*('S-Table'!$C547-$D$3)=0,'S-Table'!C547,0),0)</f>
        <v>0</v>
      </c>
      <c r="J547" s="14">
        <f>IF(('S-Table'!$B547-$C$2)*('S-Table'!$B547-$D$2)=0,IF(('S-Table'!$C547-$C$3)*('S-Table'!$C547-$D$3)=0,'S-Table'!D547,0),0)</f>
        <v>0</v>
      </c>
      <c r="K547" s="14">
        <f>IF(('S-Table'!$B547-$C$2)*('S-Table'!$B547-$D$2)=0,IF(('S-Table'!$C547-$C$3)*('S-Table'!$C547-$D$3)=0,'S-Table'!E547,0),0)</f>
        <v>0</v>
      </c>
    </row>
    <row r="548" spans="6:11" x14ac:dyDescent="0.2">
      <c r="F548" s="14">
        <f>IF(G548=0,IF(G547=0,F547,F547+1),IF(G547=0,MAX(F$1:F547),MAX(F$1:F547)+1))</f>
        <v>17</v>
      </c>
      <c r="G548" s="14">
        <f>IF(('S-Table'!$B548-$C$2)*('S-Table'!$B548-$D$2)=0,IF(('S-Table'!$C548-$C$3)*('S-Table'!$C548-$D$3)=0,'S-Table'!A548,0),0)</f>
        <v>0</v>
      </c>
      <c r="H548" s="14">
        <f>IF(('S-Table'!$B548-$C$2)*('S-Table'!$B548-$D$2)=0,IF(('S-Table'!$C548-$C$3)*('S-Table'!$C548-$D$3)=0,'S-Table'!B548,0),0)</f>
        <v>0</v>
      </c>
      <c r="I548" s="14">
        <f>IF(('S-Table'!$B548-$C$2)*('S-Table'!$B548-$D$2)=0,IF(('S-Table'!$C548-$C$3)*('S-Table'!$C548-$D$3)=0,'S-Table'!C548,0),0)</f>
        <v>0</v>
      </c>
      <c r="J548" s="14">
        <f>IF(('S-Table'!$B548-$C$2)*('S-Table'!$B548-$D$2)=0,IF(('S-Table'!$C548-$C$3)*('S-Table'!$C548-$D$3)=0,'S-Table'!D548,0),0)</f>
        <v>0</v>
      </c>
      <c r="K548" s="14">
        <f>IF(('S-Table'!$B548-$C$2)*('S-Table'!$B548-$D$2)=0,IF(('S-Table'!$C548-$C$3)*('S-Table'!$C548-$D$3)=0,'S-Table'!E548,0),0)</f>
        <v>0</v>
      </c>
    </row>
    <row r="549" spans="6:11" x14ac:dyDescent="0.2">
      <c r="F549" s="14">
        <f>IF(G549=0,IF(G548=0,F548,F548+1),IF(G548=0,MAX(F$1:F548),MAX(F$1:F548)+1))</f>
        <v>17</v>
      </c>
      <c r="G549" s="14">
        <f>IF(('S-Table'!$B549-$C$2)*('S-Table'!$B549-$D$2)=0,IF(('S-Table'!$C549-$C$3)*('S-Table'!$C549-$D$3)=0,'S-Table'!A549,0),0)</f>
        <v>0</v>
      </c>
      <c r="H549" s="14">
        <f>IF(('S-Table'!$B549-$C$2)*('S-Table'!$B549-$D$2)=0,IF(('S-Table'!$C549-$C$3)*('S-Table'!$C549-$D$3)=0,'S-Table'!B549,0),0)</f>
        <v>0</v>
      </c>
      <c r="I549" s="14">
        <f>IF(('S-Table'!$B549-$C$2)*('S-Table'!$B549-$D$2)=0,IF(('S-Table'!$C549-$C$3)*('S-Table'!$C549-$D$3)=0,'S-Table'!C549,0),0)</f>
        <v>0</v>
      </c>
      <c r="J549" s="14">
        <f>IF(('S-Table'!$B549-$C$2)*('S-Table'!$B549-$D$2)=0,IF(('S-Table'!$C549-$C$3)*('S-Table'!$C549-$D$3)=0,'S-Table'!D549,0),0)</f>
        <v>0</v>
      </c>
      <c r="K549" s="14">
        <f>IF(('S-Table'!$B549-$C$2)*('S-Table'!$B549-$D$2)=0,IF(('S-Table'!$C549-$C$3)*('S-Table'!$C549-$D$3)=0,'S-Table'!E549,0),0)</f>
        <v>0</v>
      </c>
    </row>
    <row r="550" spans="6:11" x14ac:dyDescent="0.2">
      <c r="F550" s="14">
        <f>IF(G550=0,IF(G549=0,F549,F549+1),IF(G549=0,MAX(F$1:F549),MAX(F$1:F549)+1))</f>
        <v>17</v>
      </c>
      <c r="G550" s="14">
        <f>IF(('S-Table'!$B550-$C$2)*('S-Table'!$B550-$D$2)=0,IF(('S-Table'!$C550-$C$3)*('S-Table'!$C550-$D$3)=0,'S-Table'!A550,0),0)</f>
        <v>0</v>
      </c>
      <c r="H550" s="14">
        <f>IF(('S-Table'!$B550-$C$2)*('S-Table'!$B550-$D$2)=0,IF(('S-Table'!$C550-$C$3)*('S-Table'!$C550-$D$3)=0,'S-Table'!B550,0),0)</f>
        <v>0</v>
      </c>
      <c r="I550" s="14">
        <f>IF(('S-Table'!$B550-$C$2)*('S-Table'!$B550-$D$2)=0,IF(('S-Table'!$C550-$C$3)*('S-Table'!$C550-$D$3)=0,'S-Table'!C550,0),0)</f>
        <v>0</v>
      </c>
      <c r="J550" s="14">
        <f>IF(('S-Table'!$B550-$C$2)*('S-Table'!$B550-$D$2)=0,IF(('S-Table'!$C550-$C$3)*('S-Table'!$C550-$D$3)=0,'S-Table'!D550,0),0)</f>
        <v>0</v>
      </c>
      <c r="K550" s="14">
        <f>IF(('S-Table'!$B550-$C$2)*('S-Table'!$B550-$D$2)=0,IF(('S-Table'!$C550-$C$3)*('S-Table'!$C550-$D$3)=0,'S-Table'!E550,0),0)</f>
        <v>0</v>
      </c>
    </row>
    <row r="551" spans="6:11" x14ac:dyDescent="0.2">
      <c r="F551" s="14">
        <f>IF(G551=0,IF(G550=0,F550,F550+1),IF(G550=0,MAX(F$1:F550),MAX(F$1:F550)+1))</f>
        <v>17</v>
      </c>
      <c r="G551" s="14">
        <f>IF(('S-Table'!$B551-$C$2)*('S-Table'!$B551-$D$2)=0,IF(('S-Table'!$C551-$C$3)*('S-Table'!$C551-$D$3)=0,'S-Table'!A551,0),0)</f>
        <v>0</v>
      </c>
      <c r="H551" s="14">
        <f>IF(('S-Table'!$B551-$C$2)*('S-Table'!$B551-$D$2)=0,IF(('S-Table'!$C551-$C$3)*('S-Table'!$C551-$D$3)=0,'S-Table'!B551,0),0)</f>
        <v>0</v>
      </c>
      <c r="I551" s="14">
        <f>IF(('S-Table'!$B551-$C$2)*('S-Table'!$B551-$D$2)=0,IF(('S-Table'!$C551-$C$3)*('S-Table'!$C551-$D$3)=0,'S-Table'!C551,0),0)</f>
        <v>0</v>
      </c>
      <c r="J551" s="14">
        <f>IF(('S-Table'!$B551-$C$2)*('S-Table'!$B551-$D$2)=0,IF(('S-Table'!$C551-$C$3)*('S-Table'!$C551-$D$3)=0,'S-Table'!D551,0),0)</f>
        <v>0</v>
      </c>
      <c r="K551" s="14">
        <f>IF(('S-Table'!$B551-$C$2)*('S-Table'!$B551-$D$2)=0,IF(('S-Table'!$C551-$C$3)*('S-Table'!$C551-$D$3)=0,'S-Table'!E551,0),0)</f>
        <v>0</v>
      </c>
    </row>
    <row r="552" spans="6:11" x14ac:dyDescent="0.2">
      <c r="F552" s="14">
        <f>IF(G552=0,IF(G551=0,F551,F551+1),IF(G551=0,MAX(F$1:F551),MAX(F$1:F551)+1))</f>
        <v>17</v>
      </c>
      <c r="G552" s="14">
        <f>IF(('S-Table'!$B552-$C$2)*('S-Table'!$B552-$D$2)=0,IF(('S-Table'!$C552-$C$3)*('S-Table'!$C552-$D$3)=0,'S-Table'!A552,0),0)</f>
        <v>0</v>
      </c>
      <c r="H552" s="14">
        <f>IF(('S-Table'!$B552-$C$2)*('S-Table'!$B552-$D$2)=0,IF(('S-Table'!$C552-$C$3)*('S-Table'!$C552-$D$3)=0,'S-Table'!B552,0),0)</f>
        <v>0</v>
      </c>
      <c r="I552" s="14">
        <f>IF(('S-Table'!$B552-$C$2)*('S-Table'!$B552-$D$2)=0,IF(('S-Table'!$C552-$C$3)*('S-Table'!$C552-$D$3)=0,'S-Table'!C552,0),0)</f>
        <v>0</v>
      </c>
      <c r="J552" s="14">
        <f>IF(('S-Table'!$B552-$C$2)*('S-Table'!$B552-$D$2)=0,IF(('S-Table'!$C552-$C$3)*('S-Table'!$C552-$D$3)=0,'S-Table'!D552,0),0)</f>
        <v>0</v>
      </c>
      <c r="K552" s="14">
        <f>IF(('S-Table'!$B552-$C$2)*('S-Table'!$B552-$D$2)=0,IF(('S-Table'!$C552-$C$3)*('S-Table'!$C552-$D$3)=0,'S-Table'!E552,0),0)</f>
        <v>0</v>
      </c>
    </row>
    <row r="553" spans="6:11" x14ac:dyDescent="0.2">
      <c r="F553" s="14">
        <f>IF(G553=0,IF(G552=0,F552,F552+1),IF(G552=0,MAX(F$1:F552),MAX(F$1:F552)+1))</f>
        <v>17</v>
      </c>
      <c r="G553" s="14">
        <f>IF(('S-Table'!$B553-$C$2)*('S-Table'!$B553-$D$2)=0,IF(('S-Table'!$C553-$C$3)*('S-Table'!$C553-$D$3)=0,'S-Table'!A553,0),0)</f>
        <v>0</v>
      </c>
      <c r="H553" s="14">
        <f>IF(('S-Table'!$B553-$C$2)*('S-Table'!$B553-$D$2)=0,IF(('S-Table'!$C553-$C$3)*('S-Table'!$C553-$D$3)=0,'S-Table'!B553,0),0)</f>
        <v>0</v>
      </c>
      <c r="I553" s="14">
        <f>IF(('S-Table'!$B553-$C$2)*('S-Table'!$B553-$D$2)=0,IF(('S-Table'!$C553-$C$3)*('S-Table'!$C553-$D$3)=0,'S-Table'!C553,0),0)</f>
        <v>0</v>
      </c>
      <c r="J553" s="14">
        <f>IF(('S-Table'!$B553-$C$2)*('S-Table'!$B553-$D$2)=0,IF(('S-Table'!$C553-$C$3)*('S-Table'!$C553-$D$3)=0,'S-Table'!D553,0),0)</f>
        <v>0</v>
      </c>
      <c r="K553" s="14">
        <f>IF(('S-Table'!$B553-$C$2)*('S-Table'!$B553-$D$2)=0,IF(('S-Table'!$C553-$C$3)*('S-Table'!$C553-$D$3)=0,'S-Table'!E553,0),0)</f>
        <v>0</v>
      </c>
    </row>
    <row r="554" spans="6:11" x14ac:dyDescent="0.2">
      <c r="F554" s="14">
        <f>IF(G554=0,IF(G553=0,F553,F553+1),IF(G553=0,MAX(F$1:F553),MAX(F$1:F553)+1))</f>
        <v>17</v>
      </c>
      <c r="G554" s="14">
        <f>IF(('S-Table'!$B554-$C$2)*('S-Table'!$B554-$D$2)=0,IF(('S-Table'!$C554-$C$3)*('S-Table'!$C554-$D$3)=0,'S-Table'!A554,0),0)</f>
        <v>0</v>
      </c>
      <c r="H554" s="14">
        <f>IF(('S-Table'!$B554-$C$2)*('S-Table'!$B554-$D$2)=0,IF(('S-Table'!$C554-$C$3)*('S-Table'!$C554-$D$3)=0,'S-Table'!B554,0),0)</f>
        <v>0</v>
      </c>
      <c r="I554" s="14">
        <f>IF(('S-Table'!$B554-$C$2)*('S-Table'!$B554-$D$2)=0,IF(('S-Table'!$C554-$C$3)*('S-Table'!$C554-$D$3)=0,'S-Table'!C554,0),0)</f>
        <v>0</v>
      </c>
      <c r="J554" s="14">
        <f>IF(('S-Table'!$B554-$C$2)*('S-Table'!$B554-$D$2)=0,IF(('S-Table'!$C554-$C$3)*('S-Table'!$C554-$D$3)=0,'S-Table'!D554,0),0)</f>
        <v>0</v>
      </c>
      <c r="K554" s="14">
        <f>IF(('S-Table'!$B554-$C$2)*('S-Table'!$B554-$D$2)=0,IF(('S-Table'!$C554-$C$3)*('S-Table'!$C554-$D$3)=0,'S-Table'!E554,0),0)</f>
        <v>0</v>
      </c>
    </row>
    <row r="555" spans="6:11" x14ac:dyDescent="0.2">
      <c r="F555" s="14">
        <f>IF(G555=0,IF(G554=0,F554,F554+1),IF(G554=0,MAX(F$1:F554),MAX(F$1:F554)+1))</f>
        <v>17</v>
      </c>
      <c r="G555" s="14">
        <f>IF(('S-Table'!$B555-$C$2)*('S-Table'!$B555-$D$2)=0,IF(('S-Table'!$C555-$C$3)*('S-Table'!$C555-$D$3)=0,'S-Table'!A555,0),0)</f>
        <v>0</v>
      </c>
      <c r="H555" s="14">
        <f>IF(('S-Table'!$B555-$C$2)*('S-Table'!$B555-$D$2)=0,IF(('S-Table'!$C555-$C$3)*('S-Table'!$C555-$D$3)=0,'S-Table'!B555,0),0)</f>
        <v>0</v>
      </c>
      <c r="I555" s="14">
        <f>IF(('S-Table'!$B555-$C$2)*('S-Table'!$B555-$D$2)=0,IF(('S-Table'!$C555-$C$3)*('S-Table'!$C555-$D$3)=0,'S-Table'!C555,0),0)</f>
        <v>0</v>
      </c>
      <c r="J555" s="14">
        <f>IF(('S-Table'!$B555-$C$2)*('S-Table'!$B555-$D$2)=0,IF(('S-Table'!$C555-$C$3)*('S-Table'!$C555-$D$3)=0,'S-Table'!D555,0),0)</f>
        <v>0</v>
      </c>
      <c r="K555" s="14">
        <f>IF(('S-Table'!$B555-$C$2)*('S-Table'!$B555-$D$2)=0,IF(('S-Table'!$C555-$C$3)*('S-Table'!$C555-$D$3)=0,'S-Table'!E555,0),0)</f>
        <v>0</v>
      </c>
    </row>
    <row r="556" spans="6:11" x14ac:dyDescent="0.2">
      <c r="F556" s="14">
        <f>IF(G556=0,IF(G555=0,F555,F555+1),IF(G555=0,MAX(F$1:F555),MAX(F$1:F555)+1))</f>
        <v>17</v>
      </c>
      <c r="G556" s="14">
        <f>IF(('S-Table'!$B556-$C$2)*('S-Table'!$B556-$D$2)=0,IF(('S-Table'!$C556-$C$3)*('S-Table'!$C556-$D$3)=0,'S-Table'!A556,0),0)</f>
        <v>0</v>
      </c>
      <c r="H556" s="14">
        <f>IF(('S-Table'!$B556-$C$2)*('S-Table'!$B556-$D$2)=0,IF(('S-Table'!$C556-$C$3)*('S-Table'!$C556-$D$3)=0,'S-Table'!B556,0),0)</f>
        <v>0</v>
      </c>
      <c r="I556" s="14">
        <f>IF(('S-Table'!$B556-$C$2)*('S-Table'!$B556-$D$2)=0,IF(('S-Table'!$C556-$C$3)*('S-Table'!$C556-$D$3)=0,'S-Table'!C556,0),0)</f>
        <v>0</v>
      </c>
      <c r="J556" s="14">
        <f>IF(('S-Table'!$B556-$C$2)*('S-Table'!$B556-$D$2)=0,IF(('S-Table'!$C556-$C$3)*('S-Table'!$C556-$D$3)=0,'S-Table'!D556,0),0)</f>
        <v>0</v>
      </c>
      <c r="K556" s="14">
        <f>IF(('S-Table'!$B556-$C$2)*('S-Table'!$B556-$D$2)=0,IF(('S-Table'!$C556-$C$3)*('S-Table'!$C556-$D$3)=0,'S-Table'!E556,0),0)</f>
        <v>0</v>
      </c>
    </row>
    <row r="557" spans="6:11" x14ac:dyDescent="0.2">
      <c r="F557" s="14">
        <f>IF(G557=0,IF(G556=0,F556,F556+1),IF(G556=0,MAX(F$1:F556),MAX(F$1:F556)+1))</f>
        <v>17</v>
      </c>
      <c r="G557" s="14">
        <f>IF(('S-Table'!$B557-$C$2)*('S-Table'!$B557-$D$2)=0,IF(('S-Table'!$C557-$C$3)*('S-Table'!$C557-$D$3)=0,'S-Table'!A557,0),0)</f>
        <v>0</v>
      </c>
      <c r="H557" s="14">
        <f>IF(('S-Table'!$B557-$C$2)*('S-Table'!$B557-$D$2)=0,IF(('S-Table'!$C557-$C$3)*('S-Table'!$C557-$D$3)=0,'S-Table'!B557,0),0)</f>
        <v>0</v>
      </c>
      <c r="I557" s="14">
        <f>IF(('S-Table'!$B557-$C$2)*('S-Table'!$B557-$D$2)=0,IF(('S-Table'!$C557-$C$3)*('S-Table'!$C557-$D$3)=0,'S-Table'!C557,0),0)</f>
        <v>0</v>
      </c>
      <c r="J557" s="14">
        <f>IF(('S-Table'!$B557-$C$2)*('S-Table'!$B557-$D$2)=0,IF(('S-Table'!$C557-$C$3)*('S-Table'!$C557-$D$3)=0,'S-Table'!D557,0),0)</f>
        <v>0</v>
      </c>
      <c r="K557" s="14">
        <f>IF(('S-Table'!$B557-$C$2)*('S-Table'!$B557-$D$2)=0,IF(('S-Table'!$C557-$C$3)*('S-Table'!$C557-$D$3)=0,'S-Table'!E557,0),0)</f>
        <v>0</v>
      </c>
    </row>
    <row r="558" spans="6:11" x14ac:dyDescent="0.2">
      <c r="F558" s="14">
        <f>IF(G558=0,IF(G557=0,F557,F557+1),IF(G557=0,MAX(F$1:F557),MAX(F$1:F557)+1))</f>
        <v>17</v>
      </c>
      <c r="G558" s="14">
        <f>IF(('S-Table'!$B558-$C$2)*('S-Table'!$B558-$D$2)=0,IF(('S-Table'!$C558-$C$3)*('S-Table'!$C558-$D$3)=0,'S-Table'!A558,0),0)</f>
        <v>0</v>
      </c>
      <c r="H558" s="14">
        <f>IF(('S-Table'!$B558-$C$2)*('S-Table'!$B558-$D$2)=0,IF(('S-Table'!$C558-$C$3)*('S-Table'!$C558-$D$3)=0,'S-Table'!B558,0),0)</f>
        <v>0</v>
      </c>
      <c r="I558" s="14">
        <f>IF(('S-Table'!$B558-$C$2)*('S-Table'!$B558-$D$2)=0,IF(('S-Table'!$C558-$C$3)*('S-Table'!$C558-$D$3)=0,'S-Table'!C558,0),0)</f>
        <v>0</v>
      </c>
      <c r="J558" s="14">
        <f>IF(('S-Table'!$B558-$C$2)*('S-Table'!$B558-$D$2)=0,IF(('S-Table'!$C558-$C$3)*('S-Table'!$C558-$D$3)=0,'S-Table'!D558,0),0)</f>
        <v>0</v>
      </c>
      <c r="K558" s="14">
        <f>IF(('S-Table'!$B558-$C$2)*('S-Table'!$B558-$D$2)=0,IF(('S-Table'!$C558-$C$3)*('S-Table'!$C558-$D$3)=0,'S-Table'!E558,0),0)</f>
        <v>0</v>
      </c>
    </row>
    <row r="559" spans="6:11" x14ac:dyDescent="0.2">
      <c r="F559" s="14">
        <f>IF(G559=0,IF(G558=0,F558,F558+1),IF(G558=0,MAX(F$1:F558),MAX(F$1:F558)+1))</f>
        <v>17</v>
      </c>
      <c r="G559" s="14">
        <f>IF(('S-Table'!$B559-$C$2)*('S-Table'!$B559-$D$2)=0,IF(('S-Table'!$C559-$C$3)*('S-Table'!$C559-$D$3)=0,'S-Table'!A559,0),0)</f>
        <v>0</v>
      </c>
      <c r="H559" s="14">
        <f>IF(('S-Table'!$B559-$C$2)*('S-Table'!$B559-$D$2)=0,IF(('S-Table'!$C559-$C$3)*('S-Table'!$C559-$D$3)=0,'S-Table'!B559,0),0)</f>
        <v>0</v>
      </c>
      <c r="I559" s="14">
        <f>IF(('S-Table'!$B559-$C$2)*('S-Table'!$B559-$D$2)=0,IF(('S-Table'!$C559-$C$3)*('S-Table'!$C559-$D$3)=0,'S-Table'!C559,0),0)</f>
        <v>0</v>
      </c>
      <c r="J559" s="14">
        <f>IF(('S-Table'!$B559-$C$2)*('S-Table'!$B559-$D$2)=0,IF(('S-Table'!$C559-$C$3)*('S-Table'!$C559-$D$3)=0,'S-Table'!D559,0),0)</f>
        <v>0</v>
      </c>
      <c r="K559" s="14">
        <f>IF(('S-Table'!$B559-$C$2)*('S-Table'!$B559-$D$2)=0,IF(('S-Table'!$C559-$C$3)*('S-Table'!$C559-$D$3)=0,'S-Table'!E559,0),0)</f>
        <v>0</v>
      </c>
    </row>
    <row r="560" spans="6:11" x14ac:dyDescent="0.2">
      <c r="F560" s="14">
        <f>IF(G560=0,IF(G559=0,F559,F559+1),IF(G559=0,MAX(F$1:F559),MAX(F$1:F559)+1))</f>
        <v>17</v>
      </c>
      <c r="G560" s="14">
        <f>IF(('S-Table'!$B560-$C$2)*('S-Table'!$B560-$D$2)=0,IF(('S-Table'!$C560-$C$3)*('S-Table'!$C560-$D$3)=0,'S-Table'!A560,0),0)</f>
        <v>0</v>
      </c>
      <c r="H560" s="14">
        <f>IF(('S-Table'!$B560-$C$2)*('S-Table'!$B560-$D$2)=0,IF(('S-Table'!$C560-$C$3)*('S-Table'!$C560-$D$3)=0,'S-Table'!B560,0),0)</f>
        <v>0</v>
      </c>
      <c r="I560" s="14">
        <f>IF(('S-Table'!$B560-$C$2)*('S-Table'!$B560-$D$2)=0,IF(('S-Table'!$C560-$C$3)*('S-Table'!$C560-$D$3)=0,'S-Table'!C560,0),0)</f>
        <v>0</v>
      </c>
      <c r="J560" s="14">
        <f>IF(('S-Table'!$B560-$C$2)*('S-Table'!$B560-$D$2)=0,IF(('S-Table'!$C560-$C$3)*('S-Table'!$C560-$D$3)=0,'S-Table'!D560,0),0)</f>
        <v>0</v>
      </c>
      <c r="K560" s="14">
        <f>IF(('S-Table'!$B560-$C$2)*('S-Table'!$B560-$D$2)=0,IF(('S-Table'!$C560-$C$3)*('S-Table'!$C560-$D$3)=0,'S-Table'!E560,0),0)</f>
        <v>0</v>
      </c>
    </row>
    <row r="561" spans="6:11" x14ac:dyDescent="0.2">
      <c r="F561" s="14">
        <f>IF(G561=0,IF(G560=0,F560,F560+1),IF(G560=0,MAX(F$1:F560),MAX(F$1:F560)+1))</f>
        <v>17</v>
      </c>
      <c r="G561" s="14">
        <f>IF(('S-Table'!$B561-$C$2)*('S-Table'!$B561-$D$2)=0,IF(('S-Table'!$C561-$C$3)*('S-Table'!$C561-$D$3)=0,'S-Table'!A561,0),0)</f>
        <v>0</v>
      </c>
      <c r="H561" s="14">
        <f>IF(('S-Table'!$B561-$C$2)*('S-Table'!$B561-$D$2)=0,IF(('S-Table'!$C561-$C$3)*('S-Table'!$C561-$D$3)=0,'S-Table'!B561,0),0)</f>
        <v>0</v>
      </c>
      <c r="I561" s="14">
        <f>IF(('S-Table'!$B561-$C$2)*('S-Table'!$B561-$D$2)=0,IF(('S-Table'!$C561-$C$3)*('S-Table'!$C561-$D$3)=0,'S-Table'!C561,0),0)</f>
        <v>0</v>
      </c>
      <c r="J561" s="14">
        <f>IF(('S-Table'!$B561-$C$2)*('S-Table'!$B561-$D$2)=0,IF(('S-Table'!$C561-$C$3)*('S-Table'!$C561-$D$3)=0,'S-Table'!D561,0),0)</f>
        <v>0</v>
      </c>
      <c r="K561" s="14">
        <f>IF(('S-Table'!$B561-$C$2)*('S-Table'!$B561-$D$2)=0,IF(('S-Table'!$C561-$C$3)*('S-Table'!$C561-$D$3)=0,'S-Table'!E561,0),0)</f>
        <v>0</v>
      </c>
    </row>
    <row r="562" spans="6:11" x14ac:dyDescent="0.2">
      <c r="F562" s="14">
        <f>IF(G562=0,IF(G561=0,F561,F561+1),IF(G561=0,MAX(F$1:F561),MAX(F$1:F561)+1))</f>
        <v>17</v>
      </c>
      <c r="G562" s="14">
        <f>IF(('S-Table'!$B562-$C$2)*('S-Table'!$B562-$D$2)=0,IF(('S-Table'!$C562-$C$3)*('S-Table'!$C562-$D$3)=0,'S-Table'!A562,0),0)</f>
        <v>0</v>
      </c>
      <c r="H562" s="14">
        <f>IF(('S-Table'!$B562-$C$2)*('S-Table'!$B562-$D$2)=0,IF(('S-Table'!$C562-$C$3)*('S-Table'!$C562-$D$3)=0,'S-Table'!B562,0),0)</f>
        <v>0</v>
      </c>
      <c r="I562" s="14">
        <f>IF(('S-Table'!$B562-$C$2)*('S-Table'!$B562-$D$2)=0,IF(('S-Table'!$C562-$C$3)*('S-Table'!$C562-$D$3)=0,'S-Table'!C562,0),0)</f>
        <v>0</v>
      </c>
      <c r="J562" s="14">
        <f>IF(('S-Table'!$B562-$C$2)*('S-Table'!$B562-$D$2)=0,IF(('S-Table'!$C562-$C$3)*('S-Table'!$C562-$D$3)=0,'S-Table'!D562,0),0)</f>
        <v>0</v>
      </c>
      <c r="K562" s="14">
        <f>IF(('S-Table'!$B562-$C$2)*('S-Table'!$B562-$D$2)=0,IF(('S-Table'!$C562-$C$3)*('S-Table'!$C562-$D$3)=0,'S-Table'!E562,0),0)</f>
        <v>0</v>
      </c>
    </row>
    <row r="563" spans="6:11" x14ac:dyDescent="0.2">
      <c r="F563" s="14">
        <f>IF(G563=0,IF(G562=0,F562,F562+1),IF(G562=0,MAX(F$1:F562),MAX(F$1:F562)+1))</f>
        <v>17</v>
      </c>
      <c r="G563" s="14">
        <f>IF(('S-Table'!$B563-$C$2)*('S-Table'!$B563-$D$2)=0,IF(('S-Table'!$C563-$C$3)*('S-Table'!$C563-$D$3)=0,'S-Table'!A563,0),0)</f>
        <v>0</v>
      </c>
      <c r="H563" s="14">
        <f>IF(('S-Table'!$B563-$C$2)*('S-Table'!$B563-$D$2)=0,IF(('S-Table'!$C563-$C$3)*('S-Table'!$C563-$D$3)=0,'S-Table'!B563,0),0)</f>
        <v>0</v>
      </c>
      <c r="I563" s="14">
        <f>IF(('S-Table'!$B563-$C$2)*('S-Table'!$B563-$D$2)=0,IF(('S-Table'!$C563-$C$3)*('S-Table'!$C563-$D$3)=0,'S-Table'!C563,0),0)</f>
        <v>0</v>
      </c>
      <c r="J563" s="14">
        <f>IF(('S-Table'!$B563-$C$2)*('S-Table'!$B563-$D$2)=0,IF(('S-Table'!$C563-$C$3)*('S-Table'!$C563-$D$3)=0,'S-Table'!D563,0),0)</f>
        <v>0</v>
      </c>
      <c r="K563" s="14">
        <f>IF(('S-Table'!$B563-$C$2)*('S-Table'!$B563-$D$2)=0,IF(('S-Table'!$C563-$C$3)*('S-Table'!$C563-$D$3)=0,'S-Table'!E563,0),0)</f>
        <v>0</v>
      </c>
    </row>
    <row r="564" spans="6:11" x14ac:dyDescent="0.2">
      <c r="F564" s="14">
        <f>IF(G564=0,IF(G563=0,F563,F563+1),IF(G563=0,MAX(F$1:F563),MAX(F$1:F563)+1))</f>
        <v>17</v>
      </c>
      <c r="G564" s="14">
        <f>IF(('S-Table'!$B564-$C$2)*('S-Table'!$B564-$D$2)=0,IF(('S-Table'!$C564-$C$3)*('S-Table'!$C564-$D$3)=0,'S-Table'!A564,0),0)</f>
        <v>0</v>
      </c>
      <c r="H564" s="14">
        <f>IF(('S-Table'!$B564-$C$2)*('S-Table'!$B564-$D$2)=0,IF(('S-Table'!$C564-$C$3)*('S-Table'!$C564-$D$3)=0,'S-Table'!B564,0),0)</f>
        <v>0</v>
      </c>
      <c r="I564" s="14">
        <f>IF(('S-Table'!$B564-$C$2)*('S-Table'!$B564-$D$2)=0,IF(('S-Table'!$C564-$C$3)*('S-Table'!$C564-$D$3)=0,'S-Table'!C564,0),0)</f>
        <v>0</v>
      </c>
      <c r="J564" s="14">
        <f>IF(('S-Table'!$B564-$C$2)*('S-Table'!$B564-$D$2)=0,IF(('S-Table'!$C564-$C$3)*('S-Table'!$C564-$D$3)=0,'S-Table'!D564,0),0)</f>
        <v>0</v>
      </c>
      <c r="K564" s="14">
        <f>IF(('S-Table'!$B564-$C$2)*('S-Table'!$B564-$D$2)=0,IF(('S-Table'!$C564-$C$3)*('S-Table'!$C564-$D$3)=0,'S-Table'!E564,0),0)</f>
        <v>0</v>
      </c>
    </row>
    <row r="565" spans="6:11" x14ac:dyDescent="0.2">
      <c r="F565" s="14">
        <f>IF(G565=0,IF(G564=0,F564,F564+1),IF(G564=0,MAX(F$1:F564),MAX(F$1:F564)+1))</f>
        <v>17</v>
      </c>
      <c r="G565" s="14">
        <f>IF(('S-Table'!$B565-$C$2)*('S-Table'!$B565-$D$2)=0,IF(('S-Table'!$C565-$C$3)*('S-Table'!$C565-$D$3)=0,'S-Table'!A565,0),0)</f>
        <v>0</v>
      </c>
      <c r="H565" s="14">
        <f>IF(('S-Table'!$B565-$C$2)*('S-Table'!$B565-$D$2)=0,IF(('S-Table'!$C565-$C$3)*('S-Table'!$C565-$D$3)=0,'S-Table'!B565,0),0)</f>
        <v>0</v>
      </c>
      <c r="I565" s="14">
        <f>IF(('S-Table'!$B565-$C$2)*('S-Table'!$B565-$D$2)=0,IF(('S-Table'!$C565-$C$3)*('S-Table'!$C565-$D$3)=0,'S-Table'!C565,0),0)</f>
        <v>0</v>
      </c>
      <c r="J565" s="14">
        <f>IF(('S-Table'!$B565-$C$2)*('S-Table'!$B565-$D$2)=0,IF(('S-Table'!$C565-$C$3)*('S-Table'!$C565-$D$3)=0,'S-Table'!D565,0),0)</f>
        <v>0</v>
      </c>
      <c r="K565" s="14">
        <f>IF(('S-Table'!$B565-$C$2)*('S-Table'!$B565-$D$2)=0,IF(('S-Table'!$C565-$C$3)*('S-Table'!$C565-$D$3)=0,'S-Table'!E565,0),0)</f>
        <v>0</v>
      </c>
    </row>
    <row r="566" spans="6:11" x14ac:dyDescent="0.2">
      <c r="F566" s="14">
        <f>IF(G566=0,IF(G565=0,F565,F565+1),IF(G565=0,MAX(F$1:F565),MAX(F$1:F565)+1))</f>
        <v>17</v>
      </c>
      <c r="G566" s="14">
        <f>IF(('S-Table'!$B566-$C$2)*('S-Table'!$B566-$D$2)=0,IF(('S-Table'!$C566-$C$3)*('S-Table'!$C566-$D$3)=0,'S-Table'!A566,0),0)</f>
        <v>0</v>
      </c>
      <c r="H566" s="14">
        <f>IF(('S-Table'!$B566-$C$2)*('S-Table'!$B566-$D$2)=0,IF(('S-Table'!$C566-$C$3)*('S-Table'!$C566-$D$3)=0,'S-Table'!B566,0),0)</f>
        <v>0</v>
      </c>
      <c r="I566" s="14">
        <f>IF(('S-Table'!$B566-$C$2)*('S-Table'!$B566-$D$2)=0,IF(('S-Table'!$C566-$C$3)*('S-Table'!$C566-$D$3)=0,'S-Table'!C566,0),0)</f>
        <v>0</v>
      </c>
      <c r="J566" s="14">
        <f>IF(('S-Table'!$B566-$C$2)*('S-Table'!$B566-$D$2)=0,IF(('S-Table'!$C566-$C$3)*('S-Table'!$C566-$D$3)=0,'S-Table'!D566,0),0)</f>
        <v>0</v>
      </c>
      <c r="K566" s="14">
        <f>IF(('S-Table'!$B566-$C$2)*('S-Table'!$B566-$D$2)=0,IF(('S-Table'!$C566-$C$3)*('S-Table'!$C566-$D$3)=0,'S-Table'!E566,0),0)</f>
        <v>0</v>
      </c>
    </row>
    <row r="567" spans="6:11" x14ac:dyDescent="0.2">
      <c r="F567" s="14">
        <f>IF(G567=0,IF(G566=0,F566,F566+1),IF(G566=0,MAX(F$1:F566),MAX(F$1:F566)+1))</f>
        <v>17</v>
      </c>
      <c r="G567" s="14">
        <f>IF(('S-Table'!$B567-$C$2)*('S-Table'!$B567-$D$2)=0,IF(('S-Table'!$C567-$C$3)*('S-Table'!$C567-$D$3)=0,'S-Table'!A567,0),0)</f>
        <v>0</v>
      </c>
      <c r="H567" s="14">
        <f>IF(('S-Table'!$B567-$C$2)*('S-Table'!$B567-$D$2)=0,IF(('S-Table'!$C567-$C$3)*('S-Table'!$C567-$D$3)=0,'S-Table'!B567,0),0)</f>
        <v>0</v>
      </c>
      <c r="I567" s="14">
        <f>IF(('S-Table'!$B567-$C$2)*('S-Table'!$B567-$D$2)=0,IF(('S-Table'!$C567-$C$3)*('S-Table'!$C567-$D$3)=0,'S-Table'!C567,0),0)</f>
        <v>0</v>
      </c>
      <c r="J567" s="14">
        <f>IF(('S-Table'!$B567-$C$2)*('S-Table'!$B567-$D$2)=0,IF(('S-Table'!$C567-$C$3)*('S-Table'!$C567-$D$3)=0,'S-Table'!D567,0),0)</f>
        <v>0</v>
      </c>
      <c r="K567" s="14">
        <f>IF(('S-Table'!$B567-$C$2)*('S-Table'!$B567-$D$2)=0,IF(('S-Table'!$C567-$C$3)*('S-Table'!$C567-$D$3)=0,'S-Table'!E567,0),0)</f>
        <v>0</v>
      </c>
    </row>
    <row r="568" spans="6:11" x14ac:dyDescent="0.2">
      <c r="F568" s="14">
        <f>IF(G568=0,IF(G567=0,F567,F567+1),IF(G567=0,MAX(F$1:F567),MAX(F$1:F567)+1))</f>
        <v>17</v>
      </c>
      <c r="G568" s="14">
        <f>IF(('S-Table'!$B568-$C$2)*('S-Table'!$B568-$D$2)=0,IF(('S-Table'!$C568-$C$3)*('S-Table'!$C568-$D$3)=0,'S-Table'!A568,0),0)</f>
        <v>0</v>
      </c>
      <c r="H568" s="14">
        <f>IF(('S-Table'!$B568-$C$2)*('S-Table'!$B568-$D$2)=0,IF(('S-Table'!$C568-$C$3)*('S-Table'!$C568-$D$3)=0,'S-Table'!B568,0),0)</f>
        <v>0</v>
      </c>
      <c r="I568" s="14">
        <f>IF(('S-Table'!$B568-$C$2)*('S-Table'!$B568-$D$2)=0,IF(('S-Table'!$C568-$C$3)*('S-Table'!$C568-$D$3)=0,'S-Table'!C568,0),0)</f>
        <v>0</v>
      </c>
      <c r="J568" s="14">
        <f>IF(('S-Table'!$B568-$C$2)*('S-Table'!$B568-$D$2)=0,IF(('S-Table'!$C568-$C$3)*('S-Table'!$C568-$D$3)=0,'S-Table'!D568,0),0)</f>
        <v>0</v>
      </c>
      <c r="K568" s="14">
        <f>IF(('S-Table'!$B568-$C$2)*('S-Table'!$B568-$D$2)=0,IF(('S-Table'!$C568-$C$3)*('S-Table'!$C568-$D$3)=0,'S-Table'!E568,0),0)</f>
        <v>0</v>
      </c>
    </row>
    <row r="569" spans="6:11" x14ac:dyDescent="0.2">
      <c r="F569" s="14">
        <f>IF(G569=0,IF(G568=0,F568,F568+1),IF(G568=0,MAX(F$1:F568),MAX(F$1:F568)+1))</f>
        <v>17</v>
      </c>
      <c r="G569" s="14">
        <f>IF(('S-Table'!$B569-$C$2)*('S-Table'!$B569-$D$2)=0,IF(('S-Table'!$C569-$C$3)*('S-Table'!$C569-$D$3)=0,'S-Table'!A569,0),0)</f>
        <v>0</v>
      </c>
      <c r="H569" s="14">
        <f>IF(('S-Table'!$B569-$C$2)*('S-Table'!$B569-$D$2)=0,IF(('S-Table'!$C569-$C$3)*('S-Table'!$C569-$D$3)=0,'S-Table'!B569,0),0)</f>
        <v>0</v>
      </c>
      <c r="I569" s="14">
        <f>IF(('S-Table'!$B569-$C$2)*('S-Table'!$B569-$D$2)=0,IF(('S-Table'!$C569-$C$3)*('S-Table'!$C569-$D$3)=0,'S-Table'!C569,0),0)</f>
        <v>0</v>
      </c>
      <c r="J569" s="14">
        <f>IF(('S-Table'!$B569-$C$2)*('S-Table'!$B569-$D$2)=0,IF(('S-Table'!$C569-$C$3)*('S-Table'!$C569-$D$3)=0,'S-Table'!D569,0),0)</f>
        <v>0</v>
      </c>
      <c r="K569" s="14">
        <f>IF(('S-Table'!$B569-$C$2)*('S-Table'!$B569-$D$2)=0,IF(('S-Table'!$C569-$C$3)*('S-Table'!$C569-$D$3)=0,'S-Table'!E569,0),0)</f>
        <v>0</v>
      </c>
    </row>
    <row r="570" spans="6:11" x14ac:dyDescent="0.2">
      <c r="F570" s="14">
        <f>IF(G570=0,IF(G569=0,F569,F569+1),IF(G569=0,MAX(F$1:F569),MAX(F$1:F569)+1))</f>
        <v>17</v>
      </c>
      <c r="G570" s="14">
        <f>IF(('S-Table'!$B570-$C$2)*('S-Table'!$B570-$D$2)=0,IF(('S-Table'!$C570-$C$3)*('S-Table'!$C570-$D$3)=0,'S-Table'!A570,0),0)</f>
        <v>0</v>
      </c>
      <c r="H570" s="14">
        <f>IF(('S-Table'!$B570-$C$2)*('S-Table'!$B570-$D$2)=0,IF(('S-Table'!$C570-$C$3)*('S-Table'!$C570-$D$3)=0,'S-Table'!B570,0),0)</f>
        <v>0</v>
      </c>
      <c r="I570" s="14">
        <f>IF(('S-Table'!$B570-$C$2)*('S-Table'!$B570-$D$2)=0,IF(('S-Table'!$C570-$C$3)*('S-Table'!$C570-$D$3)=0,'S-Table'!C570,0),0)</f>
        <v>0</v>
      </c>
      <c r="J570" s="14">
        <f>IF(('S-Table'!$B570-$C$2)*('S-Table'!$B570-$D$2)=0,IF(('S-Table'!$C570-$C$3)*('S-Table'!$C570-$D$3)=0,'S-Table'!D570,0),0)</f>
        <v>0</v>
      </c>
      <c r="K570" s="14">
        <f>IF(('S-Table'!$B570-$C$2)*('S-Table'!$B570-$D$2)=0,IF(('S-Table'!$C570-$C$3)*('S-Table'!$C570-$D$3)=0,'S-Table'!E570,0),0)</f>
        <v>0</v>
      </c>
    </row>
    <row r="571" spans="6:11" x14ac:dyDescent="0.2">
      <c r="F571" s="14">
        <f>IF(G571=0,IF(G570=0,F570,F570+1),IF(G570=0,MAX(F$1:F570),MAX(F$1:F570)+1))</f>
        <v>17</v>
      </c>
      <c r="G571" s="14">
        <f>IF(('S-Table'!$B571-$C$2)*('S-Table'!$B571-$D$2)=0,IF(('S-Table'!$C571-$C$3)*('S-Table'!$C571-$D$3)=0,'S-Table'!A571,0),0)</f>
        <v>0</v>
      </c>
      <c r="H571" s="14">
        <f>IF(('S-Table'!$B571-$C$2)*('S-Table'!$B571-$D$2)=0,IF(('S-Table'!$C571-$C$3)*('S-Table'!$C571-$D$3)=0,'S-Table'!B571,0),0)</f>
        <v>0</v>
      </c>
      <c r="I571" s="14">
        <f>IF(('S-Table'!$B571-$C$2)*('S-Table'!$B571-$D$2)=0,IF(('S-Table'!$C571-$C$3)*('S-Table'!$C571-$D$3)=0,'S-Table'!C571,0),0)</f>
        <v>0</v>
      </c>
      <c r="J571" s="14">
        <f>IF(('S-Table'!$B571-$C$2)*('S-Table'!$B571-$D$2)=0,IF(('S-Table'!$C571-$C$3)*('S-Table'!$C571-$D$3)=0,'S-Table'!D571,0),0)</f>
        <v>0</v>
      </c>
      <c r="K571" s="14">
        <f>IF(('S-Table'!$B571-$C$2)*('S-Table'!$B571-$D$2)=0,IF(('S-Table'!$C571-$C$3)*('S-Table'!$C571-$D$3)=0,'S-Table'!E571,0),0)</f>
        <v>0</v>
      </c>
    </row>
    <row r="572" spans="6:11" x14ac:dyDescent="0.2">
      <c r="F572" s="14">
        <f>IF(G572=0,IF(G571=0,F571,F571+1),IF(G571=0,MAX(F$1:F571),MAX(F$1:F571)+1))</f>
        <v>17</v>
      </c>
      <c r="G572" s="14">
        <f>IF(('S-Table'!$B572-$C$2)*('S-Table'!$B572-$D$2)=0,IF(('S-Table'!$C572-$C$3)*('S-Table'!$C572-$D$3)=0,'S-Table'!A572,0),0)</f>
        <v>0</v>
      </c>
      <c r="H572" s="14">
        <f>IF(('S-Table'!$B572-$C$2)*('S-Table'!$B572-$D$2)=0,IF(('S-Table'!$C572-$C$3)*('S-Table'!$C572-$D$3)=0,'S-Table'!B572,0),0)</f>
        <v>0</v>
      </c>
      <c r="I572" s="14">
        <f>IF(('S-Table'!$B572-$C$2)*('S-Table'!$B572-$D$2)=0,IF(('S-Table'!$C572-$C$3)*('S-Table'!$C572-$D$3)=0,'S-Table'!C572,0),0)</f>
        <v>0</v>
      </c>
      <c r="J572" s="14">
        <f>IF(('S-Table'!$B572-$C$2)*('S-Table'!$B572-$D$2)=0,IF(('S-Table'!$C572-$C$3)*('S-Table'!$C572-$D$3)=0,'S-Table'!D572,0),0)</f>
        <v>0</v>
      </c>
      <c r="K572" s="14">
        <f>IF(('S-Table'!$B572-$C$2)*('S-Table'!$B572-$D$2)=0,IF(('S-Table'!$C572-$C$3)*('S-Table'!$C572-$D$3)=0,'S-Table'!E572,0),0)</f>
        <v>0</v>
      </c>
    </row>
    <row r="573" spans="6:11" x14ac:dyDescent="0.2">
      <c r="F573" s="14">
        <f>IF(G573=0,IF(G572=0,F572,F572+1),IF(G572=0,MAX(F$1:F572),MAX(F$1:F572)+1))</f>
        <v>17</v>
      </c>
      <c r="G573" s="14">
        <f>IF(('S-Table'!$B573-$C$2)*('S-Table'!$B573-$D$2)=0,IF(('S-Table'!$C573-$C$3)*('S-Table'!$C573-$D$3)=0,'S-Table'!A573,0),0)</f>
        <v>0</v>
      </c>
      <c r="H573" s="14">
        <f>IF(('S-Table'!$B573-$C$2)*('S-Table'!$B573-$D$2)=0,IF(('S-Table'!$C573-$C$3)*('S-Table'!$C573-$D$3)=0,'S-Table'!B573,0),0)</f>
        <v>0</v>
      </c>
      <c r="I573" s="14">
        <f>IF(('S-Table'!$B573-$C$2)*('S-Table'!$B573-$D$2)=0,IF(('S-Table'!$C573-$C$3)*('S-Table'!$C573-$D$3)=0,'S-Table'!C573,0),0)</f>
        <v>0</v>
      </c>
      <c r="J573" s="14">
        <f>IF(('S-Table'!$B573-$C$2)*('S-Table'!$B573-$D$2)=0,IF(('S-Table'!$C573-$C$3)*('S-Table'!$C573-$D$3)=0,'S-Table'!D573,0),0)</f>
        <v>0</v>
      </c>
      <c r="K573" s="14">
        <f>IF(('S-Table'!$B573-$C$2)*('S-Table'!$B573-$D$2)=0,IF(('S-Table'!$C573-$C$3)*('S-Table'!$C573-$D$3)=0,'S-Table'!E573,0),0)</f>
        <v>0</v>
      </c>
    </row>
    <row r="574" spans="6:11" x14ac:dyDescent="0.2">
      <c r="F574" s="14">
        <f>IF(G574=0,IF(G573=0,F573,F573+1),IF(G573=0,MAX(F$1:F573),MAX(F$1:F573)+1))</f>
        <v>17</v>
      </c>
      <c r="G574" s="14">
        <f>IF(('S-Table'!$B574-$C$2)*('S-Table'!$B574-$D$2)=0,IF(('S-Table'!$C574-$C$3)*('S-Table'!$C574-$D$3)=0,'S-Table'!A574,0),0)</f>
        <v>0</v>
      </c>
      <c r="H574" s="14">
        <f>IF(('S-Table'!$B574-$C$2)*('S-Table'!$B574-$D$2)=0,IF(('S-Table'!$C574-$C$3)*('S-Table'!$C574-$D$3)=0,'S-Table'!B574,0),0)</f>
        <v>0</v>
      </c>
      <c r="I574" s="14">
        <f>IF(('S-Table'!$B574-$C$2)*('S-Table'!$B574-$D$2)=0,IF(('S-Table'!$C574-$C$3)*('S-Table'!$C574-$D$3)=0,'S-Table'!C574,0),0)</f>
        <v>0</v>
      </c>
      <c r="J574" s="14">
        <f>IF(('S-Table'!$B574-$C$2)*('S-Table'!$B574-$D$2)=0,IF(('S-Table'!$C574-$C$3)*('S-Table'!$C574-$D$3)=0,'S-Table'!D574,0),0)</f>
        <v>0</v>
      </c>
      <c r="K574" s="14">
        <f>IF(('S-Table'!$B574-$C$2)*('S-Table'!$B574-$D$2)=0,IF(('S-Table'!$C574-$C$3)*('S-Table'!$C574-$D$3)=0,'S-Table'!E574,0),0)</f>
        <v>0</v>
      </c>
    </row>
    <row r="575" spans="6:11" x14ac:dyDescent="0.2">
      <c r="F575" s="14">
        <f>IF(G575=0,IF(G574=0,F574,F574+1),IF(G574=0,MAX(F$1:F574),MAX(F$1:F574)+1))</f>
        <v>17</v>
      </c>
      <c r="G575" s="14">
        <f>IF(('S-Table'!$B575-$C$2)*('S-Table'!$B575-$D$2)=0,IF(('S-Table'!$C575-$C$3)*('S-Table'!$C575-$D$3)=0,'S-Table'!A575,0),0)</f>
        <v>0</v>
      </c>
      <c r="H575" s="14">
        <f>IF(('S-Table'!$B575-$C$2)*('S-Table'!$B575-$D$2)=0,IF(('S-Table'!$C575-$C$3)*('S-Table'!$C575-$D$3)=0,'S-Table'!B575,0),0)</f>
        <v>0</v>
      </c>
      <c r="I575" s="14">
        <f>IF(('S-Table'!$B575-$C$2)*('S-Table'!$B575-$D$2)=0,IF(('S-Table'!$C575-$C$3)*('S-Table'!$C575-$D$3)=0,'S-Table'!C575,0),0)</f>
        <v>0</v>
      </c>
      <c r="J575" s="14">
        <f>IF(('S-Table'!$B575-$C$2)*('S-Table'!$B575-$D$2)=0,IF(('S-Table'!$C575-$C$3)*('S-Table'!$C575-$D$3)=0,'S-Table'!D575,0),0)</f>
        <v>0</v>
      </c>
      <c r="K575" s="14">
        <f>IF(('S-Table'!$B575-$C$2)*('S-Table'!$B575-$D$2)=0,IF(('S-Table'!$C575-$C$3)*('S-Table'!$C575-$D$3)=0,'S-Table'!E575,0),0)</f>
        <v>0</v>
      </c>
    </row>
    <row r="576" spans="6:11" x14ac:dyDescent="0.2">
      <c r="F576" s="14">
        <f>IF(G576=0,IF(G575=0,F575,F575+1),IF(G575=0,MAX(F$1:F575),MAX(F$1:F575)+1))</f>
        <v>17</v>
      </c>
      <c r="G576" s="14">
        <f>IF(('S-Table'!$B576-$C$2)*('S-Table'!$B576-$D$2)=0,IF(('S-Table'!$C576-$C$3)*('S-Table'!$C576-$D$3)=0,'S-Table'!A576,0),0)</f>
        <v>0</v>
      </c>
      <c r="H576" s="14">
        <f>IF(('S-Table'!$B576-$C$2)*('S-Table'!$B576-$D$2)=0,IF(('S-Table'!$C576-$C$3)*('S-Table'!$C576-$D$3)=0,'S-Table'!B576,0),0)</f>
        <v>0</v>
      </c>
      <c r="I576" s="14">
        <f>IF(('S-Table'!$B576-$C$2)*('S-Table'!$B576-$D$2)=0,IF(('S-Table'!$C576-$C$3)*('S-Table'!$C576-$D$3)=0,'S-Table'!C576,0),0)</f>
        <v>0</v>
      </c>
      <c r="J576" s="14">
        <f>IF(('S-Table'!$B576-$C$2)*('S-Table'!$B576-$D$2)=0,IF(('S-Table'!$C576-$C$3)*('S-Table'!$C576-$D$3)=0,'S-Table'!D576,0),0)</f>
        <v>0</v>
      </c>
      <c r="K576" s="14">
        <f>IF(('S-Table'!$B576-$C$2)*('S-Table'!$B576-$D$2)=0,IF(('S-Table'!$C576-$C$3)*('S-Table'!$C576-$D$3)=0,'S-Table'!E576,0),0)</f>
        <v>0</v>
      </c>
    </row>
    <row r="577" spans="6:11" x14ac:dyDescent="0.2">
      <c r="F577" s="14">
        <f>IF(G577=0,IF(G576=0,F576,F576+1),IF(G576=0,MAX(F$1:F576),MAX(F$1:F576)+1))</f>
        <v>17</v>
      </c>
      <c r="G577" s="14">
        <f>IF(('S-Table'!$B577-$C$2)*('S-Table'!$B577-$D$2)=0,IF(('S-Table'!$C577-$C$3)*('S-Table'!$C577-$D$3)=0,'S-Table'!A577,0),0)</f>
        <v>0</v>
      </c>
      <c r="H577" s="14">
        <f>IF(('S-Table'!$B577-$C$2)*('S-Table'!$B577-$D$2)=0,IF(('S-Table'!$C577-$C$3)*('S-Table'!$C577-$D$3)=0,'S-Table'!B577,0),0)</f>
        <v>0</v>
      </c>
      <c r="I577" s="14">
        <f>IF(('S-Table'!$B577-$C$2)*('S-Table'!$B577-$D$2)=0,IF(('S-Table'!$C577-$C$3)*('S-Table'!$C577-$D$3)=0,'S-Table'!C577,0),0)</f>
        <v>0</v>
      </c>
      <c r="J577" s="14">
        <f>IF(('S-Table'!$B577-$C$2)*('S-Table'!$B577-$D$2)=0,IF(('S-Table'!$C577-$C$3)*('S-Table'!$C577-$D$3)=0,'S-Table'!D577,0),0)</f>
        <v>0</v>
      </c>
      <c r="K577" s="14">
        <f>IF(('S-Table'!$B577-$C$2)*('S-Table'!$B577-$D$2)=0,IF(('S-Table'!$C577-$C$3)*('S-Table'!$C577-$D$3)=0,'S-Table'!E577,0),0)</f>
        <v>0</v>
      </c>
    </row>
    <row r="578" spans="6:11" x14ac:dyDescent="0.2">
      <c r="F578" s="14">
        <f>IF(G578=0,IF(G577=0,F577,F577+1),IF(G577=0,MAX(F$1:F577),MAX(F$1:F577)+1))</f>
        <v>17</v>
      </c>
      <c r="G578" s="14">
        <f>IF(('S-Table'!$B578-$C$2)*('S-Table'!$B578-$D$2)=0,IF(('S-Table'!$C578-$C$3)*('S-Table'!$C578-$D$3)=0,'S-Table'!A578,0),0)</f>
        <v>0</v>
      </c>
      <c r="H578" s="14">
        <f>IF(('S-Table'!$B578-$C$2)*('S-Table'!$B578-$D$2)=0,IF(('S-Table'!$C578-$C$3)*('S-Table'!$C578-$D$3)=0,'S-Table'!B578,0),0)</f>
        <v>0</v>
      </c>
      <c r="I578" s="14">
        <f>IF(('S-Table'!$B578-$C$2)*('S-Table'!$B578-$D$2)=0,IF(('S-Table'!$C578-$C$3)*('S-Table'!$C578-$D$3)=0,'S-Table'!C578,0),0)</f>
        <v>0</v>
      </c>
      <c r="J578" s="14">
        <f>IF(('S-Table'!$B578-$C$2)*('S-Table'!$B578-$D$2)=0,IF(('S-Table'!$C578-$C$3)*('S-Table'!$C578-$D$3)=0,'S-Table'!D578,0),0)</f>
        <v>0</v>
      </c>
      <c r="K578" s="14">
        <f>IF(('S-Table'!$B578-$C$2)*('S-Table'!$B578-$D$2)=0,IF(('S-Table'!$C578-$C$3)*('S-Table'!$C578-$D$3)=0,'S-Table'!E578,0),0)</f>
        <v>0</v>
      </c>
    </row>
    <row r="579" spans="6:11" x14ac:dyDescent="0.2">
      <c r="F579" s="14">
        <f>IF(G579=0,IF(G578=0,F578,F578+1),IF(G578=0,MAX(F$1:F578),MAX(F$1:F578)+1))</f>
        <v>17</v>
      </c>
      <c r="G579" s="14">
        <f>IF(('S-Table'!$B579-$C$2)*('S-Table'!$B579-$D$2)=0,IF(('S-Table'!$C579-$C$3)*('S-Table'!$C579-$D$3)=0,'S-Table'!A579,0),0)</f>
        <v>0</v>
      </c>
      <c r="H579" s="14">
        <f>IF(('S-Table'!$B579-$C$2)*('S-Table'!$B579-$D$2)=0,IF(('S-Table'!$C579-$C$3)*('S-Table'!$C579-$D$3)=0,'S-Table'!B579,0),0)</f>
        <v>0</v>
      </c>
      <c r="I579" s="14">
        <f>IF(('S-Table'!$B579-$C$2)*('S-Table'!$B579-$D$2)=0,IF(('S-Table'!$C579-$C$3)*('S-Table'!$C579-$D$3)=0,'S-Table'!C579,0),0)</f>
        <v>0</v>
      </c>
      <c r="J579" s="14">
        <f>IF(('S-Table'!$B579-$C$2)*('S-Table'!$B579-$D$2)=0,IF(('S-Table'!$C579-$C$3)*('S-Table'!$C579-$D$3)=0,'S-Table'!D579,0),0)</f>
        <v>0</v>
      </c>
      <c r="K579" s="14">
        <f>IF(('S-Table'!$B579-$C$2)*('S-Table'!$B579-$D$2)=0,IF(('S-Table'!$C579-$C$3)*('S-Table'!$C579-$D$3)=0,'S-Table'!E579,0),0)</f>
        <v>0</v>
      </c>
    </row>
    <row r="580" spans="6:11" x14ac:dyDescent="0.2">
      <c r="F580" s="14">
        <f>IF(G580=0,IF(G579=0,F579,F579+1),IF(G579=0,MAX(F$1:F579),MAX(F$1:F579)+1))</f>
        <v>17</v>
      </c>
      <c r="G580" s="14">
        <f>IF(('S-Table'!$B580-$C$2)*('S-Table'!$B580-$D$2)=0,IF(('S-Table'!$C580-$C$3)*('S-Table'!$C580-$D$3)=0,'S-Table'!A580,0),0)</f>
        <v>0</v>
      </c>
      <c r="H580" s="14">
        <f>IF(('S-Table'!$B580-$C$2)*('S-Table'!$B580-$D$2)=0,IF(('S-Table'!$C580-$C$3)*('S-Table'!$C580-$D$3)=0,'S-Table'!B580,0),0)</f>
        <v>0</v>
      </c>
      <c r="I580" s="14">
        <f>IF(('S-Table'!$B580-$C$2)*('S-Table'!$B580-$D$2)=0,IF(('S-Table'!$C580-$C$3)*('S-Table'!$C580-$D$3)=0,'S-Table'!C580,0),0)</f>
        <v>0</v>
      </c>
      <c r="J580" s="14">
        <f>IF(('S-Table'!$B580-$C$2)*('S-Table'!$B580-$D$2)=0,IF(('S-Table'!$C580-$C$3)*('S-Table'!$C580-$D$3)=0,'S-Table'!D580,0),0)</f>
        <v>0</v>
      </c>
      <c r="K580" s="14">
        <f>IF(('S-Table'!$B580-$C$2)*('S-Table'!$B580-$D$2)=0,IF(('S-Table'!$C580-$C$3)*('S-Table'!$C580-$D$3)=0,'S-Table'!E580,0),0)</f>
        <v>0</v>
      </c>
    </row>
    <row r="581" spans="6:11" x14ac:dyDescent="0.2">
      <c r="F581" s="14">
        <f>IF(G581=0,IF(G580=0,F580,F580+1),IF(G580=0,MAX(F$1:F580),MAX(F$1:F580)+1))</f>
        <v>17</v>
      </c>
      <c r="G581" s="14">
        <f>IF(('S-Table'!$B581-$C$2)*('S-Table'!$B581-$D$2)=0,IF(('S-Table'!$C581-$C$3)*('S-Table'!$C581-$D$3)=0,'S-Table'!A581,0),0)</f>
        <v>0</v>
      </c>
      <c r="H581" s="14">
        <f>IF(('S-Table'!$B581-$C$2)*('S-Table'!$B581-$D$2)=0,IF(('S-Table'!$C581-$C$3)*('S-Table'!$C581-$D$3)=0,'S-Table'!B581,0),0)</f>
        <v>0</v>
      </c>
      <c r="I581" s="14">
        <f>IF(('S-Table'!$B581-$C$2)*('S-Table'!$B581-$D$2)=0,IF(('S-Table'!$C581-$C$3)*('S-Table'!$C581-$D$3)=0,'S-Table'!C581,0),0)</f>
        <v>0</v>
      </c>
      <c r="J581" s="14">
        <f>IF(('S-Table'!$B581-$C$2)*('S-Table'!$B581-$D$2)=0,IF(('S-Table'!$C581-$C$3)*('S-Table'!$C581-$D$3)=0,'S-Table'!D581,0),0)</f>
        <v>0</v>
      </c>
      <c r="K581" s="14">
        <f>IF(('S-Table'!$B581-$C$2)*('S-Table'!$B581-$D$2)=0,IF(('S-Table'!$C581-$C$3)*('S-Table'!$C581-$D$3)=0,'S-Table'!E581,0),0)</f>
        <v>0</v>
      </c>
    </row>
    <row r="582" spans="6:11" x14ac:dyDescent="0.2">
      <c r="F582" s="14">
        <f>IF(G582=0,IF(G581=0,F581,F581+1),IF(G581=0,MAX(F$1:F581),MAX(F$1:F581)+1))</f>
        <v>17</v>
      </c>
      <c r="G582" s="14">
        <f>IF(('S-Table'!$B582-$C$2)*('S-Table'!$B582-$D$2)=0,IF(('S-Table'!$C582-$C$3)*('S-Table'!$C582-$D$3)=0,'S-Table'!A582,0),0)</f>
        <v>0</v>
      </c>
      <c r="H582" s="14">
        <f>IF(('S-Table'!$B582-$C$2)*('S-Table'!$B582-$D$2)=0,IF(('S-Table'!$C582-$C$3)*('S-Table'!$C582-$D$3)=0,'S-Table'!B582,0),0)</f>
        <v>0</v>
      </c>
      <c r="I582" s="14">
        <f>IF(('S-Table'!$B582-$C$2)*('S-Table'!$B582-$D$2)=0,IF(('S-Table'!$C582-$C$3)*('S-Table'!$C582-$D$3)=0,'S-Table'!C582,0),0)</f>
        <v>0</v>
      </c>
      <c r="J582" s="14">
        <f>IF(('S-Table'!$B582-$C$2)*('S-Table'!$B582-$D$2)=0,IF(('S-Table'!$C582-$C$3)*('S-Table'!$C582-$D$3)=0,'S-Table'!D582,0),0)</f>
        <v>0</v>
      </c>
      <c r="K582" s="14">
        <f>IF(('S-Table'!$B582-$C$2)*('S-Table'!$B582-$D$2)=0,IF(('S-Table'!$C582-$C$3)*('S-Table'!$C582-$D$3)=0,'S-Table'!E582,0),0)</f>
        <v>0</v>
      </c>
    </row>
    <row r="583" spans="6:11" x14ac:dyDescent="0.2">
      <c r="F583" s="14">
        <f>IF(G583=0,IF(G582=0,F582,F582+1),IF(G582=0,MAX(F$1:F582),MAX(F$1:F582)+1))</f>
        <v>17</v>
      </c>
      <c r="G583" s="14">
        <f>IF(('S-Table'!$B583-$C$2)*('S-Table'!$B583-$D$2)=0,IF(('S-Table'!$C583-$C$3)*('S-Table'!$C583-$D$3)=0,'S-Table'!A583,0),0)</f>
        <v>0</v>
      </c>
      <c r="H583" s="14">
        <f>IF(('S-Table'!$B583-$C$2)*('S-Table'!$B583-$D$2)=0,IF(('S-Table'!$C583-$C$3)*('S-Table'!$C583-$D$3)=0,'S-Table'!B583,0),0)</f>
        <v>0</v>
      </c>
      <c r="I583" s="14">
        <f>IF(('S-Table'!$B583-$C$2)*('S-Table'!$B583-$D$2)=0,IF(('S-Table'!$C583-$C$3)*('S-Table'!$C583-$D$3)=0,'S-Table'!C583,0),0)</f>
        <v>0</v>
      </c>
      <c r="J583" s="14">
        <f>IF(('S-Table'!$B583-$C$2)*('S-Table'!$B583-$D$2)=0,IF(('S-Table'!$C583-$C$3)*('S-Table'!$C583-$D$3)=0,'S-Table'!D583,0),0)</f>
        <v>0</v>
      </c>
      <c r="K583" s="14">
        <f>IF(('S-Table'!$B583-$C$2)*('S-Table'!$B583-$D$2)=0,IF(('S-Table'!$C583-$C$3)*('S-Table'!$C583-$D$3)=0,'S-Table'!E583,0),0)</f>
        <v>0</v>
      </c>
    </row>
    <row r="584" spans="6:11" x14ac:dyDescent="0.2">
      <c r="F584" s="14">
        <f>IF(G584=0,IF(G583=0,F583,F583+1),IF(G583=0,MAX(F$1:F583),MAX(F$1:F583)+1))</f>
        <v>17</v>
      </c>
      <c r="G584" s="14">
        <f>IF(('S-Table'!$B584-$C$2)*('S-Table'!$B584-$D$2)=0,IF(('S-Table'!$C584-$C$3)*('S-Table'!$C584-$D$3)=0,'S-Table'!A584,0),0)</f>
        <v>0</v>
      </c>
      <c r="H584" s="14">
        <f>IF(('S-Table'!$B584-$C$2)*('S-Table'!$B584-$D$2)=0,IF(('S-Table'!$C584-$C$3)*('S-Table'!$C584-$D$3)=0,'S-Table'!B584,0),0)</f>
        <v>0</v>
      </c>
      <c r="I584" s="14">
        <f>IF(('S-Table'!$B584-$C$2)*('S-Table'!$B584-$D$2)=0,IF(('S-Table'!$C584-$C$3)*('S-Table'!$C584-$D$3)=0,'S-Table'!C584,0),0)</f>
        <v>0</v>
      </c>
      <c r="J584" s="14">
        <f>IF(('S-Table'!$B584-$C$2)*('S-Table'!$B584-$D$2)=0,IF(('S-Table'!$C584-$C$3)*('S-Table'!$C584-$D$3)=0,'S-Table'!D584,0),0)</f>
        <v>0</v>
      </c>
      <c r="K584" s="14">
        <f>IF(('S-Table'!$B584-$C$2)*('S-Table'!$B584-$D$2)=0,IF(('S-Table'!$C584-$C$3)*('S-Table'!$C584-$D$3)=0,'S-Table'!E584,0),0)</f>
        <v>0</v>
      </c>
    </row>
    <row r="585" spans="6:11" x14ac:dyDescent="0.2">
      <c r="F585" s="14">
        <f>IF(G585=0,IF(G584=0,F584,F584+1),IF(G584=0,MAX(F$1:F584),MAX(F$1:F584)+1))</f>
        <v>17</v>
      </c>
      <c r="G585" s="14">
        <f>IF(('S-Table'!$B585-$C$2)*('S-Table'!$B585-$D$2)=0,IF(('S-Table'!$C585-$C$3)*('S-Table'!$C585-$D$3)=0,'S-Table'!A585,0),0)</f>
        <v>0</v>
      </c>
      <c r="H585" s="14">
        <f>IF(('S-Table'!$B585-$C$2)*('S-Table'!$B585-$D$2)=0,IF(('S-Table'!$C585-$C$3)*('S-Table'!$C585-$D$3)=0,'S-Table'!B585,0),0)</f>
        <v>0</v>
      </c>
      <c r="I585" s="14">
        <f>IF(('S-Table'!$B585-$C$2)*('S-Table'!$B585-$D$2)=0,IF(('S-Table'!$C585-$C$3)*('S-Table'!$C585-$D$3)=0,'S-Table'!C585,0),0)</f>
        <v>0</v>
      </c>
      <c r="J585" s="14">
        <f>IF(('S-Table'!$B585-$C$2)*('S-Table'!$B585-$D$2)=0,IF(('S-Table'!$C585-$C$3)*('S-Table'!$C585-$D$3)=0,'S-Table'!D585,0),0)</f>
        <v>0</v>
      </c>
      <c r="K585" s="14">
        <f>IF(('S-Table'!$B585-$C$2)*('S-Table'!$B585-$D$2)=0,IF(('S-Table'!$C585-$C$3)*('S-Table'!$C585-$D$3)=0,'S-Table'!E585,0),0)</f>
        <v>0</v>
      </c>
    </row>
    <row r="586" spans="6:11" x14ac:dyDescent="0.2">
      <c r="F586" s="14">
        <f>IF(G586=0,IF(G585=0,F585,F585+1),IF(G585=0,MAX(F$1:F585),MAX(F$1:F585)+1))</f>
        <v>17</v>
      </c>
      <c r="G586" s="14">
        <f>IF(('S-Table'!$B586-$C$2)*('S-Table'!$B586-$D$2)=0,IF(('S-Table'!$C586-$C$3)*('S-Table'!$C586-$D$3)=0,'S-Table'!A586,0),0)</f>
        <v>0</v>
      </c>
      <c r="H586" s="14">
        <f>IF(('S-Table'!$B586-$C$2)*('S-Table'!$B586-$D$2)=0,IF(('S-Table'!$C586-$C$3)*('S-Table'!$C586-$D$3)=0,'S-Table'!B586,0),0)</f>
        <v>0</v>
      </c>
      <c r="I586" s="14">
        <f>IF(('S-Table'!$B586-$C$2)*('S-Table'!$B586-$D$2)=0,IF(('S-Table'!$C586-$C$3)*('S-Table'!$C586-$D$3)=0,'S-Table'!C586,0),0)</f>
        <v>0</v>
      </c>
      <c r="J586" s="14">
        <f>IF(('S-Table'!$B586-$C$2)*('S-Table'!$B586-$D$2)=0,IF(('S-Table'!$C586-$C$3)*('S-Table'!$C586-$D$3)=0,'S-Table'!D586,0),0)</f>
        <v>0</v>
      </c>
      <c r="K586" s="14">
        <f>IF(('S-Table'!$B586-$C$2)*('S-Table'!$B586-$D$2)=0,IF(('S-Table'!$C586-$C$3)*('S-Table'!$C586-$D$3)=0,'S-Table'!E586,0),0)</f>
        <v>0</v>
      </c>
    </row>
    <row r="587" spans="6:11" x14ac:dyDescent="0.2">
      <c r="F587" s="14">
        <f>IF(G587=0,IF(G586=0,F586,F586+1),IF(G586=0,MAX(F$1:F586),MAX(F$1:F586)+1))</f>
        <v>17</v>
      </c>
      <c r="G587" s="14">
        <f>IF(('S-Table'!$B587-$C$2)*('S-Table'!$B587-$D$2)=0,IF(('S-Table'!$C587-$C$3)*('S-Table'!$C587-$D$3)=0,'S-Table'!A587,0),0)</f>
        <v>0</v>
      </c>
      <c r="H587" s="14">
        <f>IF(('S-Table'!$B587-$C$2)*('S-Table'!$B587-$D$2)=0,IF(('S-Table'!$C587-$C$3)*('S-Table'!$C587-$D$3)=0,'S-Table'!B587,0),0)</f>
        <v>0</v>
      </c>
      <c r="I587" s="14">
        <f>IF(('S-Table'!$B587-$C$2)*('S-Table'!$B587-$D$2)=0,IF(('S-Table'!$C587-$C$3)*('S-Table'!$C587-$D$3)=0,'S-Table'!C587,0),0)</f>
        <v>0</v>
      </c>
      <c r="J587" s="14">
        <f>IF(('S-Table'!$B587-$C$2)*('S-Table'!$B587-$D$2)=0,IF(('S-Table'!$C587-$C$3)*('S-Table'!$C587-$D$3)=0,'S-Table'!D587,0),0)</f>
        <v>0</v>
      </c>
      <c r="K587" s="14">
        <f>IF(('S-Table'!$B587-$C$2)*('S-Table'!$B587-$D$2)=0,IF(('S-Table'!$C587-$C$3)*('S-Table'!$C587-$D$3)=0,'S-Table'!E587,0),0)</f>
        <v>0</v>
      </c>
    </row>
    <row r="588" spans="6:11" x14ac:dyDescent="0.2">
      <c r="F588" s="14">
        <f>IF(G588=0,IF(G587=0,F587,F587+1),IF(G587=0,MAX(F$1:F587),MAX(F$1:F587)+1))</f>
        <v>17</v>
      </c>
      <c r="G588" s="14">
        <f>IF(('S-Table'!$B588-$C$2)*('S-Table'!$B588-$D$2)=0,IF(('S-Table'!$C588-$C$3)*('S-Table'!$C588-$D$3)=0,'S-Table'!A588,0),0)</f>
        <v>0</v>
      </c>
      <c r="H588" s="14">
        <f>IF(('S-Table'!$B588-$C$2)*('S-Table'!$B588-$D$2)=0,IF(('S-Table'!$C588-$C$3)*('S-Table'!$C588-$D$3)=0,'S-Table'!B588,0),0)</f>
        <v>0</v>
      </c>
      <c r="I588" s="14">
        <f>IF(('S-Table'!$B588-$C$2)*('S-Table'!$B588-$D$2)=0,IF(('S-Table'!$C588-$C$3)*('S-Table'!$C588-$D$3)=0,'S-Table'!C588,0),0)</f>
        <v>0</v>
      </c>
      <c r="J588" s="14">
        <f>IF(('S-Table'!$B588-$C$2)*('S-Table'!$B588-$D$2)=0,IF(('S-Table'!$C588-$C$3)*('S-Table'!$C588-$D$3)=0,'S-Table'!D588,0),0)</f>
        <v>0</v>
      </c>
      <c r="K588" s="14">
        <f>IF(('S-Table'!$B588-$C$2)*('S-Table'!$B588-$D$2)=0,IF(('S-Table'!$C588-$C$3)*('S-Table'!$C588-$D$3)=0,'S-Table'!E588,0),0)</f>
        <v>0</v>
      </c>
    </row>
    <row r="589" spans="6:11" x14ac:dyDescent="0.2">
      <c r="F589" s="14">
        <f>IF(G589=0,IF(G588=0,F588,F588+1),IF(G588=0,MAX(F$1:F588),MAX(F$1:F588)+1))</f>
        <v>17</v>
      </c>
      <c r="G589" s="14">
        <f>IF(('S-Table'!$B589-$C$2)*('S-Table'!$B589-$D$2)=0,IF(('S-Table'!$C589-$C$3)*('S-Table'!$C589-$D$3)=0,'S-Table'!A589,0),0)</f>
        <v>0</v>
      </c>
      <c r="H589" s="14">
        <f>IF(('S-Table'!$B589-$C$2)*('S-Table'!$B589-$D$2)=0,IF(('S-Table'!$C589-$C$3)*('S-Table'!$C589-$D$3)=0,'S-Table'!B589,0),0)</f>
        <v>0</v>
      </c>
      <c r="I589" s="14">
        <f>IF(('S-Table'!$B589-$C$2)*('S-Table'!$B589-$D$2)=0,IF(('S-Table'!$C589-$C$3)*('S-Table'!$C589-$D$3)=0,'S-Table'!C589,0),0)</f>
        <v>0</v>
      </c>
      <c r="J589" s="14">
        <f>IF(('S-Table'!$B589-$C$2)*('S-Table'!$B589-$D$2)=0,IF(('S-Table'!$C589-$C$3)*('S-Table'!$C589-$D$3)=0,'S-Table'!D589,0),0)</f>
        <v>0</v>
      </c>
      <c r="K589" s="14">
        <f>IF(('S-Table'!$B589-$C$2)*('S-Table'!$B589-$D$2)=0,IF(('S-Table'!$C589-$C$3)*('S-Table'!$C589-$D$3)=0,'S-Table'!E589,0),0)</f>
        <v>0</v>
      </c>
    </row>
    <row r="590" spans="6:11" x14ac:dyDescent="0.2">
      <c r="F590" s="14">
        <f>IF(G590=0,IF(G589=0,F589,F589+1),IF(G589=0,MAX(F$1:F589),MAX(F$1:F589)+1))</f>
        <v>17</v>
      </c>
      <c r="G590" s="14">
        <f>IF(('S-Table'!$B590-$C$2)*('S-Table'!$B590-$D$2)=0,IF(('S-Table'!$C590-$C$3)*('S-Table'!$C590-$D$3)=0,'S-Table'!A590,0),0)</f>
        <v>0</v>
      </c>
      <c r="H590" s="14">
        <f>IF(('S-Table'!$B590-$C$2)*('S-Table'!$B590-$D$2)=0,IF(('S-Table'!$C590-$C$3)*('S-Table'!$C590-$D$3)=0,'S-Table'!B590,0),0)</f>
        <v>0</v>
      </c>
      <c r="I590" s="14">
        <f>IF(('S-Table'!$B590-$C$2)*('S-Table'!$B590-$D$2)=0,IF(('S-Table'!$C590-$C$3)*('S-Table'!$C590-$D$3)=0,'S-Table'!C590,0),0)</f>
        <v>0</v>
      </c>
      <c r="J590" s="14">
        <f>IF(('S-Table'!$B590-$C$2)*('S-Table'!$B590-$D$2)=0,IF(('S-Table'!$C590-$C$3)*('S-Table'!$C590-$D$3)=0,'S-Table'!D590,0),0)</f>
        <v>0</v>
      </c>
      <c r="K590" s="14">
        <f>IF(('S-Table'!$B590-$C$2)*('S-Table'!$B590-$D$2)=0,IF(('S-Table'!$C590-$C$3)*('S-Table'!$C590-$D$3)=0,'S-Table'!E590,0),0)</f>
        <v>0</v>
      </c>
    </row>
    <row r="591" spans="6:11" x14ac:dyDescent="0.2">
      <c r="F591" s="14">
        <f>IF(G591=0,IF(G590=0,F590,F590+1),IF(G590=0,MAX(F$1:F590),MAX(F$1:F590)+1))</f>
        <v>17</v>
      </c>
      <c r="G591" s="14">
        <f>IF(('S-Table'!$B591-$C$2)*('S-Table'!$B591-$D$2)=0,IF(('S-Table'!$C591-$C$3)*('S-Table'!$C591-$D$3)=0,'S-Table'!A591,0),0)</f>
        <v>0</v>
      </c>
      <c r="H591" s="14">
        <f>IF(('S-Table'!$B591-$C$2)*('S-Table'!$B591-$D$2)=0,IF(('S-Table'!$C591-$C$3)*('S-Table'!$C591-$D$3)=0,'S-Table'!B591,0),0)</f>
        <v>0</v>
      </c>
      <c r="I591" s="14">
        <f>IF(('S-Table'!$B591-$C$2)*('S-Table'!$B591-$D$2)=0,IF(('S-Table'!$C591-$C$3)*('S-Table'!$C591-$D$3)=0,'S-Table'!C591,0),0)</f>
        <v>0</v>
      </c>
      <c r="J591" s="14">
        <f>IF(('S-Table'!$B591-$C$2)*('S-Table'!$B591-$D$2)=0,IF(('S-Table'!$C591-$C$3)*('S-Table'!$C591-$D$3)=0,'S-Table'!D591,0),0)</f>
        <v>0</v>
      </c>
      <c r="K591" s="14">
        <f>IF(('S-Table'!$B591-$C$2)*('S-Table'!$B591-$D$2)=0,IF(('S-Table'!$C591-$C$3)*('S-Table'!$C591-$D$3)=0,'S-Table'!E591,0),0)</f>
        <v>0</v>
      </c>
    </row>
    <row r="592" spans="6:11" x14ac:dyDescent="0.2">
      <c r="F592" s="14">
        <f>IF(G592=0,IF(G591=0,F591,F591+1),IF(G591=0,MAX(F$1:F591),MAX(F$1:F591)+1))</f>
        <v>17</v>
      </c>
      <c r="G592" s="14">
        <f>IF(('S-Table'!$B592-$C$2)*('S-Table'!$B592-$D$2)=0,IF(('S-Table'!$C592-$C$3)*('S-Table'!$C592-$D$3)=0,'S-Table'!A592,0),0)</f>
        <v>0</v>
      </c>
      <c r="H592" s="14">
        <f>IF(('S-Table'!$B592-$C$2)*('S-Table'!$B592-$D$2)=0,IF(('S-Table'!$C592-$C$3)*('S-Table'!$C592-$D$3)=0,'S-Table'!B592,0),0)</f>
        <v>0</v>
      </c>
      <c r="I592" s="14">
        <f>IF(('S-Table'!$B592-$C$2)*('S-Table'!$B592-$D$2)=0,IF(('S-Table'!$C592-$C$3)*('S-Table'!$C592-$D$3)=0,'S-Table'!C592,0),0)</f>
        <v>0</v>
      </c>
      <c r="J592" s="14">
        <f>IF(('S-Table'!$B592-$C$2)*('S-Table'!$B592-$D$2)=0,IF(('S-Table'!$C592-$C$3)*('S-Table'!$C592-$D$3)=0,'S-Table'!D592,0),0)</f>
        <v>0</v>
      </c>
      <c r="K592" s="14">
        <f>IF(('S-Table'!$B592-$C$2)*('S-Table'!$B592-$D$2)=0,IF(('S-Table'!$C592-$C$3)*('S-Table'!$C592-$D$3)=0,'S-Table'!E592,0),0)</f>
        <v>0</v>
      </c>
    </row>
    <row r="593" spans="6:11" x14ac:dyDescent="0.2">
      <c r="F593" s="14">
        <f>IF(G593=0,IF(G592=0,F592,F592+1),IF(G592=0,MAX(F$1:F592),MAX(F$1:F592)+1))</f>
        <v>17</v>
      </c>
      <c r="G593" s="14">
        <f>IF(('S-Table'!$B593-$C$2)*('S-Table'!$B593-$D$2)=0,IF(('S-Table'!$C593-$C$3)*('S-Table'!$C593-$D$3)=0,'S-Table'!A593,0),0)</f>
        <v>0</v>
      </c>
      <c r="H593" s="14">
        <f>IF(('S-Table'!$B593-$C$2)*('S-Table'!$B593-$D$2)=0,IF(('S-Table'!$C593-$C$3)*('S-Table'!$C593-$D$3)=0,'S-Table'!B593,0),0)</f>
        <v>0</v>
      </c>
      <c r="I593" s="14">
        <f>IF(('S-Table'!$B593-$C$2)*('S-Table'!$B593-$D$2)=0,IF(('S-Table'!$C593-$C$3)*('S-Table'!$C593-$D$3)=0,'S-Table'!C593,0),0)</f>
        <v>0</v>
      </c>
      <c r="J593" s="14">
        <f>IF(('S-Table'!$B593-$C$2)*('S-Table'!$B593-$D$2)=0,IF(('S-Table'!$C593-$C$3)*('S-Table'!$C593-$D$3)=0,'S-Table'!D593,0),0)</f>
        <v>0</v>
      </c>
      <c r="K593" s="14">
        <f>IF(('S-Table'!$B593-$C$2)*('S-Table'!$B593-$D$2)=0,IF(('S-Table'!$C593-$C$3)*('S-Table'!$C593-$D$3)=0,'S-Table'!E593,0),0)</f>
        <v>0</v>
      </c>
    </row>
    <row r="594" spans="6:11" x14ac:dyDescent="0.2">
      <c r="F594" s="14">
        <f>IF(G594=0,IF(G593=0,F593,F593+1),IF(G593=0,MAX(F$1:F593),MAX(F$1:F593)+1))</f>
        <v>17</v>
      </c>
      <c r="G594" s="14">
        <f>IF(('S-Table'!$B594-$C$2)*('S-Table'!$B594-$D$2)=0,IF(('S-Table'!$C594-$C$3)*('S-Table'!$C594-$D$3)=0,'S-Table'!A594,0),0)</f>
        <v>0</v>
      </c>
      <c r="H594" s="14">
        <f>IF(('S-Table'!$B594-$C$2)*('S-Table'!$B594-$D$2)=0,IF(('S-Table'!$C594-$C$3)*('S-Table'!$C594-$D$3)=0,'S-Table'!B594,0),0)</f>
        <v>0</v>
      </c>
      <c r="I594" s="14">
        <f>IF(('S-Table'!$B594-$C$2)*('S-Table'!$B594-$D$2)=0,IF(('S-Table'!$C594-$C$3)*('S-Table'!$C594-$D$3)=0,'S-Table'!C594,0),0)</f>
        <v>0</v>
      </c>
      <c r="J594" s="14">
        <f>IF(('S-Table'!$B594-$C$2)*('S-Table'!$B594-$D$2)=0,IF(('S-Table'!$C594-$C$3)*('S-Table'!$C594-$D$3)=0,'S-Table'!D594,0),0)</f>
        <v>0</v>
      </c>
      <c r="K594" s="14">
        <f>IF(('S-Table'!$B594-$C$2)*('S-Table'!$B594-$D$2)=0,IF(('S-Table'!$C594-$C$3)*('S-Table'!$C594-$D$3)=0,'S-Table'!E594,0),0)</f>
        <v>0</v>
      </c>
    </row>
    <row r="595" spans="6:11" x14ac:dyDescent="0.2">
      <c r="F595" s="14">
        <f>IF(G595=0,IF(G594=0,F594,F594+1),IF(G594=0,MAX(F$1:F594),MAX(F$1:F594)+1))</f>
        <v>17</v>
      </c>
      <c r="G595" s="14">
        <f>IF(('S-Table'!$B595-$C$2)*('S-Table'!$B595-$D$2)=0,IF(('S-Table'!$C595-$C$3)*('S-Table'!$C595-$D$3)=0,'S-Table'!A595,0),0)</f>
        <v>0</v>
      </c>
      <c r="H595" s="14">
        <f>IF(('S-Table'!$B595-$C$2)*('S-Table'!$B595-$D$2)=0,IF(('S-Table'!$C595-$C$3)*('S-Table'!$C595-$D$3)=0,'S-Table'!B595,0),0)</f>
        <v>0</v>
      </c>
      <c r="I595" s="14">
        <f>IF(('S-Table'!$B595-$C$2)*('S-Table'!$B595-$D$2)=0,IF(('S-Table'!$C595-$C$3)*('S-Table'!$C595-$D$3)=0,'S-Table'!C595,0),0)</f>
        <v>0</v>
      </c>
      <c r="J595" s="14">
        <f>IF(('S-Table'!$B595-$C$2)*('S-Table'!$B595-$D$2)=0,IF(('S-Table'!$C595-$C$3)*('S-Table'!$C595-$D$3)=0,'S-Table'!D595,0),0)</f>
        <v>0</v>
      </c>
      <c r="K595" s="14">
        <f>IF(('S-Table'!$B595-$C$2)*('S-Table'!$B595-$D$2)=0,IF(('S-Table'!$C595-$C$3)*('S-Table'!$C595-$D$3)=0,'S-Table'!E595,0),0)</f>
        <v>0</v>
      </c>
    </row>
    <row r="596" spans="6:11" x14ac:dyDescent="0.2">
      <c r="F596" s="14">
        <f>IF(G596=0,IF(G595=0,F595,F595+1),IF(G595=0,MAX(F$1:F595),MAX(F$1:F595)+1))</f>
        <v>17</v>
      </c>
      <c r="G596" s="14">
        <f>IF(('S-Table'!$B596-$C$2)*('S-Table'!$B596-$D$2)=0,IF(('S-Table'!$C596-$C$3)*('S-Table'!$C596-$D$3)=0,'S-Table'!A596,0),0)</f>
        <v>0</v>
      </c>
      <c r="H596" s="14">
        <f>IF(('S-Table'!$B596-$C$2)*('S-Table'!$B596-$D$2)=0,IF(('S-Table'!$C596-$C$3)*('S-Table'!$C596-$D$3)=0,'S-Table'!B596,0),0)</f>
        <v>0</v>
      </c>
      <c r="I596" s="14">
        <f>IF(('S-Table'!$B596-$C$2)*('S-Table'!$B596-$D$2)=0,IF(('S-Table'!$C596-$C$3)*('S-Table'!$C596-$D$3)=0,'S-Table'!C596,0),0)</f>
        <v>0</v>
      </c>
      <c r="J596" s="14">
        <f>IF(('S-Table'!$B596-$C$2)*('S-Table'!$B596-$D$2)=0,IF(('S-Table'!$C596-$C$3)*('S-Table'!$C596-$D$3)=0,'S-Table'!D596,0),0)</f>
        <v>0</v>
      </c>
      <c r="K596" s="14">
        <f>IF(('S-Table'!$B596-$C$2)*('S-Table'!$B596-$D$2)=0,IF(('S-Table'!$C596-$C$3)*('S-Table'!$C596-$D$3)=0,'S-Table'!E596,0),0)</f>
        <v>0</v>
      </c>
    </row>
    <row r="597" spans="6:11" x14ac:dyDescent="0.2">
      <c r="F597" s="14">
        <f>IF(G597=0,IF(G596=0,F596,F596+1),IF(G596=0,MAX(F$1:F596),MAX(F$1:F596)+1))</f>
        <v>17</v>
      </c>
      <c r="G597" s="14">
        <f>IF(('S-Table'!$B597-$C$2)*('S-Table'!$B597-$D$2)=0,IF(('S-Table'!$C597-$C$3)*('S-Table'!$C597-$D$3)=0,'S-Table'!A597,0),0)</f>
        <v>0</v>
      </c>
      <c r="H597" s="14">
        <f>IF(('S-Table'!$B597-$C$2)*('S-Table'!$B597-$D$2)=0,IF(('S-Table'!$C597-$C$3)*('S-Table'!$C597-$D$3)=0,'S-Table'!B597,0),0)</f>
        <v>0</v>
      </c>
      <c r="I597" s="14">
        <f>IF(('S-Table'!$B597-$C$2)*('S-Table'!$B597-$D$2)=0,IF(('S-Table'!$C597-$C$3)*('S-Table'!$C597-$D$3)=0,'S-Table'!C597,0),0)</f>
        <v>0</v>
      </c>
      <c r="J597" s="14">
        <f>IF(('S-Table'!$B597-$C$2)*('S-Table'!$B597-$D$2)=0,IF(('S-Table'!$C597-$C$3)*('S-Table'!$C597-$D$3)=0,'S-Table'!D597,0),0)</f>
        <v>0</v>
      </c>
      <c r="K597" s="14">
        <f>IF(('S-Table'!$B597-$C$2)*('S-Table'!$B597-$D$2)=0,IF(('S-Table'!$C597-$C$3)*('S-Table'!$C597-$D$3)=0,'S-Table'!E597,0),0)</f>
        <v>0</v>
      </c>
    </row>
    <row r="598" spans="6:11" x14ac:dyDescent="0.2">
      <c r="F598" s="14">
        <f>IF(G598=0,IF(G597=0,F597,F597+1),IF(G597=0,MAX(F$1:F597),MAX(F$1:F597)+1))</f>
        <v>17</v>
      </c>
      <c r="G598" s="14">
        <f>IF(('S-Table'!$B598-$C$2)*('S-Table'!$B598-$D$2)=0,IF(('S-Table'!$C598-$C$3)*('S-Table'!$C598-$D$3)=0,'S-Table'!A598,0),0)</f>
        <v>0</v>
      </c>
      <c r="H598" s="14">
        <f>IF(('S-Table'!$B598-$C$2)*('S-Table'!$B598-$D$2)=0,IF(('S-Table'!$C598-$C$3)*('S-Table'!$C598-$D$3)=0,'S-Table'!B598,0),0)</f>
        <v>0</v>
      </c>
      <c r="I598" s="14">
        <f>IF(('S-Table'!$B598-$C$2)*('S-Table'!$B598-$D$2)=0,IF(('S-Table'!$C598-$C$3)*('S-Table'!$C598-$D$3)=0,'S-Table'!C598,0),0)</f>
        <v>0</v>
      </c>
      <c r="J598" s="14">
        <f>IF(('S-Table'!$B598-$C$2)*('S-Table'!$B598-$D$2)=0,IF(('S-Table'!$C598-$C$3)*('S-Table'!$C598-$D$3)=0,'S-Table'!D598,0),0)</f>
        <v>0</v>
      </c>
      <c r="K598" s="14">
        <f>IF(('S-Table'!$B598-$C$2)*('S-Table'!$B598-$D$2)=0,IF(('S-Table'!$C598-$C$3)*('S-Table'!$C598-$D$3)=0,'S-Table'!E598,0),0)</f>
        <v>0</v>
      </c>
    </row>
    <row r="599" spans="6:11" x14ac:dyDescent="0.2">
      <c r="F599" s="14">
        <f>IF(G599=0,IF(G598=0,F598,F598+1),IF(G598=0,MAX(F$1:F598),MAX(F$1:F598)+1))</f>
        <v>17</v>
      </c>
      <c r="G599" s="14">
        <f>IF(('S-Table'!$B599-$C$2)*('S-Table'!$B599-$D$2)=0,IF(('S-Table'!$C599-$C$3)*('S-Table'!$C599-$D$3)=0,'S-Table'!A599,0),0)</f>
        <v>0</v>
      </c>
      <c r="H599" s="14">
        <f>IF(('S-Table'!$B599-$C$2)*('S-Table'!$B599-$D$2)=0,IF(('S-Table'!$C599-$C$3)*('S-Table'!$C599-$D$3)=0,'S-Table'!B599,0),0)</f>
        <v>0</v>
      </c>
      <c r="I599" s="14">
        <f>IF(('S-Table'!$B599-$C$2)*('S-Table'!$B599-$D$2)=0,IF(('S-Table'!$C599-$C$3)*('S-Table'!$C599-$D$3)=0,'S-Table'!C599,0),0)</f>
        <v>0</v>
      </c>
      <c r="J599" s="14">
        <f>IF(('S-Table'!$B599-$C$2)*('S-Table'!$B599-$D$2)=0,IF(('S-Table'!$C599-$C$3)*('S-Table'!$C599-$D$3)=0,'S-Table'!D599,0),0)</f>
        <v>0</v>
      </c>
      <c r="K599" s="14">
        <f>IF(('S-Table'!$B599-$C$2)*('S-Table'!$B599-$D$2)=0,IF(('S-Table'!$C599-$C$3)*('S-Table'!$C599-$D$3)=0,'S-Table'!E599,0),0)</f>
        <v>0</v>
      </c>
    </row>
    <row r="600" spans="6:11" x14ac:dyDescent="0.2">
      <c r="F600" s="14">
        <f>IF(G600=0,IF(G599=0,F599,F599+1),IF(G599=0,MAX(F$1:F599),MAX(F$1:F599)+1))</f>
        <v>17</v>
      </c>
      <c r="G600" s="14">
        <f>IF(('S-Table'!$B600-$C$2)*('S-Table'!$B600-$D$2)=0,IF(('S-Table'!$C600-$C$3)*('S-Table'!$C600-$D$3)=0,'S-Table'!A600,0),0)</f>
        <v>0</v>
      </c>
      <c r="H600" s="14">
        <f>IF(('S-Table'!$B600-$C$2)*('S-Table'!$B600-$D$2)=0,IF(('S-Table'!$C600-$C$3)*('S-Table'!$C600-$D$3)=0,'S-Table'!B600,0),0)</f>
        <v>0</v>
      </c>
      <c r="I600" s="14">
        <f>IF(('S-Table'!$B600-$C$2)*('S-Table'!$B600-$D$2)=0,IF(('S-Table'!$C600-$C$3)*('S-Table'!$C600-$D$3)=0,'S-Table'!C600,0),0)</f>
        <v>0</v>
      </c>
      <c r="J600" s="14">
        <f>IF(('S-Table'!$B600-$C$2)*('S-Table'!$B600-$D$2)=0,IF(('S-Table'!$C600-$C$3)*('S-Table'!$C600-$D$3)=0,'S-Table'!D600,0),0)</f>
        <v>0</v>
      </c>
      <c r="K600" s="14">
        <f>IF(('S-Table'!$B600-$C$2)*('S-Table'!$B600-$D$2)=0,IF(('S-Table'!$C600-$C$3)*('S-Table'!$C600-$D$3)=0,'S-Table'!E600,0),0)</f>
        <v>0</v>
      </c>
    </row>
    <row r="601" spans="6:11" x14ac:dyDescent="0.2">
      <c r="F601" s="14">
        <f>IF(G601=0,IF(G600=0,F600,F600+1),IF(G600=0,MAX(F$1:F600),MAX(F$1:F600)+1))</f>
        <v>17</v>
      </c>
      <c r="G601" s="14">
        <f>IF(('S-Table'!$B601-$C$2)*('S-Table'!$B601-$D$2)=0,IF(('S-Table'!$C601-$C$3)*('S-Table'!$C601-$D$3)=0,'S-Table'!A601,0),0)</f>
        <v>0</v>
      </c>
      <c r="H601" s="14">
        <f>IF(('S-Table'!$B601-$C$2)*('S-Table'!$B601-$D$2)=0,IF(('S-Table'!$C601-$C$3)*('S-Table'!$C601-$D$3)=0,'S-Table'!B601,0),0)</f>
        <v>0</v>
      </c>
      <c r="I601" s="14">
        <f>IF(('S-Table'!$B601-$C$2)*('S-Table'!$B601-$D$2)=0,IF(('S-Table'!$C601-$C$3)*('S-Table'!$C601-$D$3)=0,'S-Table'!C601,0),0)</f>
        <v>0</v>
      </c>
      <c r="J601" s="14">
        <f>IF(('S-Table'!$B601-$C$2)*('S-Table'!$B601-$D$2)=0,IF(('S-Table'!$C601-$C$3)*('S-Table'!$C601-$D$3)=0,'S-Table'!D601,0),0)</f>
        <v>0</v>
      </c>
      <c r="K601" s="14">
        <f>IF(('S-Table'!$B601-$C$2)*('S-Table'!$B601-$D$2)=0,IF(('S-Table'!$C601-$C$3)*('S-Table'!$C601-$D$3)=0,'S-Table'!E601,0),0)</f>
        <v>0</v>
      </c>
    </row>
    <row r="602" spans="6:11" x14ac:dyDescent="0.2">
      <c r="F602" s="14">
        <f>IF(G602=0,IF(G601=0,F601,F601+1),IF(G601=0,MAX(F$1:F601),MAX(F$1:F601)+1))</f>
        <v>17</v>
      </c>
      <c r="G602" s="14">
        <f>IF(('S-Table'!$B602-$C$2)*('S-Table'!$B602-$D$2)=0,IF(('S-Table'!$C602-$C$3)*('S-Table'!$C602-$D$3)=0,'S-Table'!A602,0),0)</f>
        <v>0</v>
      </c>
      <c r="H602" s="14">
        <f>IF(('S-Table'!$B602-$C$2)*('S-Table'!$B602-$D$2)=0,IF(('S-Table'!$C602-$C$3)*('S-Table'!$C602-$D$3)=0,'S-Table'!B602,0),0)</f>
        <v>0</v>
      </c>
      <c r="I602" s="14">
        <f>IF(('S-Table'!$B602-$C$2)*('S-Table'!$B602-$D$2)=0,IF(('S-Table'!$C602-$C$3)*('S-Table'!$C602-$D$3)=0,'S-Table'!C602,0),0)</f>
        <v>0</v>
      </c>
      <c r="J602" s="14">
        <f>IF(('S-Table'!$B602-$C$2)*('S-Table'!$B602-$D$2)=0,IF(('S-Table'!$C602-$C$3)*('S-Table'!$C602-$D$3)=0,'S-Table'!D602,0),0)</f>
        <v>0</v>
      </c>
      <c r="K602" s="14">
        <f>IF(('S-Table'!$B602-$C$2)*('S-Table'!$B602-$D$2)=0,IF(('S-Table'!$C602-$C$3)*('S-Table'!$C602-$D$3)=0,'S-Table'!E602,0),0)</f>
        <v>0</v>
      </c>
    </row>
    <row r="603" spans="6:11" x14ac:dyDescent="0.2">
      <c r="F603" s="14">
        <f>IF(G603=0,IF(G602=0,F602,F602+1),IF(G602=0,MAX(F$1:F602),MAX(F$1:F602)+1))</f>
        <v>17</v>
      </c>
      <c r="G603" s="14">
        <f>IF(('S-Table'!$B603-$C$2)*('S-Table'!$B603-$D$2)=0,IF(('S-Table'!$C603-$C$3)*('S-Table'!$C603-$D$3)=0,'S-Table'!A603,0),0)</f>
        <v>0</v>
      </c>
      <c r="H603" s="14">
        <f>IF(('S-Table'!$B603-$C$2)*('S-Table'!$B603-$D$2)=0,IF(('S-Table'!$C603-$C$3)*('S-Table'!$C603-$D$3)=0,'S-Table'!B603,0),0)</f>
        <v>0</v>
      </c>
      <c r="I603" s="14">
        <f>IF(('S-Table'!$B603-$C$2)*('S-Table'!$B603-$D$2)=0,IF(('S-Table'!$C603-$C$3)*('S-Table'!$C603-$D$3)=0,'S-Table'!C603,0),0)</f>
        <v>0</v>
      </c>
      <c r="J603" s="14">
        <f>IF(('S-Table'!$B603-$C$2)*('S-Table'!$B603-$D$2)=0,IF(('S-Table'!$C603-$C$3)*('S-Table'!$C603-$D$3)=0,'S-Table'!D603,0),0)</f>
        <v>0</v>
      </c>
      <c r="K603" s="14">
        <f>IF(('S-Table'!$B603-$C$2)*('S-Table'!$B603-$D$2)=0,IF(('S-Table'!$C603-$C$3)*('S-Table'!$C603-$D$3)=0,'S-Table'!E603,0),0)</f>
        <v>0</v>
      </c>
    </row>
    <row r="604" spans="6:11" x14ac:dyDescent="0.2">
      <c r="F604" s="14">
        <f>IF(G604=0,IF(G603=0,F603,F603+1),IF(G603=0,MAX(F$1:F603),MAX(F$1:F603)+1))</f>
        <v>17</v>
      </c>
      <c r="G604" s="14">
        <f>IF(('S-Table'!$B604-$C$2)*('S-Table'!$B604-$D$2)=0,IF(('S-Table'!$C604-$C$3)*('S-Table'!$C604-$D$3)=0,'S-Table'!A604,0),0)</f>
        <v>0</v>
      </c>
      <c r="H604" s="14">
        <f>IF(('S-Table'!$B604-$C$2)*('S-Table'!$B604-$D$2)=0,IF(('S-Table'!$C604-$C$3)*('S-Table'!$C604-$D$3)=0,'S-Table'!B604,0),0)</f>
        <v>0</v>
      </c>
      <c r="I604" s="14">
        <f>IF(('S-Table'!$B604-$C$2)*('S-Table'!$B604-$D$2)=0,IF(('S-Table'!$C604-$C$3)*('S-Table'!$C604-$D$3)=0,'S-Table'!C604,0),0)</f>
        <v>0</v>
      </c>
      <c r="J604" s="14">
        <f>IF(('S-Table'!$B604-$C$2)*('S-Table'!$B604-$D$2)=0,IF(('S-Table'!$C604-$C$3)*('S-Table'!$C604-$D$3)=0,'S-Table'!D604,0),0)</f>
        <v>0</v>
      </c>
      <c r="K604" s="14">
        <f>IF(('S-Table'!$B604-$C$2)*('S-Table'!$B604-$D$2)=0,IF(('S-Table'!$C604-$C$3)*('S-Table'!$C604-$D$3)=0,'S-Table'!E604,0),0)</f>
        <v>0</v>
      </c>
    </row>
    <row r="605" spans="6:11" x14ac:dyDescent="0.2">
      <c r="F605" s="14">
        <f>IF(G605=0,IF(G604=0,F604,F604+1),IF(G604=0,MAX(F$1:F604),MAX(F$1:F604)+1))</f>
        <v>17</v>
      </c>
      <c r="G605" s="14">
        <f>IF(('S-Table'!$B605-$C$2)*('S-Table'!$B605-$D$2)=0,IF(('S-Table'!$C605-$C$3)*('S-Table'!$C605-$D$3)=0,'S-Table'!A605,0),0)</f>
        <v>0</v>
      </c>
      <c r="H605" s="14">
        <f>IF(('S-Table'!$B605-$C$2)*('S-Table'!$B605-$D$2)=0,IF(('S-Table'!$C605-$C$3)*('S-Table'!$C605-$D$3)=0,'S-Table'!B605,0),0)</f>
        <v>0</v>
      </c>
      <c r="I605" s="14">
        <f>IF(('S-Table'!$B605-$C$2)*('S-Table'!$B605-$D$2)=0,IF(('S-Table'!$C605-$C$3)*('S-Table'!$C605-$D$3)=0,'S-Table'!C605,0),0)</f>
        <v>0</v>
      </c>
      <c r="J605" s="14">
        <f>IF(('S-Table'!$B605-$C$2)*('S-Table'!$B605-$D$2)=0,IF(('S-Table'!$C605-$C$3)*('S-Table'!$C605-$D$3)=0,'S-Table'!D605,0),0)</f>
        <v>0</v>
      </c>
      <c r="K605" s="14">
        <f>IF(('S-Table'!$B605-$C$2)*('S-Table'!$B605-$D$2)=0,IF(('S-Table'!$C605-$C$3)*('S-Table'!$C605-$D$3)=0,'S-Table'!E605,0),0)</f>
        <v>0</v>
      </c>
    </row>
    <row r="606" spans="6:11" x14ac:dyDescent="0.2">
      <c r="F606" s="14">
        <f>IF(G606=0,IF(G605=0,F605,F605+1),IF(G605=0,MAX(F$1:F605),MAX(F$1:F605)+1))</f>
        <v>17</v>
      </c>
      <c r="G606" s="14">
        <f>IF(('S-Table'!$B606-$C$2)*('S-Table'!$B606-$D$2)=0,IF(('S-Table'!$C606-$C$3)*('S-Table'!$C606-$D$3)=0,'S-Table'!A606,0),0)</f>
        <v>0</v>
      </c>
      <c r="H606" s="14">
        <f>IF(('S-Table'!$B606-$C$2)*('S-Table'!$B606-$D$2)=0,IF(('S-Table'!$C606-$C$3)*('S-Table'!$C606-$D$3)=0,'S-Table'!B606,0),0)</f>
        <v>0</v>
      </c>
      <c r="I606" s="14">
        <f>IF(('S-Table'!$B606-$C$2)*('S-Table'!$B606-$D$2)=0,IF(('S-Table'!$C606-$C$3)*('S-Table'!$C606-$D$3)=0,'S-Table'!C606,0),0)</f>
        <v>0</v>
      </c>
      <c r="J606" s="14">
        <f>IF(('S-Table'!$B606-$C$2)*('S-Table'!$B606-$D$2)=0,IF(('S-Table'!$C606-$C$3)*('S-Table'!$C606-$D$3)=0,'S-Table'!D606,0),0)</f>
        <v>0</v>
      </c>
      <c r="K606" s="14">
        <f>IF(('S-Table'!$B606-$C$2)*('S-Table'!$B606-$D$2)=0,IF(('S-Table'!$C606-$C$3)*('S-Table'!$C606-$D$3)=0,'S-Table'!E606,0),0)</f>
        <v>0</v>
      </c>
    </row>
    <row r="607" spans="6:11" x14ac:dyDescent="0.2">
      <c r="F607" s="14">
        <f>IF(G607=0,IF(G606=0,F606,F606+1),IF(G606=0,MAX(F$1:F606),MAX(F$1:F606)+1))</f>
        <v>17</v>
      </c>
      <c r="G607" s="14">
        <f>IF(('S-Table'!$B607-$C$2)*('S-Table'!$B607-$D$2)=0,IF(('S-Table'!$C607-$C$3)*('S-Table'!$C607-$D$3)=0,'S-Table'!A607,0),0)</f>
        <v>0</v>
      </c>
      <c r="H607" s="14">
        <f>IF(('S-Table'!$B607-$C$2)*('S-Table'!$B607-$D$2)=0,IF(('S-Table'!$C607-$C$3)*('S-Table'!$C607-$D$3)=0,'S-Table'!B607,0),0)</f>
        <v>0</v>
      </c>
      <c r="I607" s="14">
        <f>IF(('S-Table'!$B607-$C$2)*('S-Table'!$B607-$D$2)=0,IF(('S-Table'!$C607-$C$3)*('S-Table'!$C607-$D$3)=0,'S-Table'!C607,0),0)</f>
        <v>0</v>
      </c>
      <c r="J607" s="14">
        <f>IF(('S-Table'!$B607-$C$2)*('S-Table'!$B607-$D$2)=0,IF(('S-Table'!$C607-$C$3)*('S-Table'!$C607-$D$3)=0,'S-Table'!D607,0),0)</f>
        <v>0</v>
      </c>
      <c r="K607" s="14">
        <f>IF(('S-Table'!$B607-$C$2)*('S-Table'!$B607-$D$2)=0,IF(('S-Table'!$C607-$C$3)*('S-Table'!$C607-$D$3)=0,'S-Table'!E607,0),0)</f>
        <v>0</v>
      </c>
    </row>
    <row r="608" spans="6:11" x14ac:dyDescent="0.2">
      <c r="F608" s="14">
        <f>IF(G608=0,IF(G607=0,F607,F607+1),IF(G607=0,MAX(F$1:F607),MAX(F$1:F607)+1))</f>
        <v>17</v>
      </c>
      <c r="G608" s="14">
        <f>IF(('S-Table'!$B608-$C$2)*('S-Table'!$B608-$D$2)=0,IF(('S-Table'!$C608-$C$3)*('S-Table'!$C608-$D$3)=0,'S-Table'!A608,0),0)</f>
        <v>0</v>
      </c>
      <c r="H608" s="14">
        <f>IF(('S-Table'!$B608-$C$2)*('S-Table'!$B608-$D$2)=0,IF(('S-Table'!$C608-$C$3)*('S-Table'!$C608-$D$3)=0,'S-Table'!B608,0),0)</f>
        <v>0</v>
      </c>
      <c r="I608" s="14">
        <f>IF(('S-Table'!$B608-$C$2)*('S-Table'!$B608-$D$2)=0,IF(('S-Table'!$C608-$C$3)*('S-Table'!$C608-$D$3)=0,'S-Table'!C608,0),0)</f>
        <v>0</v>
      </c>
      <c r="J608" s="14">
        <f>IF(('S-Table'!$B608-$C$2)*('S-Table'!$B608-$D$2)=0,IF(('S-Table'!$C608-$C$3)*('S-Table'!$C608-$D$3)=0,'S-Table'!D608,0),0)</f>
        <v>0</v>
      </c>
      <c r="K608" s="14">
        <f>IF(('S-Table'!$B608-$C$2)*('S-Table'!$B608-$D$2)=0,IF(('S-Table'!$C608-$C$3)*('S-Table'!$C608-$D$3)=0,'S-Table'!E608,0),0)</f>
        <v>0</v>
      </c>
    </row>
    <row r="609" spans="6:11" x14ac:dyDescent="0.2">
      <c r="F609" s="14">
        <f>IF(G609=0,IF(G608=0,F608,F608+1),IF(G608=0,MAX(F$1:F608),MAX(F$1:F608)+1))</f>
        <v>17</v>
      </c>
      <c r="G609" s="14">
        <f>IF(('S-Table'!$B609-$C$2)*('S-Table'!$B609-$D$2)=0,IF(('S-Table'!$C609-$C$3)*('S-Table'!$C609-$D$3)=0,'S-Table'!A609,0),0)</f>
        <v>0</v>
      </c>
      <c r="H609" s="14">
        <f>IF(('S-Table'!$B609-$C$2)*('S-Table'!$B609-$D$2)=0,IF(('S-Table'!$C609-$C$3)*('S-Table'!$C609-$D$3)=0,'S-Table'!B609,0),0)</f>
        <v>0</v>
      </c>
      <c r="I609" s="14">
        <f>IF(('S-Table'!$B609-$C$2)*('S-Table'!$B609-$D$2)=0,IF(('S-Table'!$C609-$C$3)*('S-Table'!$C609-$D$3)=0,'S-Table'!C609,0),0)</f>
        <v>0</v>
      </c>
      <c r="J609" s="14">
        <f>IF(('S-Table'!$B609-$C$2)*('S-Table'!$B609-$D$2)=0,IF(('S-Table'!$C609-$C$3)*('S-Table'!$C609-$D$3)=0,'S-Table'!D609,0),0)</f>
        <v>0</v>
      </c>
      <c r="K609" s="14">
        <f>IF(('S-Table'!$B609-$C$2)*('S-Table'!$B609-$D$2)=0,IF(('S-Table'!$C609-$C$3)*('S-Table'!$C609-$D$3)=0,'S-Table'!E609,0),0)</f>
        <v>0</v>
      </c>
    </row>
    <row r="610" spans="6:11" x14ac:dyDescent="0.2">
      <c r="F610" s="14">
        <f>IF(G610=0,IF(G609=0,F609,F609+1),IF(G609=0,MAX(F$1:F609),MAX(F$1:F609)+1))</f>
        <v>17</v>
      </c>
      <c r="G610" s="14">
        <f>IF(('S-Table'!$B610-$C$2)*('S-Table'!$B610-$D$2)=0,IF(('S-Table'!$C610-$C$3)*('S-Table'!$C610-$D$3)=0,'S-Table'!A610,0),0)</f>
        <v>0</v>
      </c>
      <c r="H610" s="14">
        <f>IF(('S-Table'!$B610-$C$2)*('S-Table'!$B610-$D$2)=0,IF(('S-Table'!$C610-$C$3)*('S-Table'!$C610-$D$3)=0,'S-Table'!B610,0),0)</f>
        <v>0</v>
      </c>
      <c r="I610" s="14">
        <f>IF(('S-Table'!$B610-$C$2)*('S-Table'!$B610-$D$2)=0,IF(('S-Table'!$C610-$C$3)*('S-Table'!$C610-$D$3)=0,'S-Table'!C610,0),0)</f>
        <v>0</v>
      </c>
      <c r="J610" s="14">
        <f>IF(('S-Table'!$B610-$C$2)*('S-Table'!$B610-$D$2)=0,IF(('S-Table'!$C610-$C$3)*('S-Table'!$C610-$D$3)=0,'S-Table'!D610,0),0)</f>
        <v>0</v>
      </c>
      <c r="K610" s="14">
        <f>IF(('S-Table'!$B610-$C$2)*('S-Table'!$B610-$D$2)=0,IF(('S-Table'!$C610-$C$3)*('S-Table'!$C610-$D$3)=0,'S-Table'!E610,0),0)</f>
        <v>0</v>
      </c>
    </row>
    <row r="611" spans="6:11" x14ac:dyDescent="0.2">
      <c r="F611" s="14">
        <f>IF(G611=0,IF(G610=0,F610,F610+1),IF(G610=0,MAX(F$1:F610),MAX(F$1:F610)+1))</f>
        <v>17</v>
      </c>
      <c r="G611" s="14">
        <f>IF(('S-Table'!$B611-$C$2)*('S-Table'!$B611-$D$2)=0,IF(('S-Table'!$C611-$C$3)*('S-Table'!$C611-$D$3)=0,'S-Table'!A611,0),0)</f>
        <v>0</v>
      </c>
      <c r="H611" s="14">
        <f>IF(('S-Table'!$B611-$C$2)*('S-Table'!$B611-$D$2)=0,IF(('S-Table'!$C611-$C$3)*('S-Table'!$C611-$D$3)=0,'S-Table'!B611,0),0)</f>
        <v>0</v>
      </c>
      <c r="I611" s="14">
        <f>IF(('S-Table'!$B611-$C$2)*('S-Table'!$B611-$D$2)=0,IF(('S-Table'!$C611-$C$3)*('S-Table'!$C611-$D$3)=0,'S-Table'!C611,0),0)</f>
        <v>0</v>
      </c>
      <c r="J611" s="14">
        <f>IF(('S-Table'!$B611-$C$2)*('S-Table'!$B611-$D$2)=0,IF(('S-Table'!$C611-$C$3)*('S-Table'!$C611-$D$3)=0,'S-Table'!D611,0),0)</f>
        <v>0</v>
      </c>
      <c r="K611" s="14">
        <f>IF(('S-Table'!$B611-$C$2)*('S-Table'!$B611-$D$2)=0,IF(('S-Table'!$C611-$C$3)*('S-Table'!$C611-$D$3)=0,'S-Table'!E611,0),0)</f>
        <v>0</v>
      </c>
    </row>
    <row r="612" spans="6:11" x14ac:dyDescent="0.2">
      <c r="F612" s="14">
        <f>IF(G612=0,IF(G611=0,F611,F611+1),IF(G611=0,MAX(F$1:F611),MAX(F$1:F611)+1))</f>
        <v>17</v>
      </c>
      <c r="G612" s="14">
        <f>IF(('S-Table'!$B612-$C$2)*('S-Table'!$B612-$D$2)=0,IF(('S-Table'!$C612-$C$3)*('S-Table'!$C612-$D$3)=0,'S-Table'!A612,0),0)</f>
        <v>0</v>
      </c>
      <c r="H612" s="14">
        <f>IF(('S-Table'!$B612-$C$2)*('S-Table'!$B612-$D$2)=0,IF(('S-Table'!$C612-$C$3)*('S-Table'!$C612-$D$3)=0,'S-Table'!B612,0),0)</f>
        <v>0</v>
      </c>
      <c r="I612" s="14">
        <f>IF(('S-Table'!$B612-$C$2)*('S-Table'!$B612-$D$2)=0,IF(('S-Table'!$C612-$C$3)*('S-Table'!$C612-$D$3)=0,'S-Table'!C612,0),0)</f>
        <v>0</v>
      </c>
      <c r="J612" s="14">
        <f>IF(('S-Table'!$B612-$C$2)*('S-Table'!$B612-$D$2)=0,IF(('S-Table'!$C612-$C$3)*('S-Table'!$C612-$D$3)=0,'S-Table'!D612,0),0)</f>
        <v>0</v>
      </c>
      <c r="K612" s="14">
        <f>IF(('S-Table'!$B612-$C$2)*('S-Table'!$B612-$D$2)=0,IF(('S-Table'!$C612-$C$3)*('S-Table'!$C612-$D$3)=0,'S-Table'!E612,0),0)</f>
        <v>0</v>
      </c>
    </row>
    <row r="613" spans="6:11" x14ac:dyDescent="0.2">
      <c r="F613" s="14">
        <f>IF(G613=0,IF(G612=0,F612,F612+1),IF(G612=0,MAX(F$1:F612),MAX(F$1:F612)+1))</f>
        <v>17</v>
      </c>
      <c r="G613" s="14">
        <f>IF(('S-Table'!$B613-$C$2)*('S-Table'!$B613-$D$2)=0,IF(('S-Table'!$C613-$C$3)*('S-Table'!$C613-$D$3)=0,'S-Table'!A613,0),0)</f>
        <v>0</v>
      </c>
      <c r="H613" s="14">
        <f>IF(('S-Table'!$B613-$C$2)*('S-Table'!$B613-$D$2)=0,IF(('S-Table'!$C613-$C$3)*('S-Table'!$C613-$D$3)=0,'S-Table'!B613,0),0)</f>
        <v>0</v>
      </c>
      <c r="I613" s="14">
        <f>IF(('S-Table'!$B613-$C$2)*('S-Table'!$B613-$D$2)=0,IF(('S-Table'!$C613-$C$3)*('S-Table'!$C613-$D$3)=0,'S-Table'!C613,0),0)</f>
        <v>0</v>
      </c>
      <c r="J613" s="14">
        <f>IF(('S-Table'!$B613-$C$2)*('S-Table'!$B613-$D$2)=0,IF(('S-Table'!$C613-$C$3)*('S-Table'!$C613-$D$3)=0,'S-Table'!D613,0),0)</f>
        <v>0</v>
      </c>
      <c r="K613" s="14">
        <f>IF(('S-Table'!$B613-$C$2)*('S-Table'!$B613-$D$2)=0,IF(('S-Table'!$C613-$C$3)*('S-Table'!$C613-$D$3)=0,'S-Table'!E613,0),0)</f>
        <v>0</v>
      </c>
    </row>
    <row r="614" spans="6:11" x14ac:dyDescent="0.2">
      <c r="F614" s="14">
        <f>IF(G614=0,IF(G613=0,F613,F613+1),IF(G613=0,MAX(F$1:F613),MAX(F$1:F613)+1))</f>
        <v>17</v>
      </c>
      <c r="G614" s="14">
        <f>IF(('S-Table'!$B614-$C$2)*('S-Table'!$B614-$D$2)=0,IF(('S-Table'!$C614-$C$3)*('S-Table'!$C614-$D$3)=0,'S-Table'!A614,0),0)</f>
        <v>0</v>
      </c>
      <c r="H614" s="14">
        <f>IF(('S-Table'!$B614-$C$2)*('S-Table'!$B614-$D$2)=0,IF(('S-Table'!$C614-$C$3)*('S-Table'!$C614-$D$3)=0,'S-Table'!B614,0),0)</f>
        <v>0</v>
      </c>
      <c r="I614" s="14">
        <f>IF(('S-Table'!$B614-$C$2)*('S-Table'!$B614-$D$2)=0,IF(('S-Table'!$C614-$C$3)*('S-Table'!$C614-$D$3)=0,'S-Table'!C614,0),0)</f>
        <v>0</v>
      </c>
      <c r="J614" s="14">
        <f>IF(('S-Table'!$B614-$C$2)*('S-Table'!$B614-$D$2)=0,IF(('S-Table'!$C614-$C$3)*('S-Table'!$C614-$D$3)=0,'S-Table'!D614,0),0)</f>
        <v>0</v>
      </c>
      <c r="K614" s="14">
        <f>IF(('S-Table'!$B614-$C$2)*('S-Table'!$B614-$D$2)=0,IF(('S-Table'!$C614-$C$3)*('S-Table'!$C614-$D$3)=0,'S-Table'!E614,0),0)</f>
        <v>0</v>
      </c>
    </row>
    <row r="615" spans="6:11" x14ac:dyDescent="0.2">
      <c r="F615" s="14">
        <f>IF(G615=0,IF(G614=0,F614,F614+1),IF(G614=0,MAX(F$1:F614),MAX(F$1:F614)+1))</f>
        <v>17</v>
      </c>
      <c r="G615" s="14">
        <f>IF(('S-Table'!$B615-$C$2)*('S-Table'!$B615-$D$2)=0,IF(('S-Table'!$C615-$C$3)*('S-Table'!$C615-$D$3)=0,'S-Table'!A615,0),0)</f>
        <v>0</v>
      </c>
      <c r="H615" s="14">
        <f>IF(('S-Table'!$B615-$C$2)*('S-Table'!$B615-$D$2)=0,IF(('S-Table'!$C615-$C$3)*('S-Table'!$C615-$D$3)=0,'S-Table'!B615,0),0)</f>
        <v>0</v>
      </c>
      <c r="I615" s="14">
        <f>IF(('S-Table'!$B615-$C$2)*('S-Table'!$B615-$D$2)=0,IF(('S-Table'!$C615-$C$3)*('S-Table'!$C615-$D$3)=0,'S-Table'!C615,0),0)</f>
        <v>0</v>
      </c>
      <c r="J615" s="14">
        <f>IF(('S-Table'!$B615-$C$2)*('S-Table'!$B615-$D$2)=0,IF(('S-Table'!$C615-$C$3)*('S-Table'!$C615-$D$3)=0,'S-Table'!D615,0),0)</f>
        <v>0</v>
      </c>
      <c r="K615" s="14">
        <f>IF(('S-Table'!$B615-$C$2)*('S-Table'!$B615-$D$2)=0,IF(('S-Table'!$C615-$C$3)*('S-Table'!$C615-$D$3)=0,'S-Table'!E615,0),0)</f>
        <v>0</v>
      </c>
    </row>
    <row r="616" spans="6:11" x14ac:dyDescent="0.2">
      <c r="F616" s="14">
        <f>IF(G616=0,IF(G615=0,F615,F615+1),IF(G615=0,MAX(F$1:F615),MAX(F$1:F615)+1))</f>
        <v>17</v>
      </c>
      <c r="G616" s="14">
        <f>IF(('S-Table'!$B616-$C$2)*('S-Table'!$B616-$D$2)=0,IF(('S-Table'!$C616-$C$3)*('S-Table'!$C616-$D$3)=0,'S-Table'!A616,0),0)</f>
        <v>0</v>
      </c>
      <c r="H616" s="14">
        <f>IF(('S-Table'!$B616-$C$2)*('S-Table'!$B616-$D$2)=0,IF(('S-Table'!$C616-$C$3)*('S-Table'!$C616-$D$3)=0,'S-Table'!B616,0),0)</f>
        <v>0</v>
      </c>
      <c r="I616" s="14">
        <f>IF(('S-Table'!$B616-$C$2)*('S-Table'!$B616-$D$2)=0,IF(('S-Table'!$C616-$C$3)*('S-Table'!$C616-$D$3)=0,'S-Table'!C616,0),0)</f>
        <v>0</v>
      </c>
      <c r="J616" s="14">
        <f>IF(('S-Table'!$B616-$C$2)*('S-Table'!$B616-$D$2)=0,IF(('S-Table'!$C616-$C$3)*('S-Table'!$C616-$D$3)=0,'S-Table'!D616,0),0)</f>
        <v>0</v>
      </c>
      <c r="K616" s="14">
        <f>IF(('S-Table'!$B616-$C$2)*('S-Table'!$B616-$D$2)=0,IF(('S-Table'!$C616-$C$3)*('S-Table'!$C616-$D$3)=0,'S-Table'!E616,0),0)</f>
        <v>0</v>
      </c>
    </row>
    <row r="617" spans="6:11" x14ac:dyDescent="0.2">
      <c r="F617" s="14">
        <f>IF(G617=0,IF(G616=0,F616,F616+1),IF(G616=0,MAX(F$1:F616),MAX(F$1:F616)+1))</f>
        <v>17</v>
      </c>
      <c r="G617" s="14">
        <f>IF(('S-Table'!$B617-$C$2)*('S-Table'!$B617-$D$2)=0,IF(('S-Table'!$C617-$C$3)*('S-Table'!$C617-$D$3)=0,'S-Table'!A617,0),0)</f>
        <v>0</v>
      </c>
      <c r="H617" s="14">
        <f>IF(('S-Table'!$B617-$C$2)*('S-Table'!$B617-$D$2)=0,IF(('S-Table'!$C617-$C$3)*('S-Table'!$C617-$D$3)=0,'S-Table'!B617,0),0)</f>
        <v>0</v>
      </c>
      <c r="I617" s="14">
        <f>IF(('S-Table'!$B617-$C$2)*('S-Table'!$B617-$D$2)=0,IF(('S-Table'!$C617-$C$3)*('S-Table'!$C617-$D$3)=0,'S-Table'!C617,0),0)</f>
        <v>0</v>
      </c>
      <c r="J617" s="14">
        <f>IF(('S-Table'!$B617-$C$2)*('S-Table'!$B617-$D$2)=0,IF(('S-Table'!$C617-$C$3)*('S-Table'!$C617-$D$3)=0,'S-Table'!D617,0),0)</f>
        <v>0</v>
      </c>
      <c r="K617" s="14">
        <f>IF(('S-Table'!$B617-$C$2)*('S-Table'!$B617-$D$2)=0,IF(('S-Table'!$C617-$C$3)*('S-Table'!$C617-$D$3)=0,'S-Table'!E617,0),0)</f>
        <v>0</v>
      </c>
    </row>
    <row r="618" spans="6:11" x14ac:dyDescent="0.2">
      <c r="F618" s="14">
        <f>IF(G618=0,IF(G617=0,F617,F617+1),IF(G617=0,MAX(F$1:F617),MAX(F$1:F617)+1))</f>
        <v>17</v>
      </c>
      <c r="G618" s="14">
        <f>IF(('S-Table'!$B618-$C$2)*('S-Table'!$B618-$D$2)=0,IF(('S-Table'!$C618-$C$3)*('S-Table'!$C618-$D$3)=0,'S-Table'!A618,0),0)</f>
        <v>0</v>
      </c>
      <c r="H618" s="14">
        <f>IF(('S-Table'!$B618-$C$2)*('S-Table'!$B618-$D$2)=0,IF(('S-Table'!$C618-$C$3)*('S-Table'!$C618-$D$3)=0,'S-Table'!B618,0),0)</f>
        <v>0</v>
      </c>
      <c r="I618" s="14">
        <f>IF(('S-Table'!$B618-$C$2)*('S-Table'!$B618-$D$2)=0,IF(('S-Table'!$C618-$C$3)*('S-Table'!$C618-$D$3)=0,'S-Table'!C618,0),0)</f>
        <v>0</v>
      </c>
      <c r="J618" s="14">
        <f>IF(('S-Table'!$B618-$C$2)*('S-Table'!$B618-$D$2)=0,IF(('S-Table'!$C618-$C$3)*('S-Table'!$C618-$D$3)=0,'S-Table'!D618,0),0)</f>
        <v>0</v>
      </c>
      <c r="K618" s="14">
        <f>IF(('S-Table'!$B618-$C$2)*('S-Table'!$B618-$D$2)=0,IF(('S-Table'!$C618-$C$3)*('S-Table'!$C618-$D$3)=0,'S-Table'!E618,0),0)</f>
        <v>0</v>
      </c>
    </row>
    <row r="619" spans="6:11" x14ac:dyDescent="0.2">
      <c r="F619" s="14">
        <f>IF(G619=0,IF(G618=0,F618,F618+1),IF(G618=0,MAX(F$1:F618),MAX(F$1:F618)+1))</f>
        <v>17</v>
      </c>
      <c r="G619" s="14">
        <f>IF(('S-Table'!$B619-$C$2)*('S-Table'!$B619-$D$2)=0,IF(('S-Table'!$C619-$C$3)*('S-Table'!$C619-$D$3)=0,'S-Table'!A619,0),0)</f>
        <v>0</v>
      </c>
      <c r="H619" s="14">
        <f>IF(('S-Table'!$B619-$C$2)*('S-Table'!$B619-$D$2)=0,IF(('S-Table'!$C619-$C$3)*('S-Table'!$C619-$D$3)=0,'S-Table'!B619,0),0)</f>
        <v>0</v>
      </c>
      <c r="I619" s="14">
        <f>IF(('S-Table'!$B619-$C$2)*('S-Table'!$B619-$D$2)=0,IF(('S-Table'!$C619-$C$3)*('S-Table'!$C619-$D$3)=0,'S-Table'!C619,0),0)</f>
        <v>0</v>
      </c>
      <c r="J619" s="14">
        <f>IF(('S-Table'!$B619-$C$2)*('S-Table'!$B619-$D$2)=0,IF(('S-Table'!$C619-$C$3)*('S-Table'!$C619-$D$3)=0,'S-Table'!D619,0),0)</f>
        <v>0</v>
      </c>
      <c r="K619" s="14">
        <f>IF(('S-Table'!$B619-$C$2)*('S-Table'!$B619-$D$2)=0,IF(('S-Table'!$C619-$C$3)*('S-Table'!$C619-$D$3)=0,'S-Table'!E619,0),0)</f>
        <v>0</v>
      </c>
    </row>
    <row r="620" spans="6:11" x14ac:dyDescent="0.2">
      <c r="F620" s="14">
        <f>IF(G620=0,IF(G619=0,F619,F619+1),IF(G619=0,MAX(F$1:F619),MAX(F$1:F619)+1))</f>
        <v>17</v>
      </c>
      <c r="G620" s="14">
        <f>IF(('S-Table'!$B620-$C$2)*('S-Table'!$B620-$D$2)=0,IF(('S-Table'!$C620-$C$3)*('S-Table'!$C620-$D$3)=0,'S-Table'!A620,0),0)</f>
        <v>0</v>
      </c>
      <c r="H620" s="14">
        <f>IF(('S-Table'!$B620-$C$2)*('S-Table'!$B620-$D$2)=0,IF(('S-Table'!$C620-$C$3)*('S-Table'!$C620-$D$3)=0,'S-Table'!B620,0),0)</f>
        <v>0</v>
      </c>
      <c r="I620" s="14">
        <f>IF(('S-Table'!$B620-$C$2)*('S-Table'!$B620-$D$2)=0,IF(('S-Table'!$C620-$C$3)*('S-Table'!$C620-$D$3)=0,'S-Table'!C620,0),0)</f>
        <v>0</v>
      </c>
      <c r="J620" s="14">
        <f>IF(('S-Table'!$B620-$C$2)*('S-Table'!$B620-$D$2)=0,IF(('S-Table'!$C620-$C$3)*('S-Table'!$C620-$D$3)=0,'S-Table'!D620,0),0)</f>
        <v>0</v>
      </c>
      <c r="K620" s="14">
        <f>IF(('S-Table'!$B620-$C$2)*('S-Table'!$B620-$D$2)=0,IF(('S-Table'!$C620-$C$3)*('S-Table'!$C620-$D$3)=0,'S-Table'!E620,0),0)</f>
        <v>0</v>
      </c>
    </row>
    <row r="621" spans="6:11" x14ac:dyDescent="0.2">
      <c r="F621" s="14">
        <f>IF(G621=0,IF(G620=0,F620,F620+1),IF(G620=0,MAX(F$1:F620),MAX(F$1:F620)+1))</f>
        <v>17</v>
      </c>
      <c r="G621" s="14">
        <f>IF(('S-Table'!$B621-$C$2)*('S-Table'!$B621-$D$2)=0,IF(('S-Table'!$C621-$C$3)*('S-Table'!$C621-$D$3)=0,'S-Table'!A621,0),0)</f>
        <v>0</v>
      </c>
      <c r="H621" s="14">
        <f>IF(('S-Table'!$B621-$C$2)*('S-Table'!$B621-$D$2)=0,IF(('S-Table'!$C621-$C$3)*('S-Table'!$C621-$D$3)=0,'S-Table'!B621,0),0)</f>
        <v>0</v>
      </c>
      <c r="I621" s="14">
        <f>IF(('S-Table'!$B621-$C$2)*('S-Table'!$B621-$D$2)=0,IF(('S-Table'!$C621-$C$3)*('S-Table'!$C621-$D$3)=0,'S-Table'!C621,0),0)</f>
        <v>0</v>
      </c>
      <c r="J621" s="14">
        <f>IF(('S-Table'!$B621-$C$2)*('S-Table'!$B621-$D$2)=0,IF(('S-Table'!$C621-$C$3)*('S-Table'!$C621-$D$3)=0,'S-Table'!D621,0),0)</f>
        <v>0</v>
      </c>
      <c r="K621" s="14">
        <f>IF(('S-Table'!$B621-$C$2)*('S-Table'!$B621-$D$2)=0,IF(('S-Table'!$C621-$C$3)*('S-Table'!$C621-$D$3)=0,'S-Table'!E621,0),0)</f>
        <v>0</v>
      </c>
    </row>
    <row r="622" spans="6:11" x14ac:dyDescent="0.2">
      <c r="F622" s="14">
        <f>IF(G622=0,IF(G621=0,F621,F621+1),IF(G621=0,MAX(F$1:F621),MAX(F$1:F621)+1))</f>
        <v>17</v>
      </c>
      <c r="G622" s="14">
        <f>IF(('S-Table'!$B622-$C$2)*('S-Table'!$B622-$D$2)=0,IF(('S-Table'!$C622-$C$3)*('S-Table'!$C622-$D$3)=0,'S-Table'!A622,0),0)</f>
        <v>0</v>
      </c>
      <c r="H622" s="14">
        <f>IF(('S-Table'!$B622-$C$2)*('S-Table'!$B622-$D$2)=0,IF(('S-Table'!$C622-$C$3)*('S-Table'!$C622-$D$3)=0,'S-Table'!B622,0),0)</f>
        <v>0</v>
      </c>
      <c r="I622" s="14">
        <f>IF(('S-Table'!$B622-$C$2)*('S-Table'!$B622-$D$2)=0,IF(('S-Table'!$C622-$C$3)*('S-Table'!$C622-$D$3)=0,'S-Table'!C622,0),0)</f>
        <v>0</v>
      </c>
      <c r="J622" s="14">
        <f>IF(('S-Table'!$B622-$C$2)*('S-Table'!$B622-$D$2)=0,IF(('S-Table'!$C622-$C$3)*('S-Table'!$C622-$D$3)=0,'S-Table'!D622,0),0)</f>
        <v>0</v>
      </c>
      <c r="K622" s="14">
        <f>IF(('S-Table'!$B622-$C$2)*('S-Table'!$B622-$D$2)=0,IF(('S-Table'!$C622-$C$3)*('S-Table'!$C622-$D$3)=0,'S-Table'!E622,0),0)</f>
        <v>0</v>
      </c>
    </row>
    <row r="623" spans="6:11" x14ac:dyDescent="0.2">
      <c r="F623" s="14">
        <f>IF(G623=0,IF(G622=0,F622,F622+1),IF(G622=0,MAX(F$1:F622),MAX(F$1:F622)+1))</f>
        <v>17</v>
      </c>
      <c r="G623" s="14">
        <f>IF(('S-Table'!$B623-$C$2)*('S-Table'!$B623-$D$2)=0,IF(('S-Table'!$C623-$C$3)*('S-Table'!$C623-$D$3)=0,'S-Table'!A623,0),0)</f>
        <v>0</v>
      </c>
      <c r="H623" s="14">
        <f>IF(('S-Table'!$B623-$C$2)*('S-Table'!$B623-$D$2)=0,IF(('S-Table'!$C623-$C$3)*('S-Table'!$C623-$D$3)=0,'S-Table'!B623,0),0)</f>
        <v>0</v>
      </c>
      <c r="I623" s="14">
        <f>IF(('S-Table'!$B623-$C$2)*('S-Table'!$B623-$D$2)=0,IF(('S-Table'!$C623-$C$3)*('S-Table'!$C623-$D$3)=0,'S-Table'!C623,0),0)</f>
        <v>0</v>
      </c>
      <c r="J623" s="14">
        <f>IF(('S-Table'!$B623-$C$2)*('S-Table'!$B623-$D$2)=0,IF(('S-Table'!$C623-$C$3)*('S-Table'!$C623-$D$3)=0,'S-Table'!D623,0),0)</f>
        <v>0</v>
      </c>
      <c r="K623" s="14">
        <f>IF(('S-Table'!$B623-$C$2)*('S-Table'!$B623-$D$2)=0,IF(('S-Table'!$C623-$C$3)*('S-Table'!$C623-$D$3)=0,'S-Table'!E623,0),0)</f>
        <v>0</v>
      </c>
    </row>
    <row r="624" spans="6:11" x14ac:dyDescent="0.2">
      <c r="F624" s="14">
        <f>IF(G624=0,IF(G623=0,F623,F623+1),IF(G623=0,MAX(F$1:F623),MAX(F$1:F623)+1))</f>
        <v>17</v>
      </c>
      <c r="G624" s="14">
        <f>IF(('S-Table'!$B624-$C$2)*('S-Table'!$B624-$D$2)=0,IF(('S-Table'!$C624-$C$3)*('S-Table'!$C624-$D$3)=0,'S-Table'!A624,0),0)</f>
        <v>0</v>
      </c>
      <c r="H624" s="14">
        <f>IF(('S-Table'!$B624-$C$2)*('S-Table'!$B624-$D$2)=0,IF(('S-Table'!$C624-$C$3)*('S-Table'!$C624-$D$3)=0,'S-Table'!B624,0),0)</f>
        <v>0</v>
      </c>
      <c r="I624" s="14">
        <f>IF(('S-Table'!$B624-$C$2)*('S-Table'!$B624-$D$2)=0,IF(('S-Table'!$C624-$C$3)*('S-Table'!$C624-$D$3)=0,'S-Table'!C624,0),0)</f>
        <v>0</v>
      </c>
      <c r="J624" s="14">
        <f>IF(('S-Table'!$B624-$C$2)*('S-Table'!$B624-$D$2)=0,IF(('S-Table'!$C624-$C$3)*('S-Table'!$C624-$D$3)=0,'S-Table'!D624,0),0)</f>
        <v>0</v>
      </c>
      <c r="K624" s="14">
        <f>IF(('S-Table'!$B624-$C$2)*('S-Table'!$B624-$D$2)=0,IF(('S-Table'!$C624-$C$3)*('S-Table'!$C624-$D$3)=0,'S-Table'!E624,0),0)</f>
        <v>0</v>
      </c>
    </row>
    <row r="625" spans="6:11" x14ac:dyDescent="0.2">
      <c r="F625" s="14">
        <f>IF(G625=0,IF(G624=0,F624,F624+1),IF(G624=0,MAX(F$1:F624),MAX(F$1:F624)+1))</f>
        <v>17</v>
      </c>
      <c r="G625" s="14">
        <f>IF(('S-Table'!$B625-$C$2)*('S-Table'!$B625-$D$2)=0,IF(('S-Table'!$C625-$C$3)*('S-Table'!$C625-$D$3)=0,'S-Table'!A625,0),0)</f>
        <v>0</v>
      </c>
      <c r="H625" s="14">
        <f>IF(('S-Table'!$B625-$C$2)*('S-Table'!$B625-$D$2)=0,IF(('S-Table'!$C625-$C$3)*('S-Table'!$C625-$D$3)=0,'S-Table'!B625,0),0)</f>
        <v>0</v>
      </c>
      <c r="I625" s="14">
        <f>IF(('S-Table'!$B625-$C$2)*('S-Table'!$B625-$D$2)=0,IF(('S-Table'!$C625-$C$3)*('S-Table'!$C625-$D$3)=0,'S-Table'!C625,0),0)</f>
        <v>0</v>
      </c>
      <c r="J625" s="14">
        <f>IF(('S-Table'!$B625-$C$2)*('S-Table'!$B625-$D$2)=0,IF(('S-Table'!$C625-$C$3)*('S-Table'!$C625-$D$3)=0,'S-Table'!D625,0),0)</f>
        <v>0</v>
      </c>
      <c r="K625" s="14">
        <f>IF(('S-Table'!$B625-$C$2)*('S-Table'!$B625-$D$2)=0,IF(('S-Table'!$C625-$C$3)*('S-Table'!$C625-$D$3)=0,'S-Table'!E625,0),0)</f>
        <v>0</v>
      </c>
    </row>
    <row r="626" spans="6:11" x14ac:dyDescent="0.2">
      <c r="F626" s="14">
        <f>IF(G626=0,IF(G625=0,F625,F625+1),IF(G625=0,MAX(F$1:F625),MAX(F$1:F625)+1))</f>
        <v>17</v>
      </c>
      <c r="G626" s="14">
        <f>IF(('S-Table'!$B626-$C$2)*('S-Table'!$B626-$D$2)=0,IF(('S-Table'!$C626-$C$3)*('S-Table'!$C626-$D$3)=0,'S-Table'!A626,0),0)</f>
        <v>0</v>
      </c>
      <c r="H626" s="14">
        <f>IF(('S-Table'!$B626-$C$2)*('S-Table'!$B626-$D$2)=0,IF(('S-Table'!$C626-$C$3)*('S-Table'!$C626-$D$3)=0,'S-Table'!B626,0),0)</f>
        <v>0</v>
      </c>
      <c r="I626" s="14">
        <f>IF(('S-Table'!$B626-$C$2)*('S-Table'!$B626-$D$2)=0,IF(('S-Table'!$C626-$C$3)*('S-Table'!$C626-$D$3)=0,'S-Table'!C626,0),0)</f>
        <v>0</v>
      </c>
      <c r="J626" s="14">
        <f>IF(('S-Table'!$B626-$C$2)*('S-Table'!$B626-$D$2)=0,IF(('S-Table'!$C626-$C$3)*('S-Table'!$C626-$D$3)=0,'S-Table'!D626,0),0)</f>
        <v>0</v>
      </c>
      <c r="K626" s="14">
        <f>IF(('S-Table'!$B626-$C$2)*('S-Table'!$B626-$D$2)=0,IF(('S-Table'!$C626-$C$3)*('S-Table'!$C626-$D$3)=0,'S-Table'!E626,0),0)</f>
        <v>0</v>
      </c>
    </row>
    <row r="627" spans="6:11" x14ac:dyDescent="0.2">
      <c r="F627" s="14">
        <f>IF(G627=0,IF(G626=0,F626,F626+1),IF(G626=0,MAX(F$1:F626),MAX(F$1:F626)+1))</f>
        <v>17</v>
      </c>
      <c r="G627" s="14">
        <f>IF(('S-Table'!$B627-$C$2)*('S-Table'!$B627-$D$2)=0,IF(('S-Table'!$C627-$C$3)*('S-Table'!$C627-$D$3)=0,'S-Table'!A627,0),0)</f>
        <v>0</v>
      </c>
      <c r="H627" s="14">
        <f>IF(('S-Table'!$B627-$C$2)*('S-Table'!$B627-$D$2)=0,IF(('S-Table'!$C627-$C$3)*('S-Table'!$C627-$D$3)=0,'S-Table'!B627,0),0)</f>
        <v>0</v>
      </c>
      <c r="I627" s="14">
        <f>IF(('S-Table'!$B627-$C$2)*('S-Table'!$B627-$D$2)=0,IF(('S-Table'!$C627-$C$3)*('S-Table'!$C627-$D$3)=0,'S-Table'!C627,0),0)</f>
        <v>0</v>
      </c>
      <c r="J627" s="14">
        <f>IF(('S-Table'!$B627-$C$2)*('S-Table'!$B627-$D$2)=0,IF(('S-Table'!$C627-$C$3)*('S-Table'!$C627-$D$3)=0,'S-Table'!D627,0),0)</f>
        <v>0</v>
      </c>
      <c r="K627" s="14">
        <f>IF(('S-Table'!$B627-$C$2)*('S-Table'!$B627-$D$2)=0,IF(('S-Table'!$C627-$C$3)*('S-Table'!$C627-$D$3)=0,'S-Table'!E627,0),0)</f>
        <v>0</v>
      </c>
    </row>
    <row r="628" spans="6:11" x14ac:dyDescent="0.2">
      <c r="F628" s="14">
        <f>IF(G628=0,IF(G627=0,F627,F627+1),IF(G627=0,MAX(F$1:F627),MAX(F$1:F627)+1))</f>
        <v>17</v>
      </c>
      <c r="G628" s="14">
        <f>IF(('S-Table'!$B628-$C$2)*('S-Table'!$B628-$D$2)=0,IF(('S-Table'!$C628-$C$3)*('S-Table'!$C628-$D$3)=0,'S-Table'!A628,0),0)</f>
        <v>0</v>
      </c>
      <c r="H628" s="14">
        <f>IF(('S-Table'!$B628-$C$2)*('S-Table'!$B628-$D$2)=0,IF(('S-Table'!$C628-$C$3)*('S-Table'!$C628-$D$3)=0,'S-Table'!B628,0),0)</f>
        <v>0</v>
      </c>
      <c r="I628" s="14">
        <f>IF(('S-Table'!$B628-$C$2)*('S-Table'!$B628-$D$2)=0,IF(('S-Table'!$C628-$C$3)*('S-Table'!$C628-$D$3)=0,'S-Table'!C628,0),0)</f>
        <v>0</v>
      </c>
      <c r="J628" s="14">
        <f>IF(('S-Table'!$B628-$C$2)*('S-Table'!$B628-$D$2)=0,IF(('S-Table'!$C628-$C$3)*('S-Table'!$C628-$D$3)=0,'S-Table'!D628,0),0)</f>
        <v>0</v>
      </c>
      <c r="K628" s="14">
        <f>IF(('S-Table'!$B628-$C$2)*('S-Table'!$B628-$D$2)=0,IF(('S-Table'!$C628-$C$3)*('S-Table'!$C628-$D$3)=0,'S-Table'!E628,0),0)</f>
        <v>0</v>
      </c>
    </row>
    <row r="629" spans="6:11" x14ac:dyDescent="0.2">
      <c r="F629" s="14">
        <f>IF(G629=0,IF(G628=0,F628,F628+1),IF(G628=0,MAX(F$1:F628),MAX(F$1:F628)+1))</f>
        <v>17</v>
      </c>
      <c r="G629" s="14">
        <f>IF(('S-Table'!$B629-$C$2)*('S-Table'!$B629-$D$2)=0,IF(('S-Table'!$C629-$C$3)*('S-Table'!$C629-$D$3)=0,'S-Table'!A629,0),0)</f>
        <v>0</v>
      </c>
      <c r="H629" s="14">
        <f>IF(('S-Table'!$B629-$C$2)*('S-Table'!$B629-$D$2)=0,IF(('S-Table'!$C629-$C$3)*('S-Table'!$C629-$D$3)=0,'S-Table'!B629,0),0)</f>
        <v>0</v>
      </c>
      <c r="I629" s="14">
        <f>IF(('S-Table'!$B629-$C$2)*('S-Table'!$B629-$D$2)=0,IF(('S-Table'!$C629-$C$3)*('S-Table'!$C629-$D$3)=0,'S-Table'!C629,0),0)</f>
        <v>0</v>
      </c>
      <c r="J629" s="14">
        <f>IF(('S-Table'!$B629-$C$2)*('S-Table'!$B629-$D$2)=0,IF(('S-Table'!$C629-$C$3)*('S-Table'!$C629-$D$3)=0,'S-Table'!D629,0),0)</f>
        <v>0</v>
      </c>
      <c r="K629" s="14">
        <f>IF(('S-Table'!$B629-$C$2)*('S-Table'!$B629-$D$2)=0,IF(('S-Table'!$C629-$C$3)*('S-Table'!$C629-$D$3)=0,'S-Table'!E629,0),0)</f>
        <v>0</v>
      </c>
    </row>
    <row r="630" spans="6:11" x14ac:dyDescent="0.2">
      <c r="F630" s="14">
        <f>IF(G630=0,IF(G629=0,F629,F629+1),IF(G629=0,MAX(F$1:F629),MAX(F$1:F629)+1))</f>
        <v>17</v>
      </c>
      <c r="G630" s="14">
        <f>IF(('S-Table'!$B630-$C$2)*('S-Table'!$B630-$D$2)=0,IF(('S-Table'!$C630-$C$3)*('S-Table'!$C630-$D$3)=0,'S-Table'!A630,0),0)</f>
        <v>0</v>
      </c>
      <c r="H630" s="14">
        <f>IF(('S-Table'!$B630-$C$2)*('S-Table'!$B630-$D$2)=0,IF(('S-Table'!$C630-$C$3)*('S-Table'!$C630-$D$3)=0,'S-Table'!B630,0),0)</f>
        <v>0</v>
      </c>
      <c r="I630" s="14">
        <f>IF(('S-Table'!$B630-$C$2)*('S-Table'!$B630-$D$2)=0,IF(('S-Table'!$C630-$C$3)*('S-Table'!$C630-$D$3)=0,'S-Table'!C630,0),0)</f>
        <v>0</v>
      </c>
      <c r="J630" s="14">
        <f>IF(('S-Table'!$B630-$C$2)*('S-Table'!$B630-$D$2)=0,IF(('S-Table'!$C630-$C$3)*('S-Table'!$C630-$D$3)=0,'S-Table'!D630,0),0)</f>
        <v>0</v>
      </c>
      <c r="K630" s="14">
        <f>IF(('S-Table'!$B630-$C$2)*('S-Table'!$B630-$D$2)=0,IF(('S-Table'!$C630-$C$3)*('S-Table'!$C630-$D$3)=0,'S-Table'!E630,0),0)</f>
        <v>0</v>
      </c>
    </row>
    <row r="631" spans="6:11" x14ac:dyDescent="0.2">
      <c r="F631" s="14">
        <f>IF(G631=0,IF(G630=0,F630,F630+1),IF(G630=0,MAX(F$1:F630),MAX(F$1:F630)+1))</f>
        <v>17</v>
      </c>
      <c r="G631" s="14">
        <f>IF(('S-Table'!$B631-$C$2)*('S-Table'!$B631-$D$2)=0,IF(('S-Table'!$C631-$C$3)*('S-Table'!$C631-$D$3)=0,'S-Table'!A631,0),0)</f>
        <v>0</v>
      </c>
      <c r="H631" s="14">
        <f>IF(('S-Table'!$B631-$C$2)*('S-Table'!$B631-$D$2)=0,IF(('S-Table'!$C631-$C$3)*('S-Table'!$C631-$D$3)=0,'S-Table'!B631,0),0)</f>
        <v>0</v>
      </c>
      <c r="I631" s="14">
        <f>IF(('S-Table'!$B631-$C$2)*('S-Table'!$B631-$D$2)=0,IF(('S-Table'!$C631-$C$3)*('S-Table'!$C631-$D$3)=0,'S-Table'!C631,0),0)</f>
        <v>0</v>
      </c>
      <c r="J631" s="14">
        <f>IF(('S-Table'!$B631-$C$2)*('S-Table'!$B631-$D$2)=0,IF(('S-Table'!$C631-$C$3)*('S-Table'!$C631-$D$3)=0,'S-Table'!D631,0),0)</f>
        <v>0</v>
      </c>
      <c r="K631" s="14">
        <f>IF(('S-Table'!$B631-$C$2)*('S-Table'!$B631-$D$2)=0,IF(('S-Table'!$C631-$C$3)*('S-Table'!$C631-$D$3)=0,'S-Table'!E631,0),0)</f>
        <v>0</v>
      </c>
    </row>
    <row r="632" spans="6:11" x14ac:dyDescent="0.2">
      <c r="F632" s="14">
        <f>IF(G632=0,IF(G631=0,F631,F631+1),IF(G631=0,MAX(F$1:F631),MAX(F$1:F631)+1))</f>
        <v>17</v>
      </c>
      <c r="G632" s="14">
        <f>IF(('S-Table'!$B632-$C$2)*('S-Table'!$B632-$D$2)=0,IF(('S-Table'!$C632-$C$3)*('S-Table'!$C632-$D$3)=0,'S-Table'!A632,0),0)</f>
        <v>0</v>
      </c>
      <c r="H632" s="14">
        <f>IF(('S-Table'!$B632-$C$2)*('S-Table'!$B632-$D$2)=0,IF(('S-Table'!$C632-$C$3)*('S-Table'!$C632-$D$3)=0,'S-Table'!B632,0),0)</f>
        <v>0</v>
      </c>
      <c r="I632" s="14">
        <f>IF(('S-Table'!$B632-$C$2)*('S-Table'!$B632-$D$2)=0,IF(('S-Table'!$C632-$C$3)*('S-Table'!$C632-$D$3)=0,'S-Table'!C632,0),0)</f>
        <v>0</v>
      </c>
      <c r="J632" s="14">
        <f>IF(('S-Table'!$B632-$C$2)*('S-Table'!$B632-$D$2)=0,IF(('S-Table'!$C632-$C$3)*('S-Table'!$C632-$D$3)=0,'S-Table'!D632,0),0)</f>
        <v>0</v>
      </c>
      <c r="K632" s="14">
        <f>IF(('S-Table'!$B632-$C$2)*('S-Table'!$B632-$D$2)=0,IF(('S-Table'!$C632-$C$3)*('S-Table'!$C632-$D$3)=0,'S-Table'!E632,0),0)</f>
        <v>0</v>
      </c>
    </row>
    <row r="633" spans="6:11" x14ac:dyDescent="0.2">
      <c r="F633" s="14">
        <f>IF(G633=0,IF(G632=0,F632,F632+1),IF(G632=0,MAX(F$1:F632),MAX(F$1:F632)+1))</f>
        <v>17</v>
      </c>
      <c r="G633" s="14">
        <f>IF(('S-Table'!$B633-$C$2)*('S-Table'!$B633-$D$2)=0,IF(('S-Table'!$C633-$C$3)*('S-Table'!$C633-$D$3)=0,'S-Table'!A633,0),0)</f>
        <v>0</v>
      </c>
      <c r="H633" s="14">
        <f>IF(('S-Table'!$B633-$C$2)*('S-Table'!$B633-$D$2)=0,IF(('S-Table'!$C633-$C$3)*('S-Table'!$C633-$D$3)=0,'S-Table'!B633,0),0)</f>
        <v>0</v>
      </c>
      <c r="I633" s="14">
        <f>IF(('S-Table'!$B633-$C$2)*('S-Table'!$B633-$D$2)=0,IF(('S-Table'!$C633-$C$3)*('S-Table'!$C633-$D$3)=0,'S-Table'!C633,0),0)</f>
        <v>0</v>
      </c>
      <c r="J633" s="14">
        <f>IF(('S-Table'!$B633-$C$2)*('S-Table'!$B633-$D$2)=0,IF(('S-Table'!$C633-$C$3)*('S-Table'!$C633-$D$3)=0,'S-Table'!D633,0),0)</f>
        <v>0</v>
      </c>
      <c r="K633" s="14">
        <f>IF(('S-Table'!$B633-$C$2)*('S-Table'!$B633-$D$2)=0,IF(('S-Table'!$C633-$C$3)*('S-Table'!$C633-$D$3)=0,'S-Table'!E633,0),0)</f>
        <v>0</v>
      </c>
    </row>
    <row r="634" spans="6:11" x14ac:dyDescent="0.2">
      <c r="F634" s="14">
        <f>IF(G634=0,IF(G633=0,F633,F633+1),IF(G633=0,MAX(F$1:F633),MAX(F$1:F633)+1))</f>
        <v>17</v>
      </c>
      <c r="G634" s="14">
        <f>IF(('S-Table'!$B634-$C$2)*('S-Table'!$B634-$D$2)=0,IF(('S-Table'!$C634-$C$3)*('S-Table'!$C634-$D$3)=0,'S-Table'!A634,0),0)</f>
        <v>0</v>
      </c>
      <c r="H634" s="14">
        <f>IF(('S-Table'!$B634-$C$2)*('S-Table'!$B634-$D$2)=0,IF(('S-Table'!$C634-$C$3)*('S-Table'!$C634-$D$3)=0,'S-Table'!B634,0),0)</f>
        <v>0</v>
      </c>
      <c r="I634" s="14">
        <f>IF(('S-Table'!$B634-$C$2)*('S-Table'!$B634-$D$2)=0,IF(('S-Table'!$C634-$C$3)*('S-Table'!$C634-$D$3)=0,'S-Table'!C634,0),0)</f>
        <v>0</v>
      </c>
      <c r="J634" s="14">
        <f>IF(('S-Table'!$B634-$C$2)*('S-Table'!$B634-$D$2)=0,IF(('S-Table'!$C634-$C$3)*('S-Table'!$C634-$D$3)=0,'S-Table'!D634,0),0)</f>
        <v>0</v>
      </c>
      <c r="K634" s="14">
        <f>IF(('S-Table'!$B634-$C$2)*('S-Table'!$B634-$D$2)=0,IF(('S-Table'!$C634-$C$3)*('S-Table'!$C634-$D$3)=0,'S-Table'!E634,0),0)</f>
        <v>0</v>
      </c>
    </row>
    <row r="635" spans="6:11" x14ac:dyDescent="0.2">
      <c r="F635" s="14">
        <f>IF(G635=0,IF(G634=0,F634,F634+1),IF(G634=0,MAX(F$1:F634),MAX(F$1:F634)+1))</f>
        <v>17</v>
      </c>
      <c r="G635" s="14">
        <f>IF(('S-Table'!$B635-$C$2)*('S-Table'!$B635-$D$2)=0,IF(('S-Table'!$C635-$C$3)*('S-Table'!$C635-$D$3)=0,'S-Table'!A635,0),0)</f>
        <v>0</v>
      </c>
      <c r="H635" s="14">
        <f>IF(('S-Table'!$B635-$C$2)*('S-Table'!$B635-$D$2)=0,IF(('S-Table'!$C635-$C$3)*('S-Table'!$C635-$D$3)=0,'S-Table'!B635,0),0)</f>
        <v>0</v>
      </c>
      <c r="I635" s="14">
        <f>IF(('S-Table'!$B635-$C$2)*('S-Table'!$B635-$D$2)=0,IF(('S-Table'!$C635-$C$3)*('S-Table'!$C635-$D$3)=0,'S-Table'!C635,0),0)</f>
        <v>0</v>
      </c>
      <c r="J635" s="14">
        <f>IF(('S-Table'!$B635-$C$2)*('S-Table'!$B635-$D$2)=0,IF(('S-Table'!$C635-$C$3)*('S-Table'!$C635-$D$3)=0,'S-Table'!D635,0),0)</f>
        <v>0</v>
      </c>
      <c r="K635" s="14">
        <f>IF(('S-Table'!$B635-$C$2)*('S-Table'!$B635-$D$2)=0,IF(('S-Table'!$C635-$C$3)*('S-Table'!$C635-$D$3)=0,'S-Table'!E635,0),0)</f>
        <v>0</v>
      </c>
    </row>
    <row r="636" spans="6:11" x14ac:dyDescent="0.2">
      <c r="F636" s="14">
        <f>IF(G636=0,IF(G635=0,F635,F635+1),IF(G635=0,MAX(F$1:F635),MAX(F$1:F635)+1))</f>
        <v>17</v>
      </c>
      <c r="G636" s="14">
        <f>IF(('S-Table'!$B636-$C$2)*('S-Table'!$B636-$D$2)=0,IF(('S-Table'!$C636-$C$3)*('S-Table'!$C636-$D$3)=0,'S-Table'!A636,0),0)</f>
        <v>0</v>
      </c>
      <c r="H636" s="14">
        <f>IF(('S-Table'!$B636-$C$2)*('S-Table'!$B636-$D$2)=0,IF(('S-Table'!$C636-$C$3)*('S-Table'!$C636-$D$3)=0,'S-Table'!B636,0),0)</f>
        <v>0</v>
      </c>
      <c r="I636" s="14">
        <f>IF(('S-Table'!$B636-$C$2)*('S-Table'!$B636-$D$2)=0,IF(('S-Table'!$C636-$C$3)*('S-Table'!$C636-$D$3)=0,'S-Table'!C636,0),0)</f>
        <v>0</v>
      </c>
      <c r="J636" s="14">
        <f>IF(('S-Table'!$B636-$C$2)*('S-Table'!$B636-$D$2)=0,IF(('S-Table'!$C636-$C$3)*('S-Table'!$C636-$D$3)=0,'S-Table'!D636,0),0)</f>
        <v>0</v>
      </c>
      <c r="K636" s="14">
        <f>IF(('S-Table'!$B636-$C$2)*('S-Table'!$B636-$D$2)=0,IF(('S-Table'!$C636-$C$3)*('S-Table'!$C636-$D$3)=0,'S-Table'!E636,0),0)</f>
        <v>0</v>
      </c>
    </row>
    <row r="637" spans="6:11" x14ac:dyDescent="0.2">
      <c r="F637" s="14">
        <f>IF(G637=0,IF(G636=0,F636,F636+1),IF(G636=0,MAX(F$1:F636),MAX(F$1:F636)+1))</f>
        <v>17</v>
      </c>
      <c r="G637" s="14">
        <f>IF(('S-Table'!$B637-$C$2)*('S-Table'!$B637-$D$2)=0,IF(('S-Table'!$C637-$C$3)*('S-Table'!$C637-$D$3)=0,'S-Table'!A637,0),0)</f>
        <v>0</v>
      </c>
      <c r="H637" s="14">
        <f>IF(('S-Table'!$B637-$C$2)*('S-Table'!$B637-$D$2)=0,IF(('S-Table'!$C637-$C$3)*('S-Table'!$C637-$D$3)=0,'S-Table'!B637,0),0)</f>
        <v>0</v>
      </c>
      <c r="I637" s="14">
        <f>IF(('S-Table'!$B637-$C$2)*('S-Table'!$B637-$D$2)=0,IF(('S-Table'!$C637-$C$3)*('S-Table'!$C637-$D$3)=0,'S-Table'!C637,0),0)</f>
        <v>0</v>
      </c>
      <c r="J637" s="14">
        <f>IF(('S-Table'!$B637-$C$2)*('S-Table'!$B637-$D$2)=0,IF(('S-Table'!$C637-$C$3)*('S-Table'!$C637-$D$3)=0,'S-Table'!D637,0),0)</f>
        <v>0</v>
      </c>
      <c r="K637" s="14">
        <f>IF(('S-Table'!$B637-$C$2)*('S-Table'!$B637-$D$2)=0,IF(('S-Table'!$C637-$C$3)*('S-Table'!$C637-$D$3)=0,'S-Table'!E637,0),0)</f>
        <v>0</v>
      </c>
    </row>
    <row r="638" spans="6:11" x14ac:dyDescent="0.2">
      <c r="F638" s="14">
        <f>IF(G638=0,IF(G637=0,F637,F637+1),IF(G637=0,MAX(F$1:F637),MAX(F$1:F637)+1))</f>
        <v>17</v>
      </c>
      <c r="G638" s="14">
        <f>IF(('S-Table'!$B638-$C$2)*('S-Table'!$B638-$D$2)=0,IF(('S-Table'!$C638-$C$3)*('S-Table'!$C638-$D$3)=0,'S-Table'!A638,0),0)</f>
        <v>0</v>
      </c>
      <c r="H638" s="14">
        <f>IF(('S-Table'!$B638-$C$2)*('S-Table'!$B638-$D$2)=0,IF(('S-Table'!$C638-$C$3)*('S-Table'!$C638-$D$3)=0,'S-Table'!B638,0),0)</f>
        <v>0</v>
      </c>
      <c r="I638" s="14">
        <f>IF(('S-Table'!$B638-$C$2)*('S-Table'!$B638-$D$2)=0,IF(('S-Table'!$C638-$C$3)*('S-Table'!$C638-$D$3)=0,'S-Table'!C638,0),0)</f>
        <v>0</v>
      </c>
      <c r="J638" s="14">
        <f>IF(('S-Table'!$B638-$C$2)*('S-Table'!$B638-$D$2)=0,IF(('S-Table'!$C638-$C$3)*('S-Table'!$C638-$D$3)=0,'S-Table'!D638,0),0)</f>
        <v>0</v>
      </c>
      <c r="K638" s="14">
        <f>IF(('S-Table'!$B638-$C$2)*('S-Table'!$B638-$D$2)=0,IF(('S-Table'!$C638-$C$3)*('S-Table'!$C638-$D$3)=0,'S-Table'!E638,0),0)</f>
        <v>0</v>
      </c>
    </row>
    <row r="639" spans="6:11" x14ac:dyDescent="0.2">
      <c r="F639" s="14">
        <f>IF(G639=0,IF(G638=0,F638,F638+1),IF(G638=0,MAX(F$1:F638),MAX(F$1:F638)+1))</f>
        <v>17</v>
      </c>
      <c r="G639" s="14">
        <f>IF(('S-Table'!$B639-$C$2)*('S-Table'!$B639-$D$2)=0,IF(('S-Table'!$C639-$C$3)*('S-Table'!$C639-$D$3)=0,'S-Table'!A639,0),0)</f>
        <v>0</v>
      </c>
      <c r="H639" s="14">
        <f>IF(('S-Table'!$B639-$C$2)*('S-Table'!$B639-$D$2)=0,IF(('S-Table'!$C639-$C$3)*('S-Table'!$C639-$D$3)=0,'S-Table'!B639,0),0)</f>
        <v>0</v>
      </c>
      <c r="I639" s="14">
        <f>IF(('S-Table'!$B639-$C$2)*('S-Table'!$B639-$D$2)=0,IF(('S-Table'!$C639-$C$3)*('S-Table'!$C639-$D$3)=0,'S-Table'!C639,0),0)</f>
        <v>0</v>
      </c>
      <c r="J639" s="14">
        <f>IF(('S-Table'!$B639-$C$2)*('S-Table'!$B639-$D$2)=0,IF(('S-Table'!$C639-$C$3)*('S-Table'!$C639-$D$3)=0,'S-Table'!D639,0),0)</f>
        <v>0</v>
      </c>
      <c r="K639" s="14">
        <f>IF(('S-Table'!$B639-$C$2)*('S-Table'!$B639-$D$2)=0,IF(('S-Table'!$C639-$C$3)*('S-Table'!$C639-$D$3)=0,'S-Table'!E639,0),0)</f>
        <v>0</v>
      </c>
    </row>
    <row r="640" spans="6:11" x14ac:dyDescent="0.2">
      <c r="F640" s="14">
        <f>IF(G640=0,IF(G639=0,F639,F639+1),IF(G639=0,MAX(F$1:F639),MAX(F$1:F639)+1))</f>
        <v>17</v>
      </c>
      <c r="G640" s="14">
        <f>IF(('S-Table'!$B640-$C$2)*('S-Table'!$B640-$D$2)=0,IF(('S-Table'!$C640-$C$3)*('S-Table'!$C640-$D$3)=0,'S-Table'!A640,0),0)</f>
        <v>0</v>
      </c>
      <c r="H640" s="14">
        <f>IF(('S-Table'!$B640-$C$2)*('S-Table'!$B640-$D$2)=0,IF(('S-Table'!$C640-$C$3)*('S-Table'!$C640-$D$3)=0,'S-Table'!B640,0),0)</f>
        <v>0</v>
      </c>
      <c r="I640" s="14">
        <f>IF(('S-Table'!$B640-$C$2)*('S-Table'!$B640-$D$2)=0,IF(('S-Table'!$C640-$C$3)*('S-Table'!$C640-$D$3)=0,'S-Table'!C640,0),0)</f>
        <v>0</v>
      </c>
      <c r="J640" s="14">
        <f>IF(('S-Table'!$B640-$C$2)*('S-Table'!$B640-$D$2)=0,IF(('S-Table'!$C640-$C$3)*('S-Table'!$C640-$D$3)=0,'S-Table'!D640,0),0)</f>
        <v>0</v>
      </c>
      <c r="K640" s="14">
        <f>IF(('S-Table'!$B640-$C$2)*('S-Table'!$B640-$D$2)=0,IF(('S-Table'!$C640-$C$3)*('S-Table'!$C640-$D$3)=0,'S-Table'!E640,0),0)</f>
        <v>0</v>
      </c>
    </row>
    <row r="641" spans="6:11" x14ac:dyDescent="0.2">
      <c r="F641" s="14">
        <f>IF(G641=0,IF(G640=0,F640,F640+1),IF(G640=0,MAX(F$1:F640),MAX(F$1:F640)+1))</f>
        <v>17</v>
      </c>
      <c r="G641" s="14">
        <f>IF(('S-Table'!$B641-$C$2)*('S-Table'!$B641-$D$2)=0,IF(('S-Table'!$C641-$C$3)*('S-Table'!$C641-$D$3)=0,'S-Table'!A641,0),0)</f>
        <v>0</v>
      </c>
      <c r="H641" s="14">
        <f>IF(('S-Table'!$B641-$C$2)*('S-Table'!$B641-$D$2)=0,IF(('S-Table'!$C641-$C$3)*('S-Table'!$C641-$D$3)=0,'S-Table'!B641,0),0)</f>
        <v>0</v>
      </c>
      <c r="I641" s="14">
        <f>IF(('S-Table'!$B641-$C$2)*('S-Table'!$B641-$D$2)=0,IF(('S-Table'!$C641-$C$3)*('S-Table'!$C641-$D$3)=0,'S-Table'!C641,0),0)</f>
        <v>0</v>
      </c>
      <c r="J641" s="14">
        <f>IF(('S-Table'!$B641-$C$2)*('S-Table'!$B641-$D$2)=0,IF(('S-Table'!$C641-$C$3)*('S-Table'!$C641-$D$3)=0,'S-Table'!D641,0),0)</f>
        <v>0</v>
      </c>
      <c r="K641" s="14">
        <f>IF(('S-Table'!$B641-$C$2)*('S-Table'!$B641-$D$2)=0,IF(('S-Table'!$C641-$C$3)*('S-Table'!$C641-$D$3)=0,'S-Table'!E641,0),0)</f>
        <v>0</v>
      </c>
    </row>
    <row r="642" spans="6:11" x14ac:dyDescent="0.2">
      <c r="F642" s="14">
        <f>IF(G642=0,IF(G641=0,F641,F641+1),IF(G641=0,MAX(F$1:F641),MAX(F$1:F641)+1))</f>
        <v>17</v>
      </c>
      <c r="G642" s="14">
        <f>IF(('S-Table'!$B642-$C$2)*('S-Table'!$B642-$D$2)=0,IF(('S-Table'!$C642-$C$3)*('S-Table'!$C642-$D$3)=0,'S-Table'!A642,0),0)</f>
        <v>0</v>
      </c>
      <c r="H642" s="14">
        <f>IF(('S-Table'!$B642-$C$2)*('S-Table'!$B642-$D$2)=0,IF(('S-Table'!$C642-$C$3)*('S-Table'!$C642-$D$3)=0,'S-Table'!B642,0),0)</f>
        <v>0</v>
      </c>
      <c r="I642" s="14">
        <f>IF(('S-Table'!$B642-$C$2)*('S-Table'!$B642-$D$2)=0,IF(('S-Table'!$C642-$C$3)*('S-Table'!$C642-$D$3)=0,'S-Table'!C642,0),0)</f>
        <v>0</v>
      </c>
      <c r="J642" s="14">
        <f>IF(('S-Table'!$B642-$C$2)*('S-Table'!$B642-$D$2)=0,IF(('S-Table'!$C642-$C$3)*('S-Table'!$C642-$D$3)=0,'S-Table'!D642,0),0)</f>
        <v>0</v>
      </c>
      <c r="K642" s="14">
        <f>IF(('S-Table'!$B642-$C$2)*('S-Table'!$B642-$D$2)=0,IF(('S-Table'!$C642-$C$3)*('S-Table'!$C642-$D$3)=0,'S-Table'!E642,0),0)</f>
        <v>0</v>
      </c>
    </row>
    <row r="643" spans="6:11" x14ac:dyDescent="0.2">
      <c r="F643" s="14">
        <f>IF(G643=0,IF(G642=0,F642,F642+1),IF(G642=0,MAX(F$1:F642),MAX(F$1:F642)+1))</f>
        <v>17</v>
      </c>
      <c r="G643" s="14">
        <f>IF(('S-Table'!$B643-$C$2)*('S-Table'!$B643-$D$2)=0,IF(('S-Table'!$C643-$C$3)*('S-Table'!$C643-$D$3)=0,'S-Table'!A643,0),0)</f>
        <v>0</v>
      </c>
      <c r="H643" s="14">
        <f>IF(('S-Table'!$B643-$C$2)*('S-Table'!$B643-$D$2)=0,IF(('S-Table'!$C643-$C$3)*('S-Table'!$C643-$D$3)=0,'S-Table'!B643,0),0)</f>
        <v>0</v>
      </c>
      <c r="I643" s="14">
        <f>IF(('S-Table'!$B643-$C$2)*('S-Table'!$B643-$D$2)=0,IF(('S-Table'!$C643-$C$3)*('S-Table'!$C643-$D$3)=0,'S-Table'!C643,0),0)</f>
        <v>0</v>
      </c>
      <c r="J643" s="14">
        <f>IF(('S-Table'!$B643-$C$2)*('S-Table'!$B643-$D$2)=0,IF(('S-Table'!$C643-$C$3)*('S-Table'!$C643-$D$3)=0,'S-Table'!D643,0),0)</f>
        <v>0</v>
      </c>
      <c r="K643" s="14">
        <f>IF(('S-Table'!$B643-$C$2)*('S-Table'!$B643-$D$2)=0,IF(('S-Table'!$C643-$C$3)*('S-Table'!$C643-$D$3)=0,'S-Table'!E643,0),0)</f>
        <v>0</v>
      </c>
    </row>
    <row r="644" spans="6:11" x14ac:dyDescent="0.2">
      <c r="F644" s="14">
        <f>IF(G644=0,IF(G643=0,F643,F643+1),IF(G643=0,MAX(F$1:F643),MAX(F$1:F643)+1))</f>
        <v>17</v>
      </c>
      <c r="G644" s="14">
        <f>IF(('S-Table'!$B644-$C$2)*('S-Table'!$B644-$D$2)=0,IF(('S-Table'!$C644-$C$3)*('S-Table'!$C644-$D$3)=0,'S-Table'!A644,0),0)</f>
        <v>0</v>
      </c>
      <c r="H644" s="14">
        <f>IF(('S-Table'!$B644-$C$2)*('S-Table'!$B644-$D$2)=0,IF(('S-Table'!$C644-$C$3)*('S-Table'!$C644-$D$3)=0,'S-Table'!B644,0),0)</f>
        <v>0</v>
      </c>
      <c r="I644" s="14">
        <f>IF(('S-Table'!$B644-$C$2)*('S-Table'!$B644-$D$2)=0,IF(('S-Table'!$C644-$C$3)*('S-Table'!$C644-$D$3)=0,'S-Table'!C644,0),0)</f>
        <v>0</v>
      </c>
      <c r="J644" s="14">
        <f>IF(('S-Table'!$B644-$C$2)*('S-Table'!$B644-$D$2)=0,IF(('S-Table'!$C644-$C$3)*('S-Table'!$C644-$D$3)=0,'S-Table'!D644,0),0)</f>
        <v>0</v>
      </c>
      <c r="K644" s="14">
        <f>IF(('S-Table'!$B644-$C$2)*('S-Table'!$B644-$D$2)=0,IF(('S-Table'!$C644-$C$3)*('S-Table'!$C644-$D$3)=0,'S-Table'!E644,0),0)</f>
        <v>0</v>
      </c>
    </row>
    <row r="645" spans="6:11" x14ac:dyDescent="0.2">
      <c r="F645" s="14">
        <f>IF(G645=0,IF(G644=0,F644,F644+1),IF(G644=0,MAX(F$1:F644),MAX(F$1:F644)+1))</f>
        <v>17</v>
      </c>
      <c r="G645" s="14">
        <f>IF(('S-Table'!$B645-$C$2)*('S-Table'!$B645-$D$2)=0,IF(('S-Table'!$C645-$C$3)*('S-Table'!$C645-$D$3)=0,'S-Table'!A645,0),0)</f>
        <v>0</v>
      </c>
      <c r="H645" s="14">
        <f>IF(('S-Table'!$B645-$C$2)*('S-Table'!$B645-$D$2)=0,IF(('S-Table'!$C645-$C$3)*('S-Table'!$C645-$D$3)=0,'S-Table'!B645,0),0)</f>
        <v>0</v>
      </c>
      <c r="I645" s="14">
        <f>IF(('S-Table'!$B645-$C$2)*('S-Table'!$B645-$D$2)=0,IF(('S-Table'!$C645-$C$3)*('S-Table'!$C645-$D$3)=0,'S-Table'!C645,0),0)</f>
        <v>0</v>
      </c>
      <c r="J645" s="14">
        <f>IF(('S-Table'!$B645-$C$2)*('S-Table'!$B645-$D$2)=0,IF(('S-Table'!$C645-$C$3)*('S-Table'!$C645-$D$3)=0,'S-Table'!D645,0),0)</f>
        <v>0</v>
      </c>
      <c r="K645" s="14">
        <f>IF(('S-Table'!$B645-$C$2)*('S-Table'!$B645-$D$2)=0,IF(('S-Table'!$C645-$C$3)*('S-Table'!$C645-$D$3)=0,'S-Table'!E645,0),0)</f>
        <v>0</v>
      </c>
    </row>
    <row r="646" spans="6:11" x14ac:dyDescent="0.2">
      <c r="F646" s="14">
        <f>IF(G646=0,IF(G645=0,F645,F645+1),IF(G645=0,MAX(F$1:F645),MAX(F$1:F645)+1))</f>
        <v>17</v>
      </c>
      <c r="G646" s="14">
        <f>IF(('S-Table'!$B646-$C$2)*('S-Table'!$B646-$D$2)=0,IF(('S-Table'!$C646-$C$3)*('S-Table'!$C646-$D$3)=0,'S-Table'!A646,0),0)</f>
        <v>0</v>
      </c>
      <c r="H646" s="14">
        <f>IF(('S-Table'!$B646-$C$2)*('S-Table'!$B646-$D$2)=0,IF(('S-Table'!$C646-$C$3)*('S-Table'!$C646-$D$3)=0,'S-Table'!B646,0),0)</f>
        <v>0</v>
      </c>
      <c r="I646" s="14">
        <f>IF(('S-Table'!$B646-$C$2)*('S-Table'!$B646-$D$2)=0,IF(('S-Table'!$C646-$C$3)*('S-Table'!$C646-$D$3)=0,'S-Table'!C646,0),0)</f>
        <v>0</v>
      </c>
      <c r="J646" s="14">
        <f>IF(('S-Table'!$B646-$C$2)*('S-Table'!$B646-$D$2)=0,IF(('S-Table'!$C646-$C$3)*('S-Table'!$C646-$D$3)=0,'S-Table'!D646,0),0)</f>
        <v>0</v>
      </c>
      <c r="K646" s="14">
        <f>IF(('S-Table'!$B646-$C$2)*('S-Table'!$B646-$D$2)=0,IF(('S-Table'!$C646-$C$3)*('S-Table'!$C646-$D$3)=0,'S-Table'!E646,0),0)</f>
        <v>0</v>
      </c>
    </row>
    <row r="647" spans="6:11" x14ac:dyDescent="0.2">
      <c r="F647" s="14">
        <f>IF(G647=0,IF(G646=0,F646,F646+1),IF(G646=0,MAX(F$1:F646),MAX(F$1:F646)+1))</f>
        <v>17</v>
      </c>
      <c r="G647" s="14">
        <f>IF(('S-Table'!$B647-$C$2)*('S-Table'!$B647-$D$2)=0,IF(('S-Table'!$C647-$C$3)*('S-Table'!$C647-$D$3)=0,'S-Table'!A647,0),0)</f>
        <v>0</v>
      </c>
      <c r="H647" s="14">
        <f>IF(('S-Table'!$B647-$C$2)*('S-Table'!$B647-$D$2)=0,IF(('S-Table'!$C647-$C$3)*('S-Table'!$C647-$D$3)=0,'S-Table'!B647,0),0)</f>
        <v>0</v>
      </c>
      <c r="I647" s="14">
        <f>IF(('S-Table'!$B647-$C$2)*('S-Table'!$B647-$D$2)=0,IF(('S-Table'!$C647-$C$3)*('S-Table'!$C647-$D$3)=0,'S-Table'!C647,0),0)</f>
        <v>0</v>
      </c>
      <c r="J647" s="14">
        <f>IF(('S-Table'!$B647-$C$2)*('S-Table'!$B647-$D$2)=0,IF(('S-Table'!$C647-$C$3)*('S-Table'!$C647-$D$3)=0,'S-Table'!D647,0),0)</f>
        <v>0</v>
      </c>
      <c r="K647" s="14">
        <f>IF(('S-Table'!$B647-$C$2)*('S-Table'!$B647-$D$2)=0,IF(('S-Table'!$C647-$C$3)*('S-Table'!$C647-$D$3)=0,'S-Table'!E647,0),0)</f>
        <v>0</v>
      </c>
    </row>
    <row r="648" spans="6:11" x14ac:dyDescent="0.2">
      <c r="F648" s="14">
        <f>IF(G648=0,IF(G647=0,F647,F647+1),IF(G647=0,MAX(F$1:F647),MAX(F$1:F647)+1))</f>
        <v>17</v>
      </c>
      <c r="G648" s="14">
        <f>IF(('S-Table'!$B648-$C$2)*('S-Table'!$B648-$D$2)=0,IF(('S-Table'!$C648-$C$3)*('S-Table'!$C648-$D$3)=0,'S-Table'!A648,0),0)</f>
        <v>0</v>
      </c>
      <c r="H648" s="14">
        <f>IF(('S-Table'!$B648-$C$2)*('S-Table'!$B648-$D$2)=0,IF(('S-Table'!$C648-$C$3)*('S-Table'!$C648-$D$3)=0,'S-Table'!B648,0),0)</f>
        <v>0</v>
      </c>
      <c r="I648" s="14">
        <f>IF(('S-Table'!$B648-$C$2)*('S-Table'!$B648-$D$2)=0,IF(('S-Table'!$C648-$C$3)*('S-Table'!$C648-$D$3)=0,'S-Table'!C648,0),0)</f>
        <v>0</v>
      </c>
      <c r="J648" s="14">
        <f>IF(('S-Table'!$B648-$C$2)*('S-Table'!$B648-$D$2)=0,IF(('S-Table'!$C648-$C$3)*('S-Table'!$C648-$D$3)=0,'S-Table'!D648,0),0)</f>
        <v>0</v>
      </c>
      <c r="K648" s="14">
        <f>IF(('S-Table'!$B648-$C$2)*('S-Table'!$B648-$D$2)=0,IF(('S-Table'!$C648-$C$3)*('S-Table'!$C648-$D$3)=0,'S-Table'!E648,0),0)</f>
        <v>0</v>
      </c>
    </row>
    <row r="649" spans="6:11" x14ac:dyDescent="0.2">
      <c r="F649" s="14">
        <f>IF(G649=0,IF(G648=0,F648,F648+1),IF(G648=0,MAX(F$1:F648),MAX(F$1:F648)+1))</f>
        <v>17</v>
      </c>
      <c r="G649" s="14">
        <f>IF(('S-Table'!$B649-$C$2)*('S-Table'!$B649-$D$2)=0,IF(('S-Table'!$C649-$C$3)*('S-Table'!$C649-$D$3)=0,'S-Table'!A649,0),0)</f>
        <v>0</v>
      </c>
      <c r="H649" s="14">
        <f>IF(('S-Table'!$B649-$C$2)*('S-Table'!$B649-$D$2)=0,IF(('S-Table'!$C649-$C$3)*('S-Table'!$C649-$D$3)=0,'S-Table'!B649,0),0)</f>
        <v>0</v>
      </c>
      <c r="I649" s="14">
        <f>IF(('S-Table'!$B649-$C$2)*('S-Table'!$B649-$D$2)=0,IF(('S-Table'!$C649-$C$3)*('S-Table'!$C649-$D$3)=0,'S-Table'!C649,0),0)</f>
        <v>0</v>
      </c>
      <c r="J649" s="14">
        <f>IF(('S-Table'!$B649-$C$2)*('S-Table'!$B649-$D$2)=0,IF(('S-Table'!$C649-$C$3)*('S-Table'!$C649-$D$3)=0,'S-Table'!D649,0),0)</f>
        <v>0</v>
      </c>
      <c r="K649" s="14">
        <f>IF(('S-Table'!$B649-$C$2)*('S-Table'!$B649-$D$2)=0,IF(('S-Table'!$C649-$C$3)*('S-Table'!$C649-$D$3)=0,'S-Table'!E649,0),0)</f>
        <v>0</v>
      </c>
    </row>
    <row r="650" spans="6:11" x14ac:dyDescent="0.2">
      <c r="F650" s="14">
        <f>IF(G650=0,IF(G649=0,F649,F649+1),IF(G649=0,MAX(F$1:F649),MAX(F$1:F649)+1))</f>
        <v>17</v>
      </c>
      <c r="G650" s="14">
        <f>IF(('S-Table'!$B650-$C$2)*('S-Table'!$B650-$D$2)=0,IF(('S-Table'!$C650-$C$3)*('S-Table'!$C650-$D$3)=0,'S-Table'!A650,0),0)</f>
        <v>0</v>
      </c>
      <c r="H650" s="14">
        <f>IF(('S-Table'!$B650-$C$2)*('S-Table'!$B650-$D$2)=0,IF(('S-Table'!$C650-$C$3)*('S-Table'!$C650-$D$3)=0,'S-Table'!B650,0),0)</f>
        <v>0</v>
      </c>
      <c r="I650" s="14">
        <f>IF(('S-Table'!$B650-$C$2)*('S-Table'!$B650-$D$2)=0,IF(('S-Table'!$C650-$C$3)*('S-Table'!$C650-$D$3)=0,'S-Table'!C650,0),0)</f>
        <v>0</v>
      </c>
      <c r="J650" s="14">
        <f>IF(('S-Table'!$B650-$C$2)*('S-Table'!$B650-$D$2)=0,IF(('S-Table'!$C650-$C$3)*('S-Table'!$C650-$D$3)=0,'S-Table'!D650,0),0)</f>
        <v>0</v>
      </c>
      <c r="K650" s="14">
        <f>IF(('S-Table'!$B650-$C$2)*('S-Table'!$B650-$D$2)=0,IF(('S-Table'!$C650-$C$3)*('S-Table'!$C650-$D$3)=0,'S-Table'!E650,0),0)</f>
        <v>0</v>
      </c>
    </row>
    <row r="651" spans="6:11" x14ac:dyDescent="0.2">
      <c r="F651" s="14">
        <f>IF(G651=0,IF(G650=0,F650,F650+1),IF(G650=0,MAX(F$1:F650),MAX(F$1:F650)+1))</f>
        <v>17</v>
      </c>
      <c r="G651" s="14">
        <f>IF(('S-Table'!$B651-$C$2)*('S-Table'!$B651-$D$2)=0,IF(('S-Table'!$C651-$C$3)*('S-Table'!$C651-$D$3)=0,'S-Table'!A651,0),0)</f>
        <v>0</v>
      </c>
      <c r="H651" s="14">
        <f>IF(('S-Table'!$B651-$C$2)*('S-Table'!$B651-$D$2)=0,IF(('S-Table'!$C651-$C$3)*('S-Table'!$C651-$D$3)=0,'S-Table'!B651,0),0)</f>
        <v>0</v>
      </c>
      <c r="I651" s="14">
        <f>IF(('S-Table'!$B651-$C$2)*('S-Table'!$B651-$D$2)=0,IF(('S-Table'!$C651-$C$3)*('S-Table'!$C651-$D$3)=0,'S-Table'!C651,0),0)</f>
        <v>0</v>
      </c>
      <c r="J651" s="14">
        <f>IF(('S-Table'!$B651-$C$2)*('S-Table'!$B651-$D$2)=0,IF(('S-Table'!$C651-$C$3)*('S-Table'!$C651-$D$3)=0,'S-Table'!D651,0),0)</f>
        <v>0</v>
      </c>
      <c r="K651" s="14">
        <f>IF(('S-Table'!$B651-$C$2)*('S-Table'!$B651-$D$2)=0,IF(('S-Table'!$C651-$C$3)*('S-Table'!$C651-$D$3)=0,'S-Table'!E651,0),0)</f>
        <v>0</v>
      </c>
    </row>
    <row r="652" spans="6:11" x14ac:dyDescent="0.2">
      <c r="F652" s="14">
        <f>IF(G652=0,IF(G651=0,F651,F651+1),IF(G651=0,MAX(F$1:F651),MAX(F$1:F651)+1))</f>
        <v>17</v>
      </c>
      <c r="G652" s="14">
        <f>IF(('S-Table'!$B652-$C$2)*('S-Table'!$B652-$D$2)=0,IF(('S-Table'!$C652-$C$3)*('S-Table'!$C652-$D$3)=0,'S-Table'!A652,0),0)</f>
        <v>0</v>
      </c>
      <c r="H652" s="14">
        <f>IF(('S-Table'!$B652-$C$2)*('S-Table'!$B652-$D$2)=0,IF(('S-Table'!$C652-$C$3)*('S-Table'!$C652-$D$3)=0,'S-Table'!B652,0),0)</f>
        <v>0</v>
      </c>
      <c r="I652" s="14">
        <f>IF(('S-Table'!$B652-$C$2)*('S-Table'!$B652-$D$2)=0,IF(('S-Table'!$C652-$C$3)*('S-Table'!$C652-$D$3)=0,'S-Table'!C652,0),0)</f>
        <v>0</v>
      </c>
      <c r="J652" s="14">
        <f>IF(('S-Table'!$B652-$C$2)*('S-Table'!$B652-$D$2)=0,IF(('S-Table'!$C652-$C$3)*('S-Table'!$C652-$D$3)=0,'S-Table'!D652,0),0)</f>
        <v>0</v>
      </c>
      <c r="K652" s="14">
        <f>IF(('S-Table'!$B652-$C$2)*('S-Table'!$B652-$D$2)=0,IF(('S-Table'!$C652-$C$3)*('S-Table'!$C652-$D$3)=0,'S-Table'!E652,0),0)</f>
        <v>0</v>
      </c>
    </row>
    <row r="653" spans="6:11" x14ac:dyDescent="0.2">
      <c r="F653" s="14">
        <f>IF(G653=0,IF(G652=0,F652,F652+1),IF(G652=0,MAX(F$1:F652),MAX(F$1:F652)+1))</f>
        <v>17</v>
      </c>
      <c r="G653" s="14">
        <f>IF(('S-Table'!$B653-$C$2)*('S-Table'!$B653-$D$2)=0,IF(('S-Table'!$C653-$C$3)*('S-Table'!$C653-$D$3)=0,'S-Table'!A653,0),0)</f>
        <v>0</v>
      </c>
      <c r="H653" s="14">
        <f>IF(('S-Table'!$B653-$C$2)*('S-Table'!$B653-$D$2)=0,IF(('S-Table'!$C653-$C$3)*('S-Table'!$C653-$D$3)=0,'S-Table'!B653,0),0)</f>
        <v>0</v>
      </c>
      <c r="I653" s="14">
        <f>IF(('S-Table'!$B653-$C$2)*('S-Table'!$B653-$D$2)=0,IF(('S-Table'!$C653-$C$3)*('S-Table'!$C653-$D$3)=0,'S-Table'!C653,0),0)</f>
        <v>0</v>
      </c>
      <c r="J653" s="14">
        <f>IF(('S-Table'!$B653-$C$2)*('S-Table'!$B653-$D$2)=0,IF(('S-Table'!$C653-$C$3)*('S-Table'!$C653-$D$3)=0,'S-Table'!D653,0),0)</f>
        <v>0</v>
      </c>
      <c r="K653" s="14">
        <f>IF(('S-Table'!$B653-$C$2)*('S-Table'!$B653-$D$2)=0,IF(('S-Table'!$C653-$C$3)*('S-Table'!$C653-$D$3)=0,'S-Table'!E653,0),0)</f>
        <v>0</v>
      </c>
    </row>
    <row r="654" spans="6:11" x14ac:dyDescent="0.2">
      <c r="F654" s="14">
        <f>IF(G654=0,IF(G653=0,F653,F653+1),IF(G653=0,MAX(F$1:F653),MAX(F$1:F653)+1))</f>
        <v>17</v>
      </c>
      <c r="G654" s="14">
        <f>IF(('S-Table'!$B654-$C$2)*('S-Table'!$B654-$D$2)=0,IF(('S-Table'!$C654-$C$3)*('S-Table'!$C654-$D$3)=0,'S-Table'!A654,0),0)</f>
        <v>0</v>
      </c>
      <c r="H654" s="14">
        <f>IF(('S-Table'!$B654-$C$2)*('S-Table'!$B654-$D$2)=0,IF(('S-Table'!$C654-$C$3)*('S-Table'!$C654-$D$3)=0,'S-Table'!B654,0),0)</f>
        <v>0</v>
      </c>
      <c r="I654" s="14">
        <f>IF(('S-Table'!$B654-$C$2)*('S-Table'!$B654-$D$2)=0,IF(('S-Table'!$C654-$C$3)*('S-Table'!$C654-$D$3)=0,'S-Table'!C654,0),0)</f>
        <v>0</v>
      </c>
      <c r="J654" s="14">
        <f>IF(('S-Table'!$B654-$C$2)*('S-Table'!$B654-$D$2)=0,IF(('S-Table'!$C654-$C$3)*('S-Table'!$C654-$D$3)=0,'S-Table'!D654,0),0)</f>
        <v>0</v>
      </c>
      <c r="K654" s="14">
        <f>IF(('S-Table'!$B654-$C$2)*('S-Table'!$B654-$D$2)=0,IF(('S-Table'!$C654-$C$3)*('S-Table'!$C654-$D$3)=0,'S-Table'!E654,0),0)</f>
        <v>0</v>
      </c>
    </row>
    <row r="655" spans="6:11" x14ac:dyDescent="0.2">
      <c r="F655" s="14">
        <f>IF(G655=0,IF(G654=0,F654,F654+1),IF(G654=0,MAX(F$1:F654),MAX(F$1:F654)+1))</f>
        <v>17</v>
      </c>
      <c r="G655" s="14">
        <f>IF(('S-Table'!$B655-$C$2)*('S-Table'!$B655-$D$2)=0,IF(('S-Table'!$C655-$C$3)*('S-Table'!$C655-$D$3)=0,'S-Table'!A655,0),0)</f>
        <v>0</v>
      </c>
      <c r="H655" s="14">
        <f>IF(('S-Table'!$B655-$C$2)*('S-Table'!$B655-$D$2)=0,IF(('S-Table'!$C655-$C$3)*('S-Table'!$C655-$D$3)=0,'S-Table'!B655,0),0)</f>
        <v>0</v>
      </c>
      <c r="I655" s="14">
        <f>IF(('S-Table'!$B655-$C$2)*('S-Table'!$B655-$D$2)=0,IF(('S-Table'!$C655-$C$3)*('S-Table'!$C655-$D$3)=0,'S-Table'!C655,0),0)</f>
        <v>0</v>
      </c>
      <c r="J655" s="14">
        <f>IF(('S-Table'!$B655-$C$2)*('S-Table'!$B655-$D$2)=0,IF(('S-Table'!$C655-$C$3)*('S-Table'!$C655-$D$3)=0,'S-Table'!D655,0),0)</f>
        <v>0</v>
      </c>
      <c r="K655" s="14">
        <f>IF(('S-Table'!$B655-$C$2)*('S-Table'!$B655-$D$2)=0,IF(('S-Table'!$C655-$C$3)*('S-Table'!$C655-$D$3)=0,'S-Table'!E655,0),0)</f>
        <v>0</v>
      </c>
    </row>
    <row r="656" spans="6:11" x14ac:dyDescent="0.2">
      <c r="F656" s="14">
        <f>IF(G656=0,IF(G655=0,F655,F655+1),IF(G655=0,MAX(F$1:F655),MAX(F$1:F655)+1))</f>
        <v>17</v>
      </c>
      <c r="G656" s="14">
        <f>IF(('S-Table'!$B656-$C$2)*('S-Table'!$B656-$D$2)=0,IF(('S-Table'!$C656-$C$3)*('S-Table'!$C656-$D$3)=0,'S-Table'!A656,0),0)</f>
        <v>0</v>
      </c>
      <c r="H656" s="14">
        <f>IF(('S-Table'!$B656-$C$2)*('S-Table'!$B656-$D$2)=0,IF(('S-Table'!$C656-$C$3)*('S-Table'!$C656-$D$3)=0,'S-Table'!B656,0),0)</f>
        <v>0</v>
      </c>
      <c r="I656" s="14">
        <f>IF(('S-Table'!$B656-$C$2)*('S-Table'!$B656-$D$2)=0,IF(('S-Table'!$C656-$C$3)*('S-Table'!$C656-$D$3)=0,'S-Table'!C656,0),0)</f>
        <v>0</v>
      </c>
      <c r="J656" s="14">
        <f>IF(('S-Table'!$B656-$C$2)*('S-Table'!$B656-$D$2)=0,IF(('S-Table'!$C656-$C$3)*('S-Table'!$C656-$D$3)=0,'S-Table'!D656,0),0)</f>
        <v>0</v>
      </c>
      <c r="K656" s="14">
        <f>IF(('S-Table'!$B656-$C$2)*('S-Table'!$B656-$D$2)=0,IF(('S-Table'!$C656-$C$3)*('S-Table'!$C656-$D$3)=0,'S-Table'!E656,0),0)</f>
        <v>0</v>
      </c>
    </row>
    <row r="657" spans="6:11" x14ac:dyDescent="0.2">
      <c r="F657" s="14">
        <f>IF(G657=0,IF(G656=0,F656,F656+1),IF(G656=0,MAX(F$1:F656),MAX(F$1:F656)+1))</f>
        <v>17</v>
      </c>
      <c r="G657" s="14">
        <f>IF(('S-Table'!$B657-$C$2)*('S-Table'!$B657-$D$2)=0,IF(('S-Table'!$C657-$C$3)*('S-Table'!$C657-$D$3)=0,'S-Table'!A657,0),0)</f>
        <v>0</v>
      </c>
      <c r="H657" s="14">
        <f>IF(('S-Table'!$B657-$C$2)*('S-Table'!$B657-$D$2)=0,IF(('S-Table'!$C657-$C$3)*('S-Table'!$C657-$D$3)=0,'S-Table'!B657,0),0)</f>
        <v>0</v>
      </c>
      <c r="I657" s="14">
        <f>IF(('S-Table'!$B657-$C$2)*('S-Table'!$B657-$D$2)=0,IF(('S-Table'!$C657-$C$3)*('S-Table'!$C657-$D$3)=0,'S-Table'!C657,0),0)</f>
        <v>0</v>
      </c>
      <c r="J657" s="14">
        <f>IF(('S-Table'!$B657-$C$2)*('S-Table'!$B657-$D$2)=0,IF(('S-Table'!$C657-$C$3)*('S-Table'!$C657-$D$3)=0,'S-Table'!D657,0),0)</f>
        <v>0</v>
      </c>
      <c r="K657" s="14">
        <f>IF(('S-Table'!$B657-$C$2)*('S-Table'!$B657-$D$2)=0,IF(('S-Table'!$C657-$C$3)*('S-Table'!$C657-$D$3)=0,'S-Table'!E657,0),0)</f>
        <v>0</v>
      </c>
    </row>
    <row r="658" spans="6:11" x14ac:dyDescent="0.2">
      <c r="F658" s="14">
        <f>IF(G658=0,IF(G657=0,F657,F657+1),IF(G657=0,MAX(F$1:F657),MAX(F$1:F657)+1))</f>
        <v>17</v>
      </c>
      <c r="G658" s="14">
        <f>IF(('S-Table'!$B658-$C$2)*('S-Table'!$B658-$D$2)=0,IF(('S-Table'!$C658-$C$3)*('S-Table'!$C658-$D$3)=0,'S-Table'!A658,0),0)</f>
        <v>0</v>
      </c>
      <c r="H658" s="14">
        <f>IF(('S-Table'!$B658-$C$2)*('S-Table'!$B658-$D$2)=0,IF(('S-Table'!$C658-$C$3)*('S-Table'!$C658-$D$3)=0,'S-Table'!B658,0),0)</f>
        <v>0</v>
      </c>
      <c r="I658" s="14">
        <f>IF(('S-Table'!$B658-$C$2)*('S-Table'!$B658-$D$2)=0,IF(('S-Table'!$C658-$C$3)*('S-Table'!$C658-$D$3)=0,'S-Table'!C658,0),0)</f>
        <v>0</v>
      </c>
      <c r="J658" s="14">
        <f>IF(('S-Table'!$B658-$C$2)*('S-Table'!$B658-$D$2)=0,IF(('S-Table'!$C658-$C$3)*('S-Table'!$C658-$D$3)=0,'S-Table'!D658,0),0)</f>
        <v>0</v>
      </c>
      <c r="K658" s="14">
        <f>IF(('S-Table'!$B658-$C$2)*('S-Table'!$B658-$D$2)=0,IF(('S-Table'!$C658-$C$3)*('S-Table'!$C658-$D$3)=0,'S-Table'!E658,0),0)</f>
        <v>0</v>
      </c>
    </row>
    <row r="659" spans="6:11" x14ac:dyDescent="0.2">
      <c r="F659" s="14">
        <f>IF(G659=0,IF(G658=0,F658,F658+1),IF(G658=0,MAX(F$1:F658),MAX(F$1:F658)+1))</f>
        <v>17</v>
      </c>
      <c r="G659" s="14">
        <f>IF(('S-Table'!$B659-$C$2)*('S-Table'!$B659-$D$2)=0,IF(('S-Table'!$C659-$C$3)*('S-Table'!$C659-$D$3)=0,'S-Table'!A659,0),0)</f>
        <v>0</v>
      </c>
      <c r="H659" s="14">
        <f>IF(('S-Table'!$B659-$C$2)*('S-Table'!$B659-$D$2)=0,IF(('S-Table'!$C659-$C$3)*('S-Table'!$C659-$D$3)=0,'S-Table'!B659,0),0)</f>
        <v>0</v>
      </c>
      <c r="I659" s="14">
        <f>IF(('S-Table'!$B659-$C$2)*('S-Table'!$B659-$D$2)=0,IF(('S-Table'!$C659-$C$3)*('S-Table'!$C659-$D$3)=0,'S-Table'!C659,0),0)</f>
        <v>0</v>
      </c>
      <c r="J659" s="14">
        <f>IF(('S-Table'!$B659-$C$2)*('S-Table'!$B659-$D$2)=0,IF(('S-Table'!$C659-$C$3)*('S-Table'!$C659-$D$3)=0,'S-Table'!D659,0),0)</f>
        <v>0</v>
      </c>
      <c r="K659" s="14">
        <f>IF(('S-Table'!$B659-$C$2)*('S-Table'!$B659-$D$2)=0,IF(('S-Table'!$C659-$C$3)*('S-Table'!$C659-$D$3)=0,'S-Table'!E659,0),0)</f>
        <v>0</v>
      </c>
    </row>
    <row r="660" spans="6:11" x14ac:dyDescent="0.2">
      <c r="F660" s="14">
        <f>IF(G660=0,IF(G659=0,F659,F659+1),IF(G659=0,MAX(F$1:F659),MAX(F$1:F659)+1))</f>
        <v>17</v>
      </c>
      <c r="G660" s="14">
        <f>IF(('S-Table'!$B660-$C$2)*('S-Table'!$B660-$D$2)=0,IF(('S-Table'!$C660-$C$3)*('S-Table'!$C660-$D$3)=0,'S-Table'!A660,0),0)</f>
        <v>0</v>
      </c>
      <c r="H660" s="14">
        <f>IF(('S-Table'!$B660-$C$2)*('S-Table'!$B660-$D$2)=0,IF(('S-Table'!$C660-$C$3)*('S-Table'!$C660-$D$3)=0,'S-Table'!B660,0),0)</f>
        <v>0</v>
      </c>
      <c r="I660" s="14">
        <f>IF(('S-Table'!$B660-$C$2)*('S-Table'!$B660-$D$2)=0,IF(('S-Table'!$C660-$C$3)*('S-Table'!$C660-$D$3)=0,'S-Table'!C660,0),0)</f>
        <v>0</v>
      </c>
      <c r="J660" s="14">
        <f>IF(('S-Table'!$B660-$C$2)*('S-Table'!$B660-$D$2)=0,IF(('S-Table'!$C660-$C$3)*('S-Table'!$C660-$D$3)=0,'S-Table'!D660,0),0)</f>
        <v>0</v>
      </c>
      <c r="K660" s="14">
        <f>IF(('S-Table'!$B660-$C$2)*('S-Table'!$B660-$D$2)=0,IF(('S-Table'!$C660-$C$3)*('S-Table'!$C660-$D$3)=0,'S-Table'!E660,0),0)</f>
        <v>0</v>
      </c>
    </row>
    <row r="661" spans="6:11" x14ac:dyDescent="0.2">
      <c r="F661" s="14">
        <f>IF(G661=0,IF(G660=0,F660,F660+1),IF(G660=0,MAX(F$1:F660),MAX(F$1:F660)+1))</f>
        <v>17</v>
      </c>
      <c r="G661" s="14">
        <f>IF(('S-Table'!$B661-$C$2)*('S-Table'!$B661-$D$2)=0,IF(('S-Table'!$C661-$C$3)*('S-Table'!$C661-$D$3)=0,'S-Table'!A661,0),0)</f>
        <v>0</v>
      </c>
      <c r="H661" s="14">
        <f>IF(('S-Table'!$B661-$C$2)*('S-Table'!$B661-$D$2)=0,IF(('S-Table'!$C661-$C$3)*('S-Table'!$C661-$D$3)=0,'S-Table'!B661,0),0)</f>
        <v>0</v>
      </c>
      <c r="I661" s="14">
        <f>IF(('S-Table'!$B661-$C$2)*('S-Table'!$B661-$D$2)=0,IF(('S-Table'!$C661-$C$3)*('S-Table'!$C661-$D$3)=0,'S-Table'!C661,0),0)</f>
        <v>0</v>
      </c>
      <c r="J661" s="14">
        <f>IF(('S-Table'!$B661-$C$2)*('S-Table'!$B661-$D$2)=0,IF(('S-Table'!$C661-$C$3)*('S-Table'!$C661-$D$3)=0,'S-Table'!D661,0),0)</f>
        <v>0</v>
      </c>
      <c r="K661" s="14">
        <f>IF(('S-Table'!$B661-$C$2)*('S-Table'!$B661-$D$2)=0,IF(('S-Table'!$C661-$C$3)*('S-Table'!$C661-$D$3)=0,'S-Table'!E661,0),0)</f>
        <v>0</v>
      </c>
    </row>
    <row r="662" spans="6:11" x14ac:dyDescent="0.2">
      <c r="F662" s="14">
        <f>IF(G662=0,IF(G661=0,F661,F661+1),IF(G661=0,MAX(F$1:F661),MAX(F$1:F661)+1))</f>
        <v>17</v>
      </c>
      <c r="G662" s="14">
        <f>IF(('S-Table'!$B662-$C$2)*('S-Table'!$B662-$D$2)=0,IF(('S-Table'!$C662-$C$3)*('S-Table'!$C662-$D$3)=0,'S-Table'!A662,0),0)</f>
        <v>0</v>
      </c>
      <c r="H662" s="14">
        <f>IF(('S-Table'!$B662-$C$2)*('S-Table'!$B662-$D$2)=0,IF(('S-Table'!$C662-$C$3)*('S-Table'!$C662-$D$3)=0,'S-Table'!B662,0),0)</f>
        <v>0</v>
      </c>
      <c r="I662" s="14">
        <f>IF(('S-Table'!$B662-$C$2)*('S-Table'!$B662-$D$2)=0,IF(('S-Table'!$C662-$C$3)*('S-Table'!$C662-$D$3)=0,'S-Table'!C662,0),0)</f>
        <v>0</v>
      </c>
      <c r="J662" s="14">
        <f>IF(('S-Table'!$B662-$C$2)*('S-Table'!$B662-$D$2)=0,IF(('S-Table'!$C662-$C$3)*('S-Table'!$C662-$D$3)=0,'S-Table'!D662,0),0)</f>
        <v>0</v>
      </c>
      <c r="K662" s="14">
        <f>IF(('S-Table'!$B662-$C$2)*('S-Table'!$B662-$D$2)=0,IF(('S-Table'!$C662-$C$3)*('S-Table'!$C662-$D$3)=0,'S-Table'!E662,0),0)</f>
        <v>0</v>
      </c>
    </row>
    <row r="663" spans="6:11" x14ac:dyDescent="0.2">
      <c r="F663" s="14">
        <f>IF(G663=0,IF(G662=0,F662,F662+1),IF(G662=0,MAX(F$1:F662),MAX(F$1:F662)+1))</f>
        <v>17</v>
      </c>
      <c r="G663" s="14">
        <f>IF(('S-Table'!$B663-$C$2)*('S-Table'!$B663-$D$2)=0,IF(('S-Table'!$C663-$C$3)*('S-Table'!$C663-$D$3)=0,'S-Table'!A663,0),0)</f>
        <v>0</v>
      </c>
      <c r="H663" s="14">
        <f>IF(('S-Table'!$B663-$C$2)*('S-Table'!$B663-$D$2)=0,IF(('S-Table'!$C663-$C$3)*('S-Table'!$C663-$D$3)=0,'S-Table'!B663,0),0)</f>
        <v>0</v>
      </c>
      <c r="I663" s="14">
        <f>IF(('S-Table'!$B663-$C$2)*('S-Table'!$B663-$D$2)=0,IF(('S-Table'!$C663-$C$3)*('S-Table'!$C663-$D$3)=0,'S-Table'!C663,0),0)</f>
        <v>0</v>
      </c>
      <c r="J663" s="14">
        <f>IF(('S-Table'!$B663-$C$2)*('S-Table'!$B663-$D$2)=0,IF(('S-Table'!$C663-$C$3)*('S-Table'!$C663-$D$3)=0,'S-Table'!D663,0),0)</f>
        <v>0</v>
      </c>
      <c r="K663" s="14">
        <f>IF(('S-Table'!$B663-$C$2)*('S-Table'!$B663-$D$2)=0,IF(('S-Table'!$C663-$C$3)*('S-Table'!$C663-$D$3)=0,'S-Table'!E663,0),0)</f>
        <v>0</v>
      </c>
    </row>
    <row r="664" spans="6:11" x14ac:dyDescent="0.2">
      <c r="F664" s="14">
        <f>IF(G664=0,IF(G663=0,F663,F663+1),IF(G663=0,MAX(F$1:F663),MAX(F$1:F663)+1))</f>
        <v>17</v>
      </c>
      <c r="G664" s="14">
        <f>IF(('S-Table'!$B664-$C$2)*('S-Table'!$B664-$D$2)=0,IF(('S-Table'!$C664-$C$3)*('S-Table'!$C664-$D$3)=0,'S-Table'!A664,0),0)</f>
        <v>0</v>
      </c>
      <c r="H664" s="14">
        <f>IF(('S-Table'!$B664-$C$2)*('S-Table'!$B664-$D$2)=0,IF(('S-Table'!$C664-$C$3)*('S-Table'!$C664-$D$3)=0,'S-Table'!B664,0),0)</f>
        <v>0</v>
      </c>
      <c r="I664" s="14">
        <f>IF(('S-Table'!$B664-$C$2)*('S-Table'!$B664-$D$2)=0,IF(('S-Table'!$C664-$C$3)*('S-Table'!$C664-$D$3)=0,'S-Table'!C664,0),0)</f>
        <v>0</v>
      </c>
      <c r="J664" s="14">
        <f>IF(('S-Table'!$B664-$C$2)*('S-Table'!$B664-$D$2)=0,IF(('S-Table'!$C664-$C$3)*('S-Table'!$C664-$D$3)=0,'S-Table'!D664,0),0)</f>
        <v>0</v>
      </c>
      <c r="K664" s="14">
        <f>IF(('S-Table'!$B664-$C$2)*('S-Table'!$B664-$D$2)=0,IF(('S-Table'!$C664-$C$3)*('S-Table'!$C664-$D$3)=0,'S-Table'!E664,0),0)</f>
        <v>0</v>
      </c>
    </row>
    <row r="665" spans="6:11" x14ac:dyDescent="0.2">
      <c r="F665" s="14">
        <f>IF(G665=0,IF(G664=0,F664,F664+1),IF(G664=0,MAX(F$1:F664),MAX(F$1:F664)+1))</f>
        <v>17</v>
      </c>
      <c r="G665" s="14">
        <f>IF(('S-Table'!$B665-$C$2)*('S-Table'!$B665-$D$2)=0,IF(('S-Table'!$C665-$C$3)*('S-Table'!$C665-$D$3)=0,'S-Table'!A665,0),0)</f>
        <v>0</v>
      </c>
      <c r="H665" s="14">
        <f>IF(('S-Table'!$B665-$C$2)*('S-Table'!$B665-$D$2)=0,IF(('S-Table'!$C665-$C$3)*('S-Table'!$C665-$D$3)=0,'S-Table'!B665,0),0)</f>
        <v>0</v>
      </c>
      <c r="I665" s="14">
        <f>IF(('S-Table'!$B665-$C$2)*('S-Table'!$B665-$D$2)=0,IF(('S-Table'!$C665-$C$3)*('S-Table'!$C665-$D$3)=0,'S-Table'!C665,0),0)</f>
        <v>0</v>
      </c>
      <c r="J665" s="14">
        <f>IF(('S-Table'!$B665-$C$2)*('S-Table'!$B665-$D$2)=0,IF(('S-Table'!$C665-$C$3)*('S-Table'!$C665-$D$3)=0,'S-Table'!D665,0),0)</f>
        <v>0</v>
      </c>
      <c r="K665" s="14">
        <f>IF(('S-Table'!$B665-$C$2)*('S-Table'!$B665-$D$2)=0,IF(('S-Table'!$C665-$C$3)*('S-Table'!$C665-$D$3)=0,'S-Table'!E665,0),0)</f>
        <v>0</v>
      </c>
    </row>
    <row r="666" spans="6:11" x14ac:dyDescent="0.2">
      <c r="F666" s="14">
        <f>IF(G666=0,IF(G665=0,F665,F665+1),IF(G665=0,MAX(F$1:F665),MAX(F$1:F665)+1))</f>
        <v>17</v>
      </c>
      <c r="G666" s="14">
        <f>IF(('S-Table'!$B666-$C$2)*('S-Table'!$B666-$D$2)=0,IF(('S-Table'!$C666-$C$3)*('S-Table'!$C666-$D$3)=0,'S-Table'!A666,0),0)</f>
        <v>0</v>
      </c>
      <c r="H666" s="14">
        <f>IF(('S-Table'!$B666-$C$2)*('S-Table'!$B666-$D$2)=0,IF(('S-Table'!$C666-$C$3)*('S-Table'!$C666-$D$3)=0,'S-Table'!B666,0),0)</f>
        <v>0</v>
      </c>
      <c r="I666" s="14">
        <f>IF(('S-Table'!$B666-$C$2)*('S-Table'!$B666-$D$2)=0,IF(('S-Table'!$C666-$C$3)*('S-Table'!$C666-$D$3)=0,'S-Table'!C666,0),0)</f>
        <v>0</v>
      </c>
      <c r="J666" s="14">
        <f>IF(('S-Table'!$B666-$C$2)*('S-Table'!$B666-$D$2)=0,IF(('S-Table'!$C666-$C$3)*('S-Table'!$C666-$D$3)=0,'S-Table'!D666,0),0)</f>
        <v>0</v>
      </c>
      <c r="K666" s="14">
        <f>IF(('S-Table'!$B666-$C$2)*('S-Table'!$B666-$D$2)=0,IF(('S-Table'!$C666-$C$3)*('S-Table'!$C666-$D$3)=0,'S-Table'!E666,0),0)</f>
        <v>0</v>
      </c>
    </row>
    <row r="667" spans="6:11" x14ac:dyDescent="0.2">
      <c r="F667" s="14">
        <f>IF(G667=0,IF(G666=0,F666,F666+1),IF(G666=0,MAX(F$1:F666),MAX(F$1:F666)+1))</f>
        <v>17</v>
      </c>
      <c r="G667" s="14">
        <f>IF(('S-Table'!$B667-$C$2)*('S-Table'!$B667-$D$2)=0,IF(('S-Table'!$C667-$C$3)*('S-Table'!$C667-$D$3)=0,'S-Table'!A667,0),0)</f>
        <v>0</v>
      </c>
      <c r="H667" s="14">
        <f>IF(('S-Table'!$B667-$C$2)*('S-Table'!$B667-$D$2)=0,IF(('S-Table'!$C667-$C$3)*('S-Table'!$C667-$D$3)=0,'S-Table'!B667,0),0)</f>
        <v>0</v>
      </c>
      <c r="I667" s="14">
        <f>IF(('S-Table'!$B667-$C$2)*('S-Table'!$B667-$D$2)=0,IF(('S-Table'!$C667-$C$3)*('S-Table'!$C667-$D$3)=0,'S-Table'!C667,0),0)</f>
        <v>0</v>
      </c>
      <c r="J667" s="14">
        <f>IF(('S-Table'!$B667-$C$2)*('S-Table'!$B667-$D$2)=0,IF(('S-Table'!$C667-$C$3)*('S-Table'!$C667-$D$3)=0,'S-Table'!D667,0),0)</f>
        <v>0</v>
      </c>
      <c r="K667" s="14">
        <f>IF(('S-Table'!$B667-$C$2)*('S-Table'!$B667-$D$2)=0,IF(('S-Table'!$C667-$C$3)*('S-Table'!$C667-$D$3)=0,'S-Table'!E667,0),0)</f>
        <v>0</v>
      </c>
    </row>
    <row r="668" spans="6:11" x14ac:dyDescent="0.2">
      <c r="F668" s="14">
        <f>IF(G668=0,IF(G667=0,F667,F667+1),IF(G667=0,MAX(F$1:F667),MAX(F$1:F667)+1))</f>
        <v>17</v>
      </c>
      <c r="G668" s="14">
        <f>IF(('S-Table'!$B668-$C$2)*('S-Table'!$B668-$D$2)=0,IF(('S-Table'!$C668-$C$3)*('S-Table'!$C668-$D$3)=0,'S-Table'!A668,0),0)</f>
        <v>0</v>
      </c>
      <c r="H668" s="14">
        <f>IF(('S-Table'!$B668-$C$2)*('S-Table'!$B668-$D$2)=0,IF(('S-Table'!$C668-$C$3)*('S-Table'!$C668-$D$3)=0,'S-Table'!B668,0),0)</f>
        <v>0</v>
      </c>
      <c r="I668" s="14">
        <f>IF(('S-Table'!$B668-$C$2)*('S-Table'!$B668-$D$2)=0,IF(('S-Table'!$C668-$C$3)*('S-Table'!$C668-$D$3)=0,'S-Table'!C668,0),0)</f>
        <v>0</v>
      </c>
      <c r="J668" s="14">
        <f>IF(('S-Table'!$B668-$C$2)*('S-Table'!$B668-$D$2)=0,IF(('S-Table'!$C668-$C$3)*('S-Table'!$C668-$D$3)=0,'S-Table'!D668,0),0)</f>
        <v>0</v>
      </c>
      <c r="K668" s="14">
        <f>IF(('S-Table'!$B668-$C$2)*('S-Table'!$B668-$D$2)=0,IF(('S-Table'!$C668-$C$3)*('S-Table'!$C668-$D$3)=0,'S-Table'!E668,0),0)</f>
        <v>0</v>
      </c>
    </row>
    <row r="669" spans="6:11" x14ac:dyDescent="0.2">
      <c r="F669" s="14">
        <f>IF(G669=0,IF(G668=0,F668,F668+1),IF(G668=0,MAX(F$1:F668),MAX(F$1:F668)+1))</f>
        <v>17</v>
      </c>
      <c r="G669" s="14">
        <f>IF(('S-Table'!$B669-$C$2)*('S-Table'!$B669-$D$2)=0,IF(('S-Table'!$C669-$C$3)*('S-Table'!$C669-$D$3)=0,'S-Table'!A669,0),0)</f>
        <v>0</v>
      </c>
      <c r="H669" s="14">
        <f>IF(('S-Table'!$B669-$C$2)*('S-Table'!$B669-$D$2)=0,IF(('S-Table'!$C669-$C$3)*('S-Table'!$C669-$D$3)=0,'S-Table'!B669,0),0)</f>
        <v>0</v>
      </c>
      <c r="I669" s="14">
        <f>IF(('S-Table'!$B669-$C$2)*('S-Table'!$B669-$D$2)=0,IF(('S-Table'!$C669-$C$3)*('S-Table'!$C669-$D$3)=0,'S-Table'!C669,0),0)</f>
        <v>0</v>
      </c>
      <c r="J669" s="14">
        <f>IF(('S-Table'!$B669-$C$2)*('S-Table'!$B669-$D$2)=0,IF(('S-Table'!$C669-$C$3)*('S-Table'!$C669-$D$3)=0,'S-Table'!D669,0),0)</f>
        <v>0</v>
      </c>
      <c r="K669" s="14">
        <f>IF(('S-Table'!$B669-$C$2)*('S-Table'!$B669-$D$2)=0,IF(('S-Table'!$C669-$C$3)*('S-Table'!$C669-$D$3)=0,'S-Table'!E669,0),0)</f>
        <v>0</v>
      </c>
    </row>
    <row r="670" spans="6:11" x14ac:dyDescent="0.2">
      <c r="F670" s="14">
        <f>IF(G670=0,IF(G669=0,F669,F669+1),IF(G669=0,MAX(F$1:F669),MAX(F$1:F669)+1))</f>
        <v>17</v>
      </c>
      <c r="G670" s="14">
        <f>IF(('S-Table'!$B670-$C$2)*('S-Table'!$B670-$D$2)=0,IF(('S-Table'!$C670-$C$3)*('S-Table'!$C670-$D$3)=0,'S-Table'!A670,0),0)</f>
        <v>0</v>
      </c>
      <c r="H670" s="14">
        <f>IF(('S-Table'!$B670-$C$2)*('S-Table'!$B670-$D$2)=0,IF(('S-Table'!$C670-$C$3)*('S-Table'!$C670-$D$3)=0,'S-Table'!B670,0),0)</f>
        <v>0</v>
      </c>
      <c r="I670" s="14">
        <f>IF(('S-Table'!$B670-$C$2)*('S-Table'!$B670-$D$2)=0,IF(('S-Table'!$C670-$C$3)*('S-Table'!$C670-$D$3)=0,'S-Table'!C670,0),0)</f>
        <v>0</v>
      </c>
      <c r="J670" s="14">
        <f>IF(('S-Table'!$B670-$C$2)*('S-Table'!$B670-$D$2)=0,IF(('S-Table'!$C670-$C$3)*('S-Table'!$C670-$D$3)=0,'S-Table'!D670,0),0)</f>
        <v>0</v>
      </c>
      <c r="K670" s="14">
        <f>IF(('S-Table'!$B670-$C$2)*('S-Table'!$B670-$D$2)=0,IF(('S-Table'!$C670-$C$3)*('S-Table'!$C670-$D$3)=0,'S-Table'!E670,0),0)</f>
        <v>0</v>
      </c>
    </row>
    <row r="671" spans="6:11" x14ac:dyDescent="0.2">
      <c r="F671" s="14">
        <f>IF(G671=0,IF(G670=0,F670,F670+1),IF(G670=0,MAX(F$1:F670),MAX(F$1:F670)+1))</f>
        <v>17</v>
      </c>
      <c r="G671" s="14">
        <f>IF(('S-Table'!$B671-$C$2)*('S-Table'!$B671-$D$2)=0,IF(('S-Table'!$C671-$C$3)*('S-Table'!$C671-$D$3)=0,'S-Table'!A671,0),0)</f>
        <v>0</v>
      </c>
      <c r="H671" s="14">
        <f>IF(('S-Table'!$B671-$C$2)*('S-Table'!$B671-$D$2)=0,IF(('S-Table'!$C671-$C$3)*('S-Table'!$C671-$D$3)=0,'S-Table'!B671,0),0)</f>
        <v>0</v>
      </c>
      <c r="I671" s="14">
        <f>IF(('S-Table'!$B671-$C$2)*('S-Table'!$B671-$D$2)=0,IF(('S-Table'!$C671-$C$3)*('S-Table'!$C671-$D$3)=0,'S-Table'!C671,0),0)</f>
        <v>0</v>
      </c>
      <c r="J671" s="14">
        <f>IF(('S-Table'!$B671-$C$2)*('S-Table'!$B671-$D$2)=0,IF(('S-Table'!$C671-$C$3)*('S-Table'!$C671-$D$3)=0,'S-Table'!D671,0),0)</f>
        <v>0</v>
      </c>
      <c r="K671" s="14">
        <f>IF(('S-Table'!$B671-$C$2)*('S-Table'!$B671-$D$2)=0,IF(('S-Table'!$C671-$C$3)*('S-Table'!$C671-$D$3)=0,'S-Table'!E671,0),0)</f>
        <v>0</v>
      </c>
    </row>
    <row r="672" spans="6:11" x14ac:dyDescent="0.2">
      <c r="F672" s="14">
        <f>IF(G672=0,IF(G671=0,F671,F671+1),IF(G671=0,MAX(F$1:F671),MAX(F$1:F671)+1))</f>
        <v>17</v>
      </c>
      <c r="G672" s="14">
        <f>IF(('S-Table'!$B672-$C$2)*('S-Table'!$B672-$D$2)=0,IF(('S-Table'!$C672-$C$3)*('S-Table'!$C672-$D$3)=0,'S-Table'!A672,0),0)</f>
        <v>0</v>
      </c>
      <c r="H672" s="14">
        <f>IF(('S-Table'!$B672-$C$2)*('S-Table'!$B672-$D$2)=0,IF(('S-Table'!$C672-$C$3)*('S-Table'!$C672-$D$3)=0,'S-Table'!B672,0),0)</f>
        <v>0</v>
      </c>
      <c r="I672" s="14">
        <f>IF(('S-Table'!$B672-$C$2)*('S-Table'!$B672-$D$2)=0,IF(('S-Table'!$C672-$C$3)*('S-Table'!$C672-$D$3)=0,'S-Table'!C672,0),0)</f>
        <v>0</v>
      </c>
      <c r="J672" s="14">
        <f>IF(('S-Table'!$B672-$C$2)*('S-Table'!$B672-$D$2)=0,IF(('S-Table'!$C672-$C$3)*('S-Table'!$C672-$D$3)=0,'S-Table'!D672,0),0)</f>
        <v>0</v>
      </c>
      <c r="K672" s="14">
        <f>IF(('S-Table'!$B672-$C$2)*('S-Table'!$B672-$D$2)=0,IF(('S-Table'!$C672-$C$3)*('S-Table'!$C672-$D$3)=0,'S-Table'!E672,0),0)</f>
        <v>0</v>
      </c>
    </row>
    <row r="673" spans="6:11" x14ac:dyDescent="0.2">
      <c r="F673" s="14">
        <f>IF(G673=0,IF(G672=0,F672,F672+1),IF(G672=0,MAX(F$1:F672),MAX(F$1:F672)+1))</f>
        <v>17</v>
      </c>
      <c r="G673" s="14">
        <f>IF(('S-Table'!$B673-$C$2)*('S-Table'!$B673-$D$2)=0,IF(('S-Table'!$C673-$C$3)*('S-Table'!$C673-$D$3)=0,'S-Table'!A673,0),0)</f>
        <v>0</v>
      </c>
      <c r="H673" s="14">
        <f>IF(('S-Table'!$B673-$C$2)*('S-Table'!$B673-$D$2)=0,IF(('S-Table'!$C673-$C$3)*('S-Table'!$C673-$D$3)=0,'S-Table'!B673,0),0)</f>
        <v>0</v>
      </c>
      <c r="I673" s="14">
        <f>IF(('S-Table'!$B673-$C$2)*('S-Table'!$B673-$D$2)=0,IF(('S-Table'!$C673-$C$3)*('S-Table'!$C673-$D$3)=0,'S-Table'!C673,0),0)</f>
        <v>0</v>
      </c>
      <c r="J673" s="14">
        <f>IF(('S-Table'!$B673-$C$2)*('S-Table'!$B673-$D$2)=0,IF(('S-Table'!$C673-$C$3)*('S-Table'!$C673-$D$3)=0,'S-Table'!D673,0),0)</f>
        <v>0</v>
      </c>
      <c r="K673" s="14">
        <f>IF(('S-Table'!$B673-$C$2)*('S-Table'!$B673-$D$2)=0,IF(('S-Table'!$C673-$C$3)*('S-Table'!$C673-$D$3)=0,'S-Table'!E673,0),0)</f>
        <v>0</v>
      </c>
    </row>
    <row r="674" spans="6:11" x14ac:dyDescent="0.2">
      <c r="F674" s="14">
        <f>IF(G674=0,IF(G673=0,F673,F673+1),IF(G673=0,MAX(F$1:F673),MAX(F$1:F673)+1))</f>
        <v>17</v>
      </c>
      <c r="G674" s="14">
        <f>IF(('S-Table'!$B674-$C$2)*('S-Table'!$B674-$D$2)=0,IF(('S-Table'!$C674-$C$3)*('S-Table'!$C674-$D$3)=0,'S-Table'!A674,0),0)</f>
        <v>65</v>
      </c>
      <c r="H674" s="14">
        <f>IF(('S-Table'!$B674-$C$2)*('S-Table'!$B674-$D$2)=0,IF(('S-Table'!$C674-$C$3)*('S-Table'!$C674-$D$3)=0,'S-Table'!B674,0),0)</f>
        <v>6</v>
      </c>
      <c r="I674" s="14">
        <f>IF(('S-Table'!$B674-$C$2)*('S-Table'!$B674-$D$2)=0,IF(('S-Table'!$C674-$C$3)*('S-Table'!$C674-$D$3)=0,'S-Table'!C674,0),0)</f>
        <v>50</v>
      </c>
      <c r="J674" s="14">
        <f>IF(('S-Table'!$B674-$C$2)*('S-Table'!$B674-$D$2)=0,IF(('S-Table'!$C674-$C$3)*('S-Table'!$C674-$D$3)=0,'S-Table'!D674,0),0)</f>
        <v>444.63</v>
      </c>
      <c r="K674" s="14">
        <f>IF(('S-Table'!$B674-$C$2)*('S-Table'!$B674-$D$2)=0,IF(('S-Table'!$C674-$C$3)*('S-Table'!$C674-$D$3)=0,'S-Table'!E674,0),0)</f>
        <v>198.07</v>
      </c>
    </row>
    <row r="675" spans="6:11" x14ac:dyDescent="0.2">
      <c r="F675" s="14">
        <f>IF(G675=0,IF(G674=0,F674,F674+1),IF(G674=0,MAX(F$1:F674),MAX(F$1:F674)+1))</f>
        <v>18</v>
      </c>
      <c r="G675" s="14">
        <f>IF(('S-Table'!$B675-$C$2)*('S-Table'!$B675-$D$2)=0,IF(('S-Table'!$C675-$C$3)*('S-Table'!$C675-$D$3)=0,'S-Table'!A675,0),0)</f>
        <v>65</v>
      </c>
      <c r="H675" s="14">
        <f>IF(('S-Table'!$B675-$C$2)*('S-Table'!$B675-$D$2)=0,IF(('S-Table'!$C675-$C$3)*('S-Table'!$C675-$D$3)=0,'S-Table'!B675,0),0)</f>
        <v>6</v>
      </c>
      <c r="I675" s="14">
        <f>IF(('S-Table'!$B675-$C$2)*('S-Table'!$B675-$D$2)=0,IF(('S-Table'!$C675-$C$3)*('S-Table'!$C675-$D$3)=0,'S-Table'!C675,0),0)</f>
        <v>100</v>
      </c>
      <c r="J675" s="14">
        <f>IF(('S-Table'!$B675-$C$2)*('S-Table'!$B675-$D$2)=0,IF(('S-Table'!$C675-$C$3)*('S-Table'!$C675-$D$3)=0,'S-Table'!D675,0),0)</f>
        <v>424.33</v>
      </c>
      <c r="K675" s="14">
        <f>IF(('S-Table'!$B675-$C$2)*('S-Table'!$B675-$D$2)=0,IF(('S-Table'!$C675-$C$3)*('S-Table'!$C675-$D$3)=0,'S-Table'!E675,0),0)</f>
        <v>198.06</v>
      </c>
    </row>
    <row r="676" spans="6:11" x14ac:dyDescent="0.2">
      <c r="F676" s="14">
        <f>IF(G676=0,IF(G675=0,F675,F675+1),IF(G675=0,MAX(F$1:F675),MAX(F$1:F675)+1))</f>
        <v>19</v>
      </c>
      <c r="G676" s="14">
        <f>IF(('S-Table'!$B676-$C$2)*('S-Table'!$B676-$D$2)=0,IF(('S-Table'!$C676-$C$3)*('S-Table'!$C676-$D$3)=0,'S-Table'!A676,0),0)</f>
        <v>0</v>
      </c>
      <c r="H676" s="14">
        <f>IF(('S-Table'!$B676-$C$2)*('S-Table'!$B676-$D$2)=0,IF(('S-Table'!$C676-$C$3)*('S-Table'!$C676-$D$3)=0,'S-Table'!B676,0),0)</f>
        <v>0</v>
      </c>
      <c r="I676" s="14">
        <f>IF(('S-Table'!$B676-$C$2)*('S-Table'!$B676-$D$2)=0,IF(('S-Table'!$C676-$C$3)*('S-Table'!$C676-$D$3)=0,'S-Table'!C676,0),0)</f>
        <v>0</v>
      </c>
      <c r="J676" s="14">
        <f>IF(('S-Table'!$B676-$C$2)*('S-Table'!$B676-$D$2)=0,IF(('S-Table'!$C676-$C$3)*('S-Table'!$C676-$D$3)=0,'S-Table'!D676,0),0)</f>
        <v>0</v>
      </c>
      <c r="K676" s="14">
        <f>IF(('S-Table'!$B676-$C$2)*('S-Table'!$B676-$D$2)=0,IF(('S-Table'!$C676-$C$3)*('S-Table'!$C676-$D$3)=0,'S-Table'!E676,0),0)</f>
        <v>0</v>
      </c>
    </row>
    <row r="677" spans="6:11" x14ac:dyDescent="0.2">
      <c r="F677" s="14">
        <f>IF(G677=0,IF(G676=0,F676,F676+1),IF(G676=0,MAX(F$1:F676),MAX(F$1:F676)+1))</f>
        <v>19</v>
      </c>
      <c r="G677" s="14">
        <f>IF(('S-Table'!$B677-$C$2)*('S-Table'!$B677-$D$2)=0,IF(('S-Table'!$C677-$C$3)*('S-Table'!$C677-$D$3)=0,'S-Table'!A677,0),0)</f>
        <v>0</v>
      </c>
      <c r="H677" s="14">
        <f>IF(('S-Table'!$B677-$C$2)*('S-Table'!$B677-$D$2)=0,IF(('S-Table'!$C677-$C$3)*('S-Table'!$C677-$D$3)=0,'S-Table'!B677,0),0)</f>
        <v>0</v>
      </c>
      <c r="I677" s="14">
        <f>IF(('S-Table'!$B677-$C$2)*('S-Table'!$B677-$D$2)=0,IF(('S-Table'!$C677-$C$3)*('S-Table'!$C677-$D$3)=0,'S-Table'!C677,0),0)</f>
        <v>0</v>
      </c>
      <c r="J677" s="14">
        <f>IF(('S-Table'!$B677-$C$2)*('S-Table'!$B677-$D$2)=0,IF(('S-Table'!$C677-$C$3)*('S-Table'!$C677-$D$3)=0,'S-Table'!D677,0),0)</f>
        <v>0</v>
      </c>
      <c r="K677" s="14">
        <f>IF(('S-Table'!$B677-$C$2)*('S-Table'!$B677-$D$2)=0,IF(('S-Table'!$C677-$C$3)*('S-Table'!$C677-$D$3)=0,'S-Table'!E677,0),0)</f>
        <v>0</v>
      </c>
    </row>
    <row r="678" spans="6:11" x14ac:dyDescent="0.2">
      <c r="F678" s="14">
        <f>IF(G678=0,IF(G677=0,F677,F677+1),IF(G677=0,MAX(F$1:F677),MAX(F$1:F677)+1))</f>
        <v>19</v>
      </c>
      <c r="G678" s="14">
        <f>IF(('S-Table'!$B678-$C$2)*('S-Table'!$B678-$D$2)=0,IF(('S-Table'!$C678-$C$3)*('S-Table'!$C678-$D$3)=0,'S-Table'!A678,0),0)</f>
        <v>0</v>
      </c>
      <c r="H678" s="14">
        <f>IF(('S-Table'!$B678-$C$2)*('S-Table'!$B678-$D$2)=0,IF(('S-Table'!$C678-$C$3)*('S-Table'!$C678-$D$3)=0,'S-Table'!B678,0),0)</f>
        <v>0</v>
      </c>
      <c r="I678" s="14">
        <f>IF(('S-Table'!$B678-$C$2)*('S-Table'!$B678-$D$2)=0,IF(('S-Table'!$C678-$C$3)*('S-Table'!$C678-$D$3)=0,'S-Table'!C678,0),0)</f>
        <v>0</v>
      </c>
      <c r="J678" s="14">
        <f>IF(('S-Table'!$B678-$C$2)*('S-Table'!$B678-$D$2)=0,IF(('S-Table'!$C678-$C$3)*('S-Table'!$C678-$D$3)=0,'S-Table'!D678,0),0)</f>
        <v>0</v>
      </c>
      <c r="K678" s="14">
        <f>IF(('S-Table'!$B678-$C$2)*('S-Table'!$B678-$D$2)=0,IF(('S-Table'!$C678-$C$3)*('S-Table'!$C678-$D$3)=0,'S-Table'!E678,0),0)</f>
        <v>0</v>
      </c>
    </row>
    <row r="679" spans="6:11" x14ac:dyDescent="0.2">
      <c r="F679" s="14">
        <f>IF(G679=0,IF(G678=0,F678,F678+1),IF(G678=0,MAX(F$1:F678),MAX(F$1:F678)+1))</f>
        <v>19</v>
      </c>
      <c r="G679" s="14">
        <f>IF(('S-Table'!$B679-$C$2)*('S-Table'!$B679-$D$2)=0,IF(('S-Table'!$C679-$C$3)*('S-Table'!$C679-$D$3)=0,'S-Table'!A679,0),0)</f>
        <v>0</v>
      </c>
      <c r="H679" s="14">
        <f>IF(('S-Table'!$B679-$C$2)*('S-Table'!$B679-$D$2)=0,IF(('S-Table'!$C679-$C$3)*('S-Table'!$C679-$D$3)=0,'S-Table'!B679,0),0)</f>
        <v>0</v>
      </c>
      <c r="I679" s="14">
        <f>IF(('S-Table'!$B679-$C$2)*('S-Table'!$B679-$D$2)=0,IF(('S-Table'!$C679-$C$3)*('S-Table'!$C679-$D$3)=0,'S-Table'!C679,0),0)</f>
        <v>0</v>
      </c>
      <c r="J679" s="14">
        <f>IF(('S-Table'!$B679-$C$2)*('S-Table'!$B679-$D$2)=0,IF(('S-Table'!$C679-$C$3)*('S-Table'!$C679-$D$3)=0,'S-Table'!D679,0),0)</f>
        <v>0</v>
      </c>
      <c r="K679" s="14">
        <f>IF(('S-Table'!$B679-$C$2)*('S-Table'!$B679-$D$2)=0,IF(('S-Table'!$C679-$C$3)*('S-Table'!$C679-$D$3)=0,'S-Table'!E679,0),0)</f>
        <v>0</v>
      </c>
    </row>
    <row r="680" spans="6:11" x14ac:dyDescent="0.2">
      <c r="F680" s="14">
        <f>IF(G680=0,IF(G679=0,F679,F679+1),IF(G679=0,MAX(F$1:F679),MAX(F$1:F679)+1))</f>
        <v>19</v>
      </c>
      <c r="G680" s="14">
        <f>IF(('S-Table'!$B680-$C$2)*('S-Table'!$B680-$D$2)=0,IF(('S-Table'!$C680-$C$3)*('S-Table'!$C680-$D$3)=0,'S-Table'!A680,0),0)</f>
        <v>0</v>
      </c>
      <c r="H680" s="14">
        <f>IF(('S-Table'!$B680-$C$2)*('S-Table'!$B680-$D$2)=0,IF(('S-Table'!$C680-$C$3)*('S-Table'!$C680-$D$3)=0,'S-Table'!B680,0),0)</f>
        <v>0</v>
      </c>
      <c r="I680" s="14">
        <f>IF(('S-Table'!$B680-$C$2)*('S-Table'!$B680-$D$2)=0,IF(('S-Table'!$C680-$C$3)*('S-Table'!$C680-$D$3)=0,'S-Table'!C680,0),0)</f>
        <v>0</v>
      </c>
      <c r="J680" s="14">
        <f>IF(('S-Table'!$B680-$C$2)*('S-Table'!$B680-$D$2)=0,IF(('S-Table'!$C680-$C$3)*('S-Table'!$C680-$D$3)=0,'S-Table'!D680,0),0)</f>
        <v>0</v>
      </c>
      <c r="K680" s="14">
        <f>IF(('S-Table'!$B680-$C$2)*('S-Table'!$B680-$D$2)=0,IF(('S-Table'!$C680-$C$3)*('S-Table'!$C680-$D$3)=0,'S-Table'!E680,0),0)</f>
        <v>0</v>
      </c>
    </row>
    <row r="681" spans="6:11" x14ac:dyDescent="0.2">
      <c r="F681" s="14">
        <f>IF(G681=0,IF(G680=0,F680,F680+1),IF(G680=0,MAX(F$1:F680),MAX(F$1:F680)+1))</f>
        <v>19</v>
      </c>
      <c r="G681" s="14">
        <f>IF(('S-Table'!$B681-$C$2)*('S-Table'!$B681-$D$2)=0,IF(('S-Table'!$C681-$C$3)*('S-Table'!$C681-$D$3)=0,'S-Table'!A681,0),0)</f>
        <v>0</v>
      </c>
      <c r="H681" s="14">
        <f>IF(('S-Table'!$B681-$C$2)*('S-Table'!$B681-$D$2)=0,IF(('S-Table'!$C681-$C$3)*('S-Table'!$C681-$D$3)=0,'S-Table'!B681,0),0)</f>
        <v>0</v>
      </c>
      <c r="I681" s="14">
        <f>IF(('S-Table'!$B681-$C$2)*('S-Table'!$B681-$D$2)=0,IF(('S-Table'!$C681-$C$3)*('S-Table'!$C681-$D$3)=0,'S-Table'!C681,0),0)</f>
        <v>0</v>
      </c>
      <c r="J681" s="14">
        <f>IF(('S-Table'!$B681-$C$2)*('S-Table'!$B681-$D$2)=0,IF(('S-Table'!$C681-$C$3)*('S-Table'!$C681-$D$3)=0,'S-Table'!D681,0),0)</f>
        <v>0</v>
      </c>
      <c r="K681" s="14">
        <f>IF(('S-Table'!$B681-$C$2)*('S-Table'!$B681-$D$2)=0,IF(('S-Table'!$C681-$C$3)*('S-Table'!$C681-$D$3)=0,'S-Table'!E681,0),0)</f>
        <v>0</v>
      </c>
    </row>
    <row r="682" spans="6:11" x14ac:dyDescent="0.2">
      <c r="F682" s="14">
        <f>IF(G682=0,IF(G681=0,F681,F681+1),IF(G681=0,MAX(F$1:F681),MAX(F$1:F681)+1))</f>
        <v>19</v>
      </c>
      <c r="G682" s="14">
        <f>IF(('S-Table'!$B682-$C$2)*('S-Table'!$B682-$D$2)=0,IF(('S-Table'!$C682-$C$3)*('S-Table'!$C682-$D$3)=0,'S-Table'!A682,0),0)</f>
        <v>65</v>
      </c>
      <c r="H682" s="14">
        <f>IF(('S-Table'!$B682-$C$2)*('S-Table'!$B682-$D$2)=0,IF(('S-Table'!$C682-$C$3)*('S-Table'!$C682-$D$3)=0,'S-Table'!B682,0),0)</f>
        <v>6.5</v>
      </c>
      <c r="I682" s="14">
        <f>IF(('S-Table'!$B682-$C$2)*('S-Table'!$B682-$D$2)=0,IF(('S-Table'!$C682-$C$3)*('S-Table'!$C682-$D$3)=0,'S-Table'!C682,0),0)</f>
        <v>50</v>
      </c>
      <c r="J682" s="14">
        <f>IF(('S-Table'!$B682-$C$2)*('S-Table'!$B682-$D$2)=0,IF(('S-Table'!$C682-$C$3)*('S-Table'!$C682-$D$3)=0,'S-Table'!D682,0),0)</f>
        <v>420.54</v>
      </c>
      <c r="K682" s="14">
        <f>IF(('S-Table'!$B682-$C$2)*('S-Table'!$B682-$D$2)=0,IF(('S-Table'!$C682-$C$3)*('S-Table'!$C682-$D$3)=0,'S-Table'!E682,0),0)</f>
        <v>198.04</v>
      </c>
    </row>
    <row r="683" spans="6:11" x14ac:dyDescent="0.2">
      <c r="F683" s="14">
        <f>IF(G683=0,IF(G682=0,F682,F682+1),IF(G682=0,MAX(F$1:F682),MAX(F$1:F682)+1))</f>
        <v>20</v>
      </c>
      <c r="G683" s="14">
        <f>IF(('S-Table'!$B683-$C$2)*('S-Table'!$B683-$D$2)=0,IF(('S-Table'!$C683-$C$3)*('S-Table'!$C683-$D$3)=0,'S-Table'!A683,0),0)</f>
        <v>65</v>
      </c>
      <c r="H683" s="14">
        <f>IF(('S-Table'!$B683-$C$2)*('S-Table'!$B683-$D$2)=0,IF(('S-Table'!$C683-$C$3)*('S-Table'!$C683-$D$3)=0,'S-Table'!B683,0),0)</f>
        <v>6.5</v>
      </c>
      <c r="I683" s="14">
        <f>IF(('S-Table'!$B683-$C$2)*('S-Table'!$B683-$D$2)=0,IF(('S-Table'!$C683-$C$3)*('S-Table'!$C683-$D$3)=0,'S-Table'!C683,0),0)</f>
        <v>100</v>
      </c>
      <c r="J683" s="14">
        <f>IF(('S-Table'!$B683-$C$2)*('S-Table'!$B683-$D$2)=0,IF(('S-Table'!$C683-$C$3)*('S-Table'!$C683-$D$3)=0,'S-Table'!D683,0),0)</f>
        <v>400.19</v>
      </c>
      <c r="K683" s="14">
        <f>IF(('S-Table'!$B683-$C$2)*('S-Table'!$B683-$D$2)=0,IF(('S-Table'!$C683-$C$3)*('S-Table'!$C683-$D$3)=0,'S-Table'!E683,0),0)</f>
        <v>198.02</v>
      </c>
    </row>
    <row r="684" spans="6:11" x14ac:dyDescent="0.2">
      <c r="F684" s="14">
        <f>IF(G684=0,IF(G683=0,F683,F683+1),IF(G683=0,MAX(F$1:F683),MAX(F$1:F683)+1))</f>
        <v>21</v>
      </c>
      <c r="G684" s="14">
        <f>IF(('S-Table'!$B684-$C$2)*('S-Table'!$B684-$D$2)=0,IF(('S-Table'!$C684-$C$3)*('S-Table'!$C684-$D$3)=0,'S-Table'!A684,0),0)</f>
        <v>0</v>
      </c>
      <c r="H684" s="14">
        <f>IF(('S-Table'!$B684-$C$2)*('S-Table'!$B684-$D$2)=0,IF(('S-Table'!$C684-$C$3)*('S-Table'!$C684-$D$3)=0,'S-Table'!B684,0),0)</f>
        <v>0</v>
      </c>
      <c r="I684" s="14">
        <f>IF(('S-Table'!$B684-$C$2)*('S-Table'!$B684-$D$2)=0,IF(('S-Table'!$C684-$C$3)*('S-Table'!$C684-$D$3)=0,'S-Table'!C684,0),0)</f>
        <v>0</v>
      </c>
      <c r="J684" s="14">
        <f>IF(('S-Table'!$B684-$C$2)*('S-Table'!$B684-$D$2)=0,IF(('S-Table'!$C684-$C$3)*('S-Table'!$C684-$D$3)=0,'S-Table'!D684,0),0)</f>
        <v>0</v>
      </c>
      <c r="K684" s="14">
        <f>IF(('S-Table'!$B684-$C$2)*('S-Table'!$B684-$D$2)=0,IF(('S-Table'!$C684-$C$3)*('S-Table'!$C684-$D$3)=0,'S-Table'!E684,0),0)</f>
        <v>0</v>
      </c>
    </row>
    <row r="685" spans="6:11" x14ac:dyDescent="0.2">
      <c r="F685" s="14">
        <f>IF(G685=0,IF(G684=0,F684,F684+1),IF(G684=0,MAX(F$1:F684),MAX(F$1:F684)+1))</f>
        <v>21</v>
      </c>
      <c r="G685" s="14">
        <f>IF(('S-Table'!$B685-$C$2)*('S-Table'!$B685-$D$2)=0,IF(('S-Table'!$C685-$C$3)*('S-Table'!$C685-$D$3)=0,'S-Table'!A685,0),0)</f>
        <v>0</v>
      </c>
      <c r="H685" s="14">
        <f>IF(('S-Table'!$B685-$C$2)*('S-Table'!$B685-$D$2)=0,IF(('S-Table'!$C685-$C$3)*('S-Table'!$C685-$D$3)=0,'S-Table'!B685,0),0)</f>
        <v>0</v>
      </c>
      <c r="I685" s="14">
        <f>IF(('S-Table'!$B685-$C$2)*('S-Table'!$B685-$D$2)=0,IF(('S-Table'!$C685-$C$3)*('S-Table'!$C685-$D$3)=0,'S-Table'!C685,0),0)</f>
        <v>0</v>
      </c>
      <c r="J685" s="14">
        <f>IF(('S-Table'!$B685-$C$2)*('S-Table'!$B685-$D$2)=0,IF(('S-Table'!$C685-$C$3)*('S-Table'!$C685-$D$3)=0,'S-Table'!D685,0),0)</f>
        <v>0</v>
      </c>
      <c r="K685" s="14">
        <f>IF(('S-Table'!$B685-$C$2)*('S-Table'!$B685-$D$2)=0,IF(('S-Table'!$C685-$C$3)*('S-Table'!$C685-$D$3)=0,'S-Table'!E685,0),0)</f>
        <v>0</v>
      </c>
    </row>
    <row r="686" spans="6:11" x14ac:dyDescent="0.2">
      <c r="F686" s="14">
        <f>IF(G686=0,IF(G685=0,F685,F685+1),IF(G685=0,MAX(F$1:F685),MAX(F$1:F685)+1))</f>
        <v>21</v>
      </c>
      <c r="G686" s="14">
        <f>IF(('S-Table'!$B686-$C$2)*('S-Table'!$B686-$D$2)=0,IF(('S-Table'!$C686-$C$3)*('S-Table'!$C686-$D$3)=0,'S-Table'!A686,0),0)</f>
        <v>0</v>
      </c>
      <c r="H686" s="14">
        <f>IF(('S-Table'!$B686-$C$2)*('S-Table'!$B686-$D$2)=0,IF(('S-Table'!$C686-$C$3)*('S-Table'!$C686-$D$3)=0,'S-Table'!B686,0),0)</f>
        <v>0</v>
      </c>
      <c r="I686" s="14">
        <f>IF(('S-Table'!$B686-$C$2)*('S-Table'!$B686-$D$2)=0,IF(('S-Table'!$C686-$C$3)*('S-Table'!$C686-$D$3)=0,'S-Table'!C686,0),0)</f>
        <v>0</v>
      </c>
      <c r="J686" s="14">
        <f>IF(('S-Table'!$B686-$C$2)*('S-Table'!$B686-$D$2)=0,IF(('S-Table'!$C686-$C$3)*('S-Table'!$C686-$D$3)=0,'S-Table'!D686,0),0)</f>
        <v>0</v>
      </c>
      <c r="K686" s="14">
        <f>IF(('S-Table'!$B686-$C$2)*('S-Table'!$B686-$D$2)=0,IF(('S-Table'!$C686-$C$3)*('S-Table'!$C686-$D$3)=0,'S-Table'!E686,0),0)</f>
        <v>0</v>
      </c>
    </row>
    <row r="687" spans="6:11" x14ac:dyDescent="0.2">
      <c r="F687" s="14">
        <f>IF(G687=0,IF(G686=0,F686,F686+1),IF(G686=0,MAX(F$1:F686),MAX(F$1:F686)+1))</f>
        <v>21</v>
      </c>
      <c r="G687" s="14">
        <f>IF(('S-Table'!$B687-$C$2)*('S-Table'!$B687-$D$2)=0,IF(('S-Table'!$C687-$C$3)*('S-Table'!$C687-$D$3)=0,'S-Table'!A687,0),0)</f>
        <v>0</v>
      </c>
      <c r="H687" s="14">
        <f>IF(('S-Table'!$B687-$C$2)*('S-Table'!$B687-$D$2)=0,IF(('S-Table'!$C687-$C$3)*('S-Table'!$C687-$D$3)=0,'S-Table'!B687,0),0)</f>
        <v>0</v>
      </c>
      <c r="I687" s="14">
        <f>IF(('S-Table'!$B687-$C$2)*('S-Table'!$B687-$D$2)=0,IF(('S-Table'!$C687-$C$3)*('S-Table'!$C687-$D$3)=0,'S-Table'!C687,0),0)</f>
        <v>0</v>
      </c>
      <c r="J687" s="14">
        <f>IF(('S-Table'!$B687-$C$2)*('S-Table'!$B687-$D$2)=0,IF(('S-Table'!$C687-$C$3)*('S-Table'!$C687-$D$3)=0,'S-Table'!D687,0),0)</f>
        <v>0</v>
      </c>
      <c r="K687" s="14">
        <f>IF(('S-Table'!$B687-$C$2)*('S-Table'!$B687-$D$2)=0,IF(('S-Table'!$C687-$C$3)*('S-Table'!$C687-$D$3)=0,'S-Table'!E687,0),0)</f>
        <v>0</v>
      </c>
    </row>
    <row r="688" spans="6:11" x14ac:dyDescent="0.2">
      <c r="F688" s="14">
        <f>IF(G688=0,IF(G687=0,F687,F687+1),IF(G687=0,MAX(F$1:F687),MAX(F$1:F687)+1))</f>
        <v>21</v>
      </c>
      <c r="G688" s="14">
        <f>IF(('S-Table'!$B688-$C$2)*('S-Table'!$B688-$D$2)=0,IF(('S-Table'!$C688-$C$3)*('S-Table'!$C688-$D$3)=0,'S-Table'!A688,0),0)</f>
        <v>0</v>
      </c>
      <c r="H688" s="14">
        <f>IF(('S-Table'!$B688-$C$2)*('S-Table'!$B688-$D$2)=0,IF(('S-Table'!$C688-$C$3)*('S-Table'!$C688-$D$3)=0,'S-Table'!B688,0),0)</f>
        <v>0</v>
      </c>
      <c r="I688" s="14">
        <f>IF(('S-Table'!$B688-$C$2)*('S-Table'!$B688-$D$2)=0,IF(('S-Table'!$C688-$C$3)*('S-Table'!$C688-$D$3)=0,'S-Table'!C688,0),0)</f>
        <v>0</v>
      </c>
      <c r="J688" s="14">
        <f>IF(('S-Table'!$B688-$C$2)*('S-Table'!$B688-$D$2)=0,IF(('S-Table'!$C688-$C$3)*('S-Table'!$C688-$D$3)=0,'S-Table'!D688,0),0)</f>
        <v>0</v>
      </c>
      <c r="K688" s="14">
        <f>IF(('S-Table'!$B688-$C$2)*('S-Table'!$B688-$D$2)=0,IF(('S-Table'!$C688-$C$3)*('S-Table'!$C688-$D$3)=0,'S-Table'!E688,0),0)</f>
        <v>0</v>
      </c>
    </row>
    <row r="689" spans="6:11" x14ac:dyDescent="0.2">
      <c r="F689" s="14">
        <f>IF(G689=0,IF(G688=0,F688,F688+1),IF(G688=0,MAX(F$1:F688),MAX(F$1:F688)+1))</f>
        <v>21</v>
      </c>
      <c r="G689" s="14">
        <f>IF(('S-Table'!$B689-$C$2)*('S-Table'!$B689-$D$2)=0,IF(('S-Table'!$C689-$C$3)*('S-Table'!$C689-$D$3)=0,'S-Table'!A689,0),0)</f>
        <v>0</v>
      </c>
      <c r="H689" s="14">
        <f>IF(('S-Table'!$B689-$C$2)*('S-Table'!$B689-$D$2)=0,IF(('S-Table'!$C689-$C$3)*('S-Table'!$C689-$D$3)=0,'S-Table'!B689,0),0)</f>
        <v>0</v>
      </c>
      <c r="I689" s="14">
        <f>IF(('S-Table'!$B689-$C$2)*('S-Table'!$B689-$D$2)=0,IF(('S-Table'!$C689-$C$3)*('S-Table'!$C689-$D$3)=0,'S-Table'!C689,0),0)</f>
        <v>0</v>
      </c>
      <c r="J689" s="14">
        <f>IF(('S-Table'!$B689-$C$2)*('S-Table'!$B689-$D$2)=0,IF(('S-Table'!$C689-$C$3)*('S-Table'!$C689-$D$3)=0,'S-Table'!D689,0),0)</f>
        <v>0</v>
      </c>
      <c r="K689" s="14">
        <f>IF(('S-Table'!$B689-$C$2)*('S-Table'!$B689-$D$2)=0,IF(('S-Table'!$C689-$C$3)*('S-Table'!$C689-$D$3)=0,'S-Table'!E689,0),0)</f>
        <v>0</v>
      </c>
    </row>
    <row r="690" spans="6:11" x14ac:dyDescent="0.2">
      <c r="F690" s="14">
        <f>IF(G690=0,IF(G689=0,F689,F689+1),IF(G689=0,MAX(F$1:F689),MAX(F$1:F689)+1))</f>
        <v>21</v>
      </c>
      <c r="G690" s="14">
        <f>IF(('S-Table'!$B690-$C$2)*('S-Table'!$B690-$D$2)=0,IF(('S-Table'!$C690-$C$3)*('S-Table'!$C690-$D$3)=0,'S-Table'!A690,0),0)</f>
        <v>0</v>
      </c>
      <c r="H690" s="14">
        <f>IF(('S-Table'!$B690-$C$2)*('S-Table'!$B690-$D$2)=0,IF(('S-Table'!$C690-$C$3)*('S-Table'!$C690-$D$3)=0,'S-Table'!B690,0),0)</f>
        <v>0</v>
      </c>
      <c r="I690" s="14">
        <f>IF(('S-Table'!$B690-$C$2)*('S-Table'!$B690-$D$2)=0,IF(('S-Table'!$C690-$C$3)*('S-Table'!$C690-$D$3)=0,'S-Table'!C690,0),0)</f>
        <v>0</v>
      </c>
      <c r="J690" s="14">
        <f>IF(('S-Table'!$B690-$C$2)*('S-Table'!$B690-$D$2)=0,IF(('S-Table'!$C690-$C$3)*('S-Table'!$C690-$D$3)=0,'S-Table'!D690,0),0)</f>
        <v>0</v>
      </c>
      <c r="K690" s="14">
        <f>IF(('S-Table'!$B690-$C$2)*('S-Table'!$B690-$D$2)=0,IF(('S-Table'!$C690-$C$3)*('S-Table'!$C690-$D$3)=0,'S-Table'!E690,0),0)</f>
        <v>0</v>
      </c>
    </row>
    <row r="691" spans="6:11" x14ac:dyDescent="0.2">
      <c r="F691" s="14">
        <f>IF(G691=0,IF(G690=0,F690,F690+1),IF(G690=0,MAX(F$1:F690),MAX(F$1:F690)+1))</f>
        <v>21</v>
      </c>
      <c r="G691" s="14">
        <f>IF(('S-Table'!$B691-$C$2)*('S-Table'!$B691-$D$2)=0,IF(('S-Table'!$C691-$C$3)*('S-Table'!$C691-$D$3)=0,'S-Table'!A691,0),0)</f>
        <v>0</v>
      </c>
      <c r="H691" s="14">
        <f>IF(('S-Table'!$B691-$C$2)*('S-Table'!$B691-$D$2)=0,IF(('S-Table'!$C691-$C$3)*('S-Table'!$C691-$D$3)=0,'S-Table'!B691,0),0)</f>
        <v>0</v>
      </c>
      <c r="I691" s="14">
        <f>IF(('S-Table'!$B691-$C$2)*('S-Table'!$B691-$D$2)=0,IF(('S-Table'!$C691-$C$3)*('S-Table'!$C691-$D$3)=0,'S-Table'!C691,0),0)</f>
        <v>0</v>
      </c>
      <c r="J691" s="14">
        <f>IF(('S-Table'!$B691-$C$2)*('S-Table'!$B691-$D$2)=0,IF(('S-Table'!$C691-$C$3)*('S-Table'!$C691-$D$3)=0,'S-Table'!D691,0),0)</f>
        <v>0</v>
      </c>
      <c r="K691" s="14">
        <f>IF(('S-Table'!$B691-$C$2)*('S-Table'!$B691-$D$2)=0,IF(('S-Table'!$C691-$C$3)*('S-Table'!$C691-$D$3)=0,'S-Table'!E691,0),0)</f>
        <v>0</v>
      </c>
    </row>
    <row r="692" spans="6:11" x14ac:dyDescent="0.2">
      <c r="F692" s="14">
        <f>IF(G692=0,IF(G691=0,F691,F691+1),IF(G691=0,MAX(F$1:F691),MAX(F$1:F691)+1))</f>
        <v>21</v>
      </c>
      <c r="G692" s="14">
        <f>IF(('S-Table'!$B692-$C$2)*('S-Table'!$B692-$D$2)=0,IF(('S-Table'!$C692-$C$3)*('S-Table'!$C692-$D$3)=0,'S-Table'!A692,0),0)</f>
        <v>0</v>
      </c>
      <c r="H692" s="14">
        <f>IF(('S-Table'!$B692-$C$2)*('S-Table'!$B692-$D$2)=0,IF(('S-Table'!$C692-$C$3)*('S-Table'!$C692-$D$3)=0,'S-Table'!B692,0),0)</f>
        <v>0</v>
      </c>
      <c r="I692" s="14">
        <f>IF(('S-Table'!$B692-$C$2)*('S-Table'!$B692-$D$2)=0,IF(('S-Table'!$C692-$C$3)*('S-Table'!$C692-$D$3)=0,'S-Table'!C692,0),0)</f>
        <v>0</v>
      </c>
      <c r="J692" s="14">
        <f>IF(('S-Table'!$B692-$C$2)*('S-Table'!$B692-$D$2)=0,IF(('S-Table'!$C692-$C$3)*('S-Table'!$C692-$D$3)=0,'S-Table'!D692,0),0)</f>
        <v>0</v>
      </c>
      <c r="K692" s="14">
        <f>IF(('S-Table'!$B692-$C$2)*('S-Table'!$B692-$D$2)=0,IF(('S-Table'!$C692-$C$3)*('S-Table'!$C692-$D$3)=0,'S-Table'!E692,0),0)</f>
        <v>0</v>
      </c>
    </row>
    <row r="693" spans="6:11" x14ac:dyDescent="0.2">
      <c r="F693" s="14">
        <f>IF(G693=0,IF(G692=0,F692,F692+1),IF(G692=0,MAX(F$1:F692),MAX(F$1:F692)+1))</f>
        <v>21</v>
      </c>
      <c r="G693" s="14">
        <f>IF(('S-Table'!$B693-$C$2)*('S-Table'!$B693-$D$2)=0,IF(('S-Table'!$C693-$C$3)*('S-Table'!$C693-$D$3)=0,'S-Table'!A693,0),0)</f>
        <v>0</v>
      </c>
      <c r="H693" s="14">
        <f>IF(('S-Table'!$B693-$C$2)*('S-Table'!$B693-$D$2)=0,IF(('S-Table'!$C693-$C$3)*('S-Table'!$C693-$D$3)=0,'S-Table'!B693,0),0)</f>
        <v>0</v>
      </c>
      <c r="I693" s="14">
        <f>IF(('S-Table'!$B693-$C$2)*('S-Table'!$B693-$D$2)=0,IF(('S-Table'!$C693-$C$3)*('S-Table'!$C693-$D$3)=0,'S-Table'!C693,0),0)</f>
        <v>0</v>
      </c>
      <c r="J693" s="14">
        <f>IF(('S-Table'!$B693-$C$2)*('S-Table'!$B693-$D$2)=0,IF(('S-Table'!$C693-$C$3)*('S-Table'!$C693-$D$3)=0,'S-Table'!D693,0),0)</f>
        <v>0</v>
      </c>
      <c r="K693" s="14">
        <f>IF(('S-Table'!$B693-$C$2)*('S-Table'!$B693-$D$2)=0,IF(('S-Table'!$C693-$C$3)*('S-Table'!$C693-$D$3)=0,'S-Table'!E693,0),0)</f>
        <v>0</v>
      </c>
    </row>
    <row r="694" spans="6:11" x14ac:dyDescent="0.2">
      <c r="F694" s="14">
        <f>IF(G694=0,IF(G693=0,F693,F693+1),IF(G693=0,MAX(F$1:F693),MAX(F$1:F693)+1))</f>
        <v>21</v>
      </c>
      <c r="G694" s="14">
        <f>IF(('S-Table'!$B694-$C$2)*('S-Table'!$B694-$D$2)=0,IF(('S-Table'!$C694-$C$3)*('S-Table'!$C694-$D$3)=0,'S-Table'!A694,0),0)</f>
        <v>0</v>
      </c>
      <c r="H694" s="14">
        <f>IF(('S-Table'!$B694-$C$2)*('S-Table'!$B694-$D$2)=0,IF(('S-Table'!$C694-$C$3)*('S-Table'!$C694-$D$3)=0,'S-Table'!B694,0),0)</f>
        <v>0</v>
      </c>
      <c r="I694" s="14">
        <f>IF(('S-Table'!$B694-$C$2)*('S-Table'!$B694-$D$2)=0,IF(('S-Table'!$C694-$C$3)*('S-Table'!$C694-$D$3)=0,'S-Table'!C694,0),0)</f>
        <v>0</v>
      </c>
      <c r="J694" s="14">
        <f>IF(('S-Table'!$B694-$C$2)*('S-Table'!$B694-$D$2)=0,IF(('S-Table'!$C694-$C$3)*('S-Table'!$C694-$D$3)=0,'S-Table'!D694,0),0)</f>
        <v>0</v>
      </c>
      <c r="K694" s="14">
        <f>IF(('S-Table'!$B694-$C$2)*('S-Table'!$B694-$D$2)=0,IF(('S-Table'!$C694-$C$3)*('S-Table'!$C694-$D$3)=0,'S-Table'!E694,0),0)</f>
        <v>0</v>
      </c>
    </row>
    <row r="695" spans="6:11" x14ac:dyDescent="0.2">
      <c r="F695" s="14">
        <f>IF(G695=0,IF(G694=0,F694,F694+1),IF(G694=0,MAX(F$1:F694),MAX(F$1:F694)+1))</f>
        <v>21</v>
      </c>
      <c r="G695" s="14">
        <f>IF(('S-Table'!$B695-$C$2)*('S-Table'!$B695-$D$2)=0,IF(('S-Table'!$C695-$C$3)*('S-Table'!$C695-$D$3)=0,'S-Table'!A695,0),0)</f>
        <v>0</v>
      </c>
      <c r="H695" s="14">
        <f>IF(('S-Table'!$B695-$C$2)*('S-Table'!$B695-$D$2)=0,IF(('S-Table'!$C695-$C$3)*('S-Table'!$C695-$D$3)=0,'S-Table'!B695,0),0)</f>
        <v>0</v>
      </c>
      <c r="I695" s="14">
        <f>IF(('S-Table'!$B695-$C$2)*('S-Table'!$B695-$D$2)=0,IF(('S-Table'!$C695-$C$3)*('S-Table'!$C695-$D$3)=0,'S-Table'!C695,0),0)</f>
        <v>0</v>
      </c>
      <c r="J695" s="14">
        <f>IF(('S-Table'!$B695-$C$2)*('S-Table'!$B695-$D$2)=0,IF(('S-Table'!$C695-$C$3)*('S-Table'!$C695-$D$3)=0,'S-Table'!D695,0),0)</f>
        <v>0</v>
      </c>
      <c r="K695" s="14">
        <f>IF(('S-Table'!$B695-$C$2)*('S-Table'!$B695-$D$2)=0,IF(('S-Table'!$C695-$C$3)*('S-Table'!$C695-$D$3)=0,'S-Table'!E695,0),0)</f>
        <v>0</v>
      </c>
    </row>
    <row r="696" spans="6:11" x14ac:dyDescent="0.2">
      <c r="F696" s="14">
        <f>IF(G696=0,IF(G695=0,F695,F695+1),IF(G695=0,MAX(F$1:F695),MAX(F$1:F695)+1))</f>
        <v>21</v>
      </c>
      <c r="G696" s="14">
        <f>IF(('S-Table'!$B696-$C$2)*('S-Table'!$B696-$D$2)=0,IF(('S-Table'!$C696-$C$3)*('S-Table'!$C696-$D$3)=0,'S-Table'!A696,0),0)</f>
        <v>0</v>
      </c>
      <c r="H696" s="14">
        <f>IF(('S-Table'!$B696-$C$2)*('S-Table'!$B696-$D$2)=0,IF(('S-Table'!$C696-$C$3)*('S-Table'!$C696-$D$3)=0,'S-Table'!B696,0),0)</f>
        <v>0</v>
      </c>
      <c r="I696" s="14">
        <f>IF(('S-Table'!$B696-$C$2)*('S-Table'!$B696-$D$2)=0,IF(('S-Table'!$C696-$C$3)*('S-Table'!$C696-$D$3)=0,'S-Table'!C696,0),0)</f>
        <v>0</v>
      </c>
      <c r="J696" s="14">
        <f>IF(('S-Table'!$B696-$C$2)*('S-Table'!$B696-$D$2)=0,IF(('S-Table'!$C696-$C$3)*('S-Table'!$C696-$D$3)=0,'S-Table'!D696,0),0)</f>
        <v>0</v>
      </c>
      <c r="K696" s="14">
        <f>IF(('S-Table'!$B696-$C$2)*('S-Table'!$B696-$D$2)=0,IF(('S-Table'!$C696-$C$3)*('S-Table'!$C696-$D$3)=0,'S-Table'!E696,0),0)</f>
        <v>0</v>
      </c>
    </row>
    <row r="697" spans="6:11" x14ac:dyDescent="0.2">
      <c r="F697" s="14">
        <f>IF(G697=0,IF(G696=0,F696,F696+1),IF(G696=0,MAX(F$1:F696),MAX(F$1:F696)+1))</f>
        <v>21</v>
      </c>
      <c r="G697" s="14">
        <f>IF(('S-Table'!$B697-$C$2)*('S-Table'!$B697-$D$2)=0,IF(('S-Table'!$C697-$C$3)*('S-Table'!$C697-$D$3)=0,'S-Table'!A697,0),0)</f>
        <v>0</v>
      </c>
      <c r="H697" s="14">
        <f>IF(('S-Table'!$B697-$C$2)*('S-Table'!$B697-$D$2)=0,IF(('S-Table'!$C697-$C$3)*('S-Table'!$C697-$D$3)=0,'S-Table'!B697,0),0)</f>
        <v>0</v>
      </c>
      <c r="I697" s="14">
        <f>IF(('S-Table'!$B697-$C$2)*('S-Table'!$B697-$D$2)=0,IF(('S-Table'!$C697-$C$3)*('S-Table'!$C697-$D$3)=0,'S-Table'!C697,0),0)</f>
        <v>0</v>
      </c>
      <c r="J697" s="14">
        <f>IF(('S-Table'!$B697-$C$2)*('S-Table'!$B697-$D$2)=0,IF(('S-Table'!$C697-$C$3)*('S-Table'!$C697-$D$3)=0,'S-Table'!D697,0),0)</f>
        <v>0</v>
      </c>
      <c r="K697" s="14">
        <f>IF(('S-Table'!$B697-$C$2)*('S-Table'!$B697-$D$2)=0,IF(('S-Table'!$C697-$C$3)*('S-Table'!$C697-$D$3)=0,'S-Table'!E697,0),0)</f>
        <v>0</v>
      </c>
    </row>
    <row r="698" spans="6:11" x14ac:dyDescent="0.2">
      <c r="F698" s="14">
        <f>IF(G698=0,IF(G697=0,F697,F697+1),IF(G697=0,MAX(F$1:F697),MAX(F$1:F697)+1))</f>
        <v>21</v>
      </c>
      <c r="G698" s="14">
        <f>IF(('S-Table'!$B698-$C$2)*('S-Table'!$B698-$D$2)=0,IF(('S-Table'!$C698-$C$3)*('S-Table'!$C698-$D$3)=0,'S-Table'!A698,0),0)</f>
        <v>0</v>
      </c>
      <c r="H698" s="14">
        <f>IF(('S-Table'!$B698-$C$2)*('S-Table'!$B698-$D$2)=0,IF(('S-Table'!$C698-$C$3)*('S-Table'!$C698-$D$3)=0,'S-Table'!B698,0),0)</f>
        <v>0</v>
      </c>
      <c r="I698" s="14">
        <f>IF(('S-Table'!$B698-$C$2)*('S-Table'!$B698-$D$2)=0,IF(('S-Table'!$C698-$C$3)*('S-Table'!$C698-$D$3)=0,'S-Table'!C698,0),0)</f>
        <v>0</v>
      </c>
      <c r="J698" s="14">
        <f>IF(('S-Table'!$B698-$C$2)*('S-Table'!$B698-$D$2)=0,IF(('S-Table'!$C698-$C$3)*('S-Table'!$C698-$D$3)=0,'S-Table'!D698,0),0)</f>
        <v>0</v>
      </c>
      <c r="K698" s="14">
        <f>IF(('S-Table'!$B698-$C$2)*('S-Table'!$B698-$D$2)=0,IF(('S-Table'!$C698-$C$3)*('S-Table'!$C698-$D$3)=0,'S-Table'!E698,0),0)</f>
        <v>0</v>
      </c>
    </row>
    <row r="699" spans="6:11" x14ac:dyDescent="0.2">
      <c r="F699" s="14">
        <f>IF(G699=0,IF(G698=0,F698,F698+1),IF(G698=0,MAX(F$1:F698),MAX(F$1:F698)+1))</f>
        <v>21</v>
      </c>
      <c r="G699" s="14">
        <f>IF(('S-Table'!$B699-$C$2)*('S-Table'!$B699-$D$2)=0,IF(('S-Table'!$C699-$C$3)*('S-Table'!$C699-$D$3)=0,'S-Table'!A699,0),0)</f>
        <v>0</v>
      </c>
      <c r="H699" s="14">
        <f>IF(('S-Table'!$B699-$C$2)*('S-Table'!$B699-$D$2)=0,IF(('S-Table'!$C699-$C$3)*('S-Table'!$C699-$D$3)=0,'S-Table'!B699,0),0)</f>
        <v>0</v>
      </c>
      <c r="I699" s="14">
        <f>IF(('S-Table'!$B699-$C$2)*('S-Table'!$B699-$D$2)=0,IF(('S-Table'!$C699-$C$3)*('S-Table'!$C699-$D$3)=0,'S-Table'!C699,0),0)</f>
        <v>0</v>
      </c>
      <c r="J699" s="14">
        <f>IF(('S-Table'!$B699-$C$2)*('S-Table'!$B699-$D$2)=0,IF(('S-Table'!$C699-$C$3)*('S-Table'!$C699-$D$3)=0,'S-Table'!D699,0),0)</f>
        <v>0</v>
      </c>
      <c r="K699" s="14">
        <f>IF(('S-Table'!$B699-$C$2)*('S-Table'!$B699-$D$2)=0,IF(('S-Table'!$C699-$C$3)*('S-Table'!$C699-$D$3)=0,'S-Table'!E699,0),0)</f>
        <v>0</v>
      </c>
    </row>
    <row r="700" spans="6:11" x14ac:dyDescent="0.2">
      <c r="F700" s="14">
        <f>IF(G700=0,IF(G699=0,F699,F699+1),IF(G699=0,MAX(F$1:F699),MAX(F$1:F699)+1))</f>
        <v>21</v>
      </c>
      <c r="G700" s="14">
        <f>IF(('S-Table'!$B700-$C$2)*('S-Table'!$B700-$D$2)=0,IF(('S-Table'!$C700-$C$3)*('S-Table'!$C700-$D$3)=0,'S-Table'!A700,0),0)</f>
        <v>0</v>
      </c>
      <c r="H700" s="14">
        <f>IF(('S-Table'!$B700-$C$2)*('S-Table'!$B700-$D$2)=0,IF(('S-Table'!$C700-$C$3)*('S-Table'!$C700-$D$3)=0,'S-Table'!B700,0),0)</f>
        <v>0</v>
      </c>
      <c r="I700" s="14">
        <f>IF(('S-Table'!$B700-$C$2)*('S-Table'!$B700-$D$2)=0,IF(('S-Table'!$C700-$C$3)*('S-Table'!$C700-$D$3)=0,'S-Table'!C700,0),0)</f>
        <v>0</v>
      </c>
      <c r="J700" s="14">
        <f>IF(('S-Table'!$B700-$C$2)*('S-Table'!$B700-$D$2)=0,IF(('S-Table'!$C700-$C$3)*('S-Table'!$C700-$D$3)=0,'S-Table'!D700,0),0)</f>
        <v>0</v>
      </c>
      <c r="K700" s="14">
        <f>IF(('S-Table'!$B700-$C$2)*('S-Table'!$B700-$D$2)=0,IF(('S-Table'!$C700-$C$3)*('S-Table'!$C700-$D$3)=0,'S-Table'!E700,0),0)</f>
        <v>0</v>
      </c>
    </row>
    <row r="701" spans="6:11" x14ac:dyDescent="0.2">
      <c r="F701" s="14">
        <f>IF(G701=0,IF(G700=0,F700,F700+1),IF(G700=0,MAX(F$1:F700),MAX(F$1:F700)+1))</f>
        <v>21</v>
      </c>
      <c r="G701" s="14">
        <f>IF(('S-Table'!$B701-$C$2)*('S-Table'!$B701-$D$2)=0,IF(('S-Table'!$C701-$C$3)*('S-Table'!$C701-$D$3)=0,'S-Table'!A701,0),0)</f>
        <v>0</v>
      </c>
      <c r="H701" s="14">
        <f>IF(('S-Table'!$B701-$C$2)*('S-Table'!$B701-$D$2)=0,IF(('S-Table'!$C701-$C$3)*('S-Table'!$C701-$D$3)=0,'S-Table'!B701,0),0)</f>
        <v>0</v>
      </c>
      <c r="I701" s="14">
        <f>IF(('S-Table'!$B701-$C$2)*('S-Table'!$B701-$D$2)=0,IF(('S-Table'!$C701-$C$3)*('S-Table'!$C701-$D$3)=0,'S-Table'!C701,0),0)</f>
        <v>0</v>
      </c>
      <c r="J701" s="14">
        <f>IF(('S-Table'!$B701-$C$2)*('S-Table'!$B701-$D$2)=0,IF(('S-Table'!$C701-$C$3)*('S-Table'!$C701-$D$3)=0,'S-Table'!D701,0),0)</f>
        <v>0</v>
      </c>
      <c r="K701" s="14">
        <f>IF(('S-Table'!$B701-$C$2)*('S-Table'!$B701-$D$2)=0,IF(('S-Table'!$C701-$C$3)*('S-Table'!$C701-$D$3)=0,'S-Table'!E701,0),0)</f>
        <v>0</v>
      </c>
    </row>
    <row r="702" spans="6:11" x14ac:dyDescent="0.2">
      <c r="F702" s="14">
        <f>IF(G702=0,IF(G701=0,F701,F701+1),IF(G701=0,MAX(F$1:F701),MAX(F$1:F701)+1))</f>
        <v>21</v>
      </c>
      <c r="G702" s="14">
        <f>IF(('S-Table'!$B702-$C$2)*('S-Table'!$B702-$D$2)=0,IF(('S-Table'!$C702-$C$3)*('S-Table'!$C702-$D$3)=0,'S-Table'!A702,0),0)</f>
        <v>0</v>
      </c>
      <c r="H702" s="14">
        <f>IF(('S-Table'!$B702-$C$2)*('S-Table'!$B702-$D$2)=0,IF(('S-Table'!$C702-$C$3)*('S-Table'!$C702-$D$3)=0,'S-Table'!B702,0),0)</f>
        <v>0</v>
      </c>
      <c r="I702" s="14">
        <f>IF(('S-Table'!$B702-$C$2)*('S-Table'!$B702-$D$2)=0,IF(('S-Table'!$C702-$C$3)*('S-Table'!$C702-$D$3)=0,'S-Table'!C702,0),0)</f>
        <v>0</v>
      </c>
      <c r="J702" s="14">
        <f>IF(('S-Table'!$B702-$C$2)*('S-Table'!$B702-$D$2)=0,IF(('S-Table'!$C702-$C$3)*('S-Table'!$C702-$D$3)=0,'S-Table'!D702,0),0)</f>
        <v>0</v>
      </c>
      <c r="K702" s="14">
        <f>IF(('S-Table'!$B702-$C$2)*('S-Table'!$B702-$D$2)=0,IF(('S-Table'!$C702-$C$3)*('S-Table'!$C702-$D$3)=0,'S-Table'!E702,0),0)</f>
        <v>0</v>
      </c>
    </row>
    <row r="703" spans="6:11" x14ac:dyDescent="0.2">
      <c r="F703" s="14">
        <f>IF(G703=0,IF(G702=0,F702,F702+1),IF(G702=0,MAX(F$1:F702),MAX(F$1:F702)+1))</f>
        <v>21</v>
      </c>
      <c r="G703" s="14">
        <f>IF(('S-Table'!$B703-$C$2)*('S-Table'!$B703-$D$2)=0,IF(('S-Table'!$C703-$C$3)*('S-Table'!$C703-$D$3)=0,'S-Table'!A703,0),0)</f>
        <v>0</v>
      </c>
      <c r="H703" s="14">
        <f>IF(('S-Table'!$B703-$C$2)*('S-Table'!$B703-$D$2)=0,IF(('S-Table'!$C703-$C$3)*('S-Table'!$C703-$D$3)=0,'S-Table'!B703,0),0)</f>
        <v>0</v>
      </c>
      <c r="I703" s="14">
        <f>IF(('S-Table'!$B703-$C$2)*('S-Table'!$B703-$D$2)=0,IF(('S-Table'!$C703-$C$3)*('S-Table'!$C703-$D$3)=0,'S-Table'!C703,0),0)</f>
        <v>0</v>
      </c>
      <c r="J703" s="14">
        <f>IF(('S-Table'!$B703-$C$2)*('S-Table'!$B703-$D$2)=0,IF(('S-Table'!$C703-$C$3)*('S-Table'!$C703-$D$3)=0,'S-Table'!D703,0),0)</f>
        <v>0</v>
      </c>
      <c r="K703" s="14">
        <f>IF(('S-Table'!$B703-$C$2)*('S-Table'!$B703-$D$2)=0,IF(('S-Table'!$C703-$C$3)*('S-Table'!$C703-$D$3)=0,'S-Table'!E703,0),0)</f>
        <v>0</v>
      </c>
    </row>
    <row r="704" spans="6:11" x14ac:dyDescent="0.2">
      <c r="F704" s="14">
        <f>IF(G704=0,IF(G703=0,F703,F703+1),IF(G703=0,MAX(F$1:F703),MAX(F$1:F703)+1))</f>
        <v>21</v>
      </c>
      <c r="G704" s="14">
        <f>IF(('S-Table'!$B704-$C$2)*('S-Table'!$B704-$D$2)=0,IF(('S-Table'!$C704-$C$3)*('S-Table'!$C704-$D$3)=0,'S-Table'!A704,0),0)</f>
        <v>0</v>
      </c>
      <c r="H704" s="14">
        <f>IF(('S-Table'!$B704-$C$2)*('S-Table'!$B704-$D$2)=0,IF(('S-Table'!$C704-$C$3)*('S-Table'!$C704-$D$3)=0,'S-Table'!B704,0),0)</f>
        <v>0</v>
      </c>
      <c r="I704" s="14">
        <f>IF(('S-Table'!$B704-$C$2)*('S-Table'!$B704-$D$2)=0,IF(('S-Table'!$C704-$C$3)*('S-Table'!$C704-$D$3)=0,'S-Table'!C704,0),0)</f>
        <v>0</v>
      </c>
      <c r="J704" s="14">
        <f>IF(('S-Table'!$B704-$C$2)*('S-Table'!$B704-$D$2)=0,IF(('S-Table'!$C704-$C$3)*('S-Table'!$C704-$D$3)=0,'S-Table'!D704,0),0)</f>
        <v>0</v>
      </c>
      <c r="K704" s="14">
        <f>IF(('S-Table'!$B704-$C$2)*('S-Table'!$B704-$D$2)=0,IF(('S-Table'!$C704-$C$3)*('S-Table'!$C704-$D$3)=0,'S-Table'!E704,0),0)</f>
        <v>0</v>
      </c>
    </row>
    <row r="705" spans="6:11" x14ac:dyDescent="0.2">
      <c r="F705" s="14">
        <f>IF(G705=0,IF(G704=0,F704,F704+1),IF(G704=0,MAX(F$1:F704),MAX(F$1:F704)+1))</f>
        <v>21</v>
      </c>
      <c r="G705" s="14">
        <f>IF(('S-Table'!$B705-$C$2)*('S-Table'!$B705-$D$2)=0,IF(('S-Table'!$C705-$C$3)*('S-Table'!$C705-$D$3)=0,'S-Table'!A705,0),0)</f>
        <v>0</v>
      </c>
      <c r="H705" s="14">
        <f>IF(('S-Table'!$B705-$C$2)*('S-Table'!$B705-$D$2)=0,IF(('S-Table'!$C705-$C$3)*('S-Table'!$C705-$D$3)=0,'S-Table'!B705,0),0)</f>
        <v>0</v>
      </c>
      <c r="I705" s="14">
        <f>IF(('S-Table'!$B705-$C$2)*('S-Table'!$B705-$D$2)=0,IF(('S-Table'!$C705-$C$3)*('S-Table'!$C705-$D$3)=0,'S-Table'!C705,0),0)</f>
        <v>0</v>
      </c>
      <c r="J705" s="14">
        <f>IF(('S-Table'!$B705-$C$2)*('S-Table'!$B705-$D$2)=0,IF(('S-Table'!$C705-$C$3)*('S-Table'!$C705-$D$3)=0,'S-Table'!D705,0),0)</f>
        <v>0</v>
      </c>
      <c r="K705" s="14">
        <f>IF(('S-Table'!$B705-$C$2)*('S-Table'!$B705-$D$2)=0,IF(('S-Table'!$C705-$C$3)*('S-Table'!$C705-$D$3)=0,'S-Table'!E705,0),0)</f>
        <v>0</v>
      </c>
    </row>
    <row r="706" spans="6:11" x14ac:dyDescent="0.2">
      <c r="F706" s="14">
        <f>IF(G706=0,IF(G705=0,F705,F705+1),IF(G705=0,MAX(F$1:F705),MAX(F$1:F705)+1))</f>
        <v>21</v>
      </c>
      <c r="G706" s="14">
        <f>IF(('S-Table'!$B706-$C$2)*('S-Table'!$B706-$D$2)=0,IF(('S-Table'!$C706-$C$3)*('S-Table'!$C706-$D$3)=0,'S-Table'!A706,0),0)</f>
        <v>0</v>
      </c>
      <c r="H706" s="14">
        <f>IF(('S-Table'!$B706-$C$2)*('S-Table'!$B706-$D$2)=0,IF(('S-Table'!$C706-$C$3)*('S-Table'!$C706-$D$3)=0,'S-Table'!B706,0),0)</f>
        <v>0</v>
      </c>
      <c r="I706" s="14">
        <f>IF(('S-Table'!$B706-$C$2)*('S-Table'!$B706-$D$2)=0,IF(('S-Table'!$C706-$C$3)*('S-Table'!$C706-$D$3)=0,'S-Table'!C706,0),0)</f>
        <v>0</v>
      </c>
      <c r="J706" s="14">
        <f>IF(('S-Table'!$B706-$C$2)*('S-Table'!$B706-$D$2)=0,IF(('S-Table'!$C706-$C$3)*('S-Table'!$C706-$D$3)=0,'S-Table'!D706,0),0)</f>
        <v>0</v>
      </c>
      <c r="K706" s="14">
        <f>IF(('S-Table'!$B706-$C$2)*('S-Table'!$B706-$D$2)=0,IF(('S-Table'!$C706-$C$3)*('S-Table'!$C706-$D$3)=0,'S-Table'!E706,0),0)</f>
        <v>0</v>
      </c>
    </row>
    <row r="707" spans="6:11" x14ac:dyDescent="0.2">
      <c r="F707" s="14">
        <f>IF(G707=0,IF(G706=0,F706,F706+1),IF(G706=0,MAX(F$1:F706),MAX(F$1:F706)+1))</f>
        <v>21</v>
      </c>
      <c r="G707" s="14">
        <f>IF(('S-Table'!$B707-$C$2)*('S-Table'!$B707-$D$2)=0,IF(('S-Table'!$C707-$C$3)*('S-Table'!$C707-$D$3)=0,'S-Table'!A707,0),0)</f>
        <v>0</v>
      </c>
      <c r="H707" s="14">
        <f>IF(('S-Table'!$B707-$C$2)*('S-Table'!$B707-$D$2)=0,IF(('S-Table'!$C707-$C$3)*('S-Table'!$C707-$D$3)=0,'S-Table'!B707,0),0)</f>
        <v>0</v>
      </c>
      <c r="I707" s="14">
        <f>IF(('S-Table'!$B707-$C$2)*('S-Table'!$B707-$D$2)=0,IF(('S-Table'!$C707-$C$3)*('S-Table'!$C707-$D$3)=0,'S-Table'!C707,0),0)</f>
        <v>0</v>
      </c>
      <c r="J707" s="14">
        <f>IF(('S-Table'!$B707-$C$2)*('S-Table'!$B707-$D$2)=0,IF(('S-Table'!$C707-$C$3)*('S-Table'!$C707-$D$3)=0,'S-Table'!D707,0),0)</f>
        <v>0</v>
      </c>
      <c r="K707" s="14">
        <f>IF(('S-Table'!$B707-$C$2)*('S-Table'!$B707-$D$2)=0,IF(('S-Table'!$C707-$C$3)*('S-Table'!$C707-$D$3)=0,'S-Table'!E707,0),0)</f>
        <v>0</v>
      </c>
    </row>
    <row r="708" spans="6:11" x14ac:dyDescent="0.2">
      <c r="F708" s="14">
        <f>IF(G708=0,IF(G707=0,F707,F707+1),IF(G707=0,MAX(F$1:F707),MAX(F$1:F707)+1))</f>
        <v>21</v>
      </c>
      <c r="G708" s="14">
        <f>IF(('S-Table'!$B708-$C$2)*('S-Table'!$B708-$D$2)=0,IF(('S-Table'!$C708-$C$3)*('S-Table'!$C708-$D$3)=0,'S-Table'!A708,0),0)</f>
        <v>0</v>
      </c>
      <c r="H708" s="14">
        <f>IF(('S-Table'!$B708-$C$2)*('S-Table'!$B708-$D$2)=0,IF(('S-Table'!$C708-$C$3)*('S-Table'!$C708-$D$3)=0,'S-Table'!B708,0),0)</f>
        <v>0</v>
      </c>
      <c r="I708" s="14">
        <f>IF(('S-Table'!$B708-$C$2)*('S-Table'!$B708-$D$2)=0,IF(('S-Table'!$C708-$C$3)*('S-Table'!$C708-$D$3)=0,'S-Table'!C708,0),0)</f>
        <v>0</v>
      </c>
      <c r="J708" s="14">
        <f>IF(('S-Table'!$B708-$C$2)*('S-Table'!$B708-$D$2)=0,IF(('S-Table'!$C708-$C$3)*('S-Table'!$C708-$D$3)=0,'S-Table'!D708,0),0)</f>
        <v>0</v>
      </c>
      <c r="K708" s="14">
        <f>IF(('S-Table'!$B708-$C$2)*('S-Table'!$B708-$D$2)=0,IF(('S-Table'!$C708-$C$3)*('S-Table'!$C708-$D$3)=0,'S-Table'!E708,0),0)</f>
        <v>0</v>
      </c>
    </row>
    <row r="709" spans="6:11" x14ac:dyDescent="0.2">
      <c r="F709" s="14">
        <f>IF(G709=0,IF(G708=0,F708,F708+1),IF(G708=0,MAX(F$1:F708),MAX(F$1:F708)+1))</f>
        <v>21</v>
      </c>
      <c r="G709" s="14">
        <f>IF(('S-Table'!$B709-$C$2)*('S-Table'!$B709-$D$2)=0,IF(('S-Table'!$C709-$C$3)*('S-Table'!$C709-$D$3)=0,'S-Table'!A709,0),0)</f>
        <v>0</v>
      </c>
      <c r="H709" s="14">
        <f>IF(('S-Table'!$B709-$C$2)*('S-Table'!$B709-$D$2)=0,IF(('S-Table'!$C709-$C$3)*('S-Table'!$C709-$D$3)=0,'S-Table'!B709,0),0)</f>
        <v>0</v>
      </c>
      <c r="I709" s="14">
        <f>IF(('S-Table'!$B709-$C$2)*('S-Table'!$B709-$D$2)=0,IF(('S-Table'!$C709-$C$3)*('S-Table'!$C709-$D$3)=0,'S-Table'!C709,0),0)</f>
        <v>0</v>
      </c>
      <c r="J709" s="14">
        <f>IF(('S-Table'!$B709-$C$2)*('S-Table'!$B709-$D$2)=0,IF(('S-Table'!$C709-$C$3)*('S-Table'!$C709-$D$3)=0,'S-Table'!D709,0),0)</f>
        <v>0</v>
      </c>
      <c r="K709" s="14">
        <f>IF(('S-Table'!$B709-$C$2)*('S-Table'!$B709-$D$2)=0,IF(('S-Table'!$C709-$C$3)*('S-Table'!$C709-$D$3)=0,'S-Table'!E709,0),0)</f>
        <v>0</v>
      </c>
    </row>
    <row r="710" spans="6:11" x14ac:dyDescent="0.2">
      <c r="F710" s="14">
        <f>IF(G710=0,IF(G709=0,F709,F709+1),IF(G709=0,MAX(F$1:F709),MAX(F$1:F709)+1))</f>
        <v>21</v>
      </c>
      <c r="G710" s="14">
        <f>IF(('S-Table'!$B710-$C$2)*('S-Table'!$B710-$D$2)=0,IF(('S-Table'!$C710-$C$3)*('S-Table'!$C710-$D$3)=0,'S-Table'!A710,0),0)</f>
        <v>0</v>
      </c>
      <c r="H710" s="14">
        <f>IF(('S-Table'!$B710-$C$2)*('S-Table'!$B710-$D$2)=0,IF(('S-Table'!$C710-$C$3)*('S-Table'!$C710-$D$3)=0,'S-Table'!B710,0),0)</f>
        <v>0</v>
      </c>
      <c r="I710" s="14">
        <f>IF(('S-Table'!$B710-$C$2)*('S-Table'!$B710-$D$2)=0,IF(('S-Table'!$C710-$C$3)*('S-Table'!$C710-$D$3)=0,'S-Table'!C710,0),0)</f>
        <v>0</v>
      </c>
      <c r="J710" s="14">
        <f>IF(('S-Table'!$B710-$C$2)*('S-Table'!$B710-$D$2)=0,IF(('S-Table'!$C710-$C$3)*('S-Table'!$C710-$D$3)=0,'S-Table'!D710,0),0)</f>
        <v>0</v>
      </c>
      <c r="K710" s="14">
        <f>IF(('S-Table'!$B710-$C$2)*('S-Table'!$B710-$D$2)=0,IF(('S-Table'!$C710-$C$3)*('S-Table'!$C710-$D$3)=0,'S-Table'!E710,0),0)</f>
        <v>0</v>
      </c>
    </row>
    <row r="711" spans="6:11" x14ac:dyDescent="0.2">
      <c r="F711" s="14">
        <f>IF(G711=0,IF(G710=0,F710,F710+1),IF(G710=0,MAX(F$1:F710),MAX(F$1:F710)+1))</f>
        <v>21</v>
      </c>
      <c r="G711" s="14">
        <f>IF(('S-Table'!$B711-$C$2)*('S-Table'!$B711-$D$2)=0,IF(('S-Table'!$C711-$C$3)*('S-Table'!$C711-$D$3)=0,'S-Table'!A711,0),0)</f>
        <v>0</v>
      </c>
      <c r="H711" s="14">
        <f>IF(('S-Table'!$B711-$C$2)*('S-Table'!$B711-$D$2)=0,IF(('S-Table'!$C711-$C$3)*('S-Table'!$C711-$D$3)=0,'S-Table'!B711,0),0)</f>
        <v>0</v>
      </c>
      <c r="I711" s="14">
        <f>IF(('S-Table'!$B711-$C$2)*('S-Table'!$B711-$D$2)=0,IF(('S-Table'!$C711-$C$3)*('S-Table'!$C711-$D$3)=0,'S-Table'!C711,0),0)</f>
        <v>0</v>
      </c>
      <c r="J711" s="14">
        <f>IF(('S-Table'!$B711-$C$2)*('S-Table'!$B711-$D$2)=0,IF(('S-Table'!$C711-$C$3)*('S-Table'!$C711-$D$3)=0,'S-Table'!D711,0),0)</f>
        <v>0</v>
      </c>
      <c r="K711" s="14">
        <f>IF(('S-Table'!$B711-$C$2)*('S-Table'!$B711-$D$2)=0,IF(('S-Table'!$C711-$C$3)*('S-Table'!$C711-$D$3)=0,'S-Table'!E711,0),0)</f>
        <v>0</v>
      </c>
    </row>
    <row r="712" spans="6:11" x14ac:dyDescent="0.2">
      <c r="F712" s="14">
        <f>IF(G712=0,IF(G711=0,F711,F711+1),IF(G711=0,MAX(F$1:F711),MAX(F$1:F711)+1))</f>
        <v>21</v>
      </c>
      <c r="G712" s="14">
        <f>IF(('S-Table'!$B712-$C$2)*('S-Table'!$B712-$D$2)=0,IF(('S-Table'!$C712-$C$3)*('S-Table'!$C712-$D$3)=0,'S-Table'!A712,0),0)</f>
        <v>0</v>
      </c>
      <c r="H712" s="14">
        <f>IF(('S-Table'!$B712-$C$2)*('S-Table'!$B712-$D$2)=0,IF(('S-Table'!$C712-$C$3)*('S-Table'!$C712-$D$3)=0,'S-Table'!B712,0),0)</f>
        <v>0</v>
      </c>
      <c r="I712" s="14">
        <f>IF(('S-Table'!$B712-$C$2)*('S-Table'!$B712-$D$2)=0,IF(('S-Table'!$C712-$C$3)*('S-Table'!$C712-$D$3)=0,'S-Table'!C712,0),0)</f>
        <v>0</v>
      </c>
      <c r="J712" s="14">
        <f>IF(('S-Table'!$B712-$C$2)*('S-Table'!$B712-$D$2)=0,IF(('S-Table'!$C712-$C$3)*('S-Table'!$C712-$D$3)=0,'S-Table'!D712,0),0)</f>
        <v>0</v>
      </c>
      <c r="K712" s="14">
        <f>IF(('S-Table'!$B712-$C$2)*('S-Table'!$B712-$D$2)=0,IF(('S-Table'!$C712-$C$3)*('S-Table'!$C712-$D$3)=0,'S-Table'!E712,0),0)</f>
        <v>0</v>
      </c>
    </row>
    <row r="713" spans="6:11" x14ac:dyDescent="0.2">
      <c r="F713" s="14">
        <f>IF(G713=0,IF(G712=0,F712,F712+1),IF(G712=0,MAX(F$1:F712),MAX(F$1:F712)+1))</f>
        <v>21</v>
      </c>
      <c r="G713" s="14">
        <f>IF(('S-Table'!$B713-$C$2)*('S-Table'!$B713-$D$2)=0,IF(('S-Table'!$C713-$C$3)*('S-Table'!$C713-$D$3)=0,'S-Table'!A713,0),0)</f>
        <v>0</v>
      </c>
      <c r="H713" s="14">
        <f>IF(('S-Table'!$B713-$C$2)*('S-Table'!$B713-$D$2)=0,IF(('S-Table'!$C713-$C$3)*('S-Table'!$C713-$D$3)=0,'S-Table'!B713,0),0)</f>
        <v>0</v>
      </c>
      <c r="I713" s="14">
        <f>IF(('S-Table'!$B713-$C$2)*('S-Table'!$B713-$D$2)=0,IF(('S-Table'!$C713-$C$3)*('S-Table'!$C713-$D$3)=0,'S-Table'!C713,0),0)</f>
        <v>0</v>
      </c>
      <c r="J713" s="14">
        <f>IF(('S-Table'!$B713-$C$2)*('S-Table'!$B713-$D$2)=0,IF(('S-Table'!$C713-$C$3)*('S-Table'!$C713-$D$3)=0,'S-Table'!D713,0),0)</f>
        <v>0</v>
      </c>
      <c r="K713" s="14">
        <f>IF(('S-Table'!$B713-$C$2)*('S-Table'!$B713-$D$2)=0,IF(('S-Table'!$C713-$C$3)*('S-Table'!$C713-$D$3)=0,'S-Table'!E713,0),0)</f>
        <v>0</v>
      </c>
    </row>
    <row r="714" spans="6:11" x14ac:dyDescent="0.2">
      <c r="F714" s="14">
        <f>IF(G714=0,IF(G713=0,F713,F713+1),IF(G713=0,MAX(F$1:F713),MAX(F$1:F713)+1))</f>
        <v>21</v>
      </c>
      <c r="G714" s="14">
        <f>IF(('S-Table'!$B714-$C$2)*('S-Table'!$B714-$D$2)=0,IF(('S-Table'!$C714-$C$3)*('S-Table'!$C714-$D$3)=0,'S-Table'!A714,0),0)</f>
        <v>0</v>
      </c>
      <c r="H714" s="14">
        <f>IF(('S-Table'!$B714-$C$2)*('S-Table'!$B714-$D$2)=0,IF(('S-Table'!$C714-$C$3)*('S-Table'!$C714-$D$3)=0,'S-Table'!B714,0),0)</f>
        <v>0</v>
      </c>
      <c r="I714" s="14">
        <f>IF(('S-Table'!$B714-$C$2)*('S-Table'!$B714-$D$2)=0,IF(('S-Table'!$C714-$C$3)*('S-Table'!$C714-$D$3)=0,'S-Table'!C714,0),0)</f>
        <v>0</v>
      </c>
      <c r="J714" s="14">
        <f>IF(('S-Table'!$B714-$C$2)*('S-Table'!$B714-$D$2)=0,IF(('S-Table'!$C714-$C$3)*('S-Table'!$C714-$D$3)=0,'S-Table'!D714,0),0)</f>
        <v>0</v>
      </c>
      <c r="K714" s="14">
        <f>IF(('S-Table'!$B714-$C$2)*('S-Table'!$B714-$D$2)=0,IF(('S-Table'!$C714-$C$3)*('S-Table'!$C714-$D$3)=0,'S-Table'!E714,0),0)</f>
        <v>0</v>
      </c>
    </row>
    <row r="715" spans="6:11" x14ac:dyDescent="0.2">
      <c r="F715" s="14">
        <f>IF(G715=0,IF(G714=0,F714,F714+1),IF(G714=0,MAX(F$1:F714),MAX(F$1:F714)+1))</f>
        <v>21</v>
      </c>
      <c r="G715" s="14">
        <f>IF(('S-Table'!$B715-$C$2)*('S-Table'!$B715-$D$2)=0,IF(('S-Table'!$C715-$C$3)*('S-Table'!$C715-$D$3)=0,'S-Table'!A715,0),0)</f>
        <v>0</v>
      </c>
      <c r="H715" s="14">
        <f>IF(('S-Table'!$B715-$C$2)*('S-Table'!$B715-$D$2)=0,IF(('S-Table'!$C715-$C$3)*('S-Table'!$C715-$D$3)=0,'S-Table'!B715,0),0)</f>
        <v>0</v>
      </c>
      <c r="I715" s="14">
        <f>IF(('S-Table'!$B715-$C$2)*('S-Table'!$B715-$D$2)=0,IF(('S-Table'!$C715-$C$3)*('S-Table'!$C715-$D$3)=0,'S-Table'!C715,0),0)</f>
        <v>0</v>
      </c>
      <c r="J715" s="14">
        <f>IF(('S-Table'!$B715-$C$2)*('S-Table'!$B715-$D$2)=0,IF(('S-Table'!$C715-$C$3)*('S-Table'!$C715-$D$3)=0,'S-Table'!D715,0),0)</f>
        <v>0</v>
      </c>
      <c r="K715" s="14">
        <f>IF(('S-Table'!$B715-$C$2)*('S-Table'!$B715-$D$2)=0,IF(('S-Table'!$C715-$C$3)*('S-Table'!$C715-$D$3)=0,'S-Table'!E715,0),0)</f>
        <v>0</v>
      </c>
    </row>
    <row r="716" spans="6:11" x14ac:dyDescent="0.2">
      <c r="F716" s="14">
        <f>IF(G716=0,IF(G715=0,F715,F715+1),IF(G715=0,MAX(F$1:F715),MAX(F$1:F715)+1))</f>
        <v>21</v>
      </c>
      <c r="G716" s="14">
        <f>IF(('S-Table'!$B716-$C$2)*('S-Table'!$B716-$D$2)=0,IF(('S-Table'!$C716-$C$3)*('S-Table'!$C716-$D$3)=0,'S-Table'!A716,0),0)</f>
        <v>0</v>
      </c>
      <c r="H716" s="14">
        <f>IF(('S-Table'!$B716-$C$2)*('S-Table'!$B716-$D$2)=0,IF(('S-Table'!$C716-$C$3)*('S-Table'!$C716-$D$3)=0,'S-Table'!B716,0),0)</f>
        <v>0</v>
      </c>
      <c r="I716" s="14">
        <f>IF(('S-Table'!$B716-$C$2)*('S-Table'!$B716-$D$2)=0,IF(('S-Table'!$C716-$C$3)*('S-Table'!$C716-$D$3)=0,'S-Table'!C716,0),0)</f>
        <v>0</v>
      </c>
      <c r="J716" s="14">
        <f>IF(('S-Table'!$B716-$C$2)*('S-Table'!$B716-$D$2)=0,IF(('S-Table'!$C716-$C$3)*('S-Table'!$C716-$D$3)=0,'S-Table'!D716,0),0)</f>
        <v>0</v>
      </c>
      <c r="K716" s="14">
        <f>IF(('S-Table'!$B716-$C$2)*('S-Table'!$B716-$D$2)=0,IF(('S-Table'!$C716-$C$3)*('S-Table'!$C716-$D$3)=0,'S-Table'!E716,0),0)</f>
        <v>0</v>
      </c>
    </row>
    <row r="717" spans="6:11" x14ac:dyDescent="0.2">
      <c r="F717" s="14">
        <f>IF(G717=0,IF(G716=0,F716,F716+1),IF(G716=0,MAX(F$1:F716),MAX(F$1:F716)+1))</f>
        <v>21</v>
      </c>
      <c r="G717" s="14">
        <f>IF(('S-Table'!$B717-$C$2)*('S-Table'!$B717-$D$2)=0,IF(('S-Table'!$C717-$C$3)*('S-Table'!$C717-$D$3)=0,'S-Table'!A717,0),0)</f>
        <v>0</v>
      </c>
      <c r="H717" s="14">
        <f>IF(('S-Table'!$B717-$C$2)*('S-Table'!$B717-$D$2)=0,IF(('S-Table'!$C717-$C$3)*('S-Table'!$C717-$D$3)=0,'S-Table'!B717,0),0)</f>
        <v>0</v>
      </c>
      <c r="I717" s="14">
        <f>IF(('S-Table'!$B717-$C$2)*('S-Table'!$B717-$D$2)=0,IF(('S-Table'!$C717-$C$3)*('S-Table'!$C717-$D$3)=0,'S-Table'!C717,0),0)</f>
        <v>0</v>
      </c>
      <c r="J717" s="14">
        <f>IF(('S-Table'!$B717-$C$2)*('S-Table'!$B717-$D$2)=0,IF(('S-Table'!$C717-$C$3)*('S-Table'!$C717-$D$3)=0,'S-Table'!D717,0),0)</f>
        <v>0</v>
      </c>
      <c r="K717" s="14">
        <f>IF(('S-Table'!$B717-$C$2)*('S-Table'!$B717-$D$2)=0,IF(('S-Table'!$C717-$C$3)*('S-Table'!$C717-$D$3)=0,'S-Table'!E717,0),0)</f>
        <v>0</v>
      </c>
    </row>
    <row r="718" spans="6:11" x14ac:dyDescent="0.2">
      <c r="F718" s="14">
        <f>IF(G718=0,IF(G717=0,F717,F717+1),IF(G717=0,MAX(F$1:F717),MAX(F$1:F717)+1))</f>
        <v>21</v>
      </c>
      <c r="G718" s="14">
        <f>IF(('S-Table'!$B718-$C$2)*('S-Table'!$B718-$D$2)=0,IF(('S-Table'!$C718-$C$3)*('S-Table'!$C718-$D$3)=0,'S-Table'!A718,0),0)</f>
        <v>0</v>
      </c>
      <c r="H718" s="14">
        <f>IF(('S-Table'!$B718-$C$2)*('S-Table'!$B718-$D$2)=0,IF(('S-Table'!$C718-$C$3)*('S-Table'!$C718-$D$3)=0,'S-Table'!B718,0),0)</f>
        <v>0</v>
      </c>
      <c r="I718" s="14">
        <f>IF(('S-Table'!$B718-$C$2)*('S-Table'!$B718-$D$2)=0,IF(('S-Table'!$C718-$C$3)*('S-Table'!$C718-$D$3)=0,'S-Table'!C718,0),0)</f>
        <v>0</v>
      </c>
      <c r="J718" s="14">
        <f>IF(('S-Table'!$B718-$C$2)*('S-Table'!$B718-$D$2)=0,IF(('S-Table'!$C718-$C$3)*('S-Table'!$C718-$D$3)=0,'S-Table'!D718,0),0)</f>
        <v>0</v>
      </c>
      <c r="K718" s="14">
        <f>IF(('S-Table'!$B718-$C$2)*('S-Table'!$B718-$D$2)=0,IF(('S-Table'!$C718-$C$3)*('S-Table'!$C718-$D$3)=0,'S-Table'!E718,0),0)</f>
        <v>0</v>
      </c>
    </row>
    <row r="719" spans="6:11" x14ac:dyDescent="0.2">
      <c r="F719" s="14">
        <f>IF(G719=0,IF(G718=0,F718,F718+1),IF(G718=0,MAX(F$1:F718),MAX(F$1:F718)+1))</f>
        <v>21</v>
      </c>
      <c r="G719" s="14">
        <f>IF(('S-Table'!$B719-$C$2)*('S-Table'!$B719-$D$2)=0,IF(('S-Table'!$C719-$C$3)*('S-Table'!$C719-$D$3)=0,'S-Table'!A719,0),0)</f>
        <v>0</v>
      </c>
      <c r="H719" s="14">
        <f>IF(('S-Table'!$B719-$C$2)*('S-Table'!$B719-$D$2)=0,IF(('S-Table'!$C719-$C$3)*('S-Table'!$C719-$D$3)=0,'S-Table'!B719,0),0)</f>
        <v>0</v>
      </c>
      <c r="I719" s="14">
        <f>IF(('S-Table'!$B719-$C$2)*('S-Table'!$B719-$D$2)=0,IF(('S-Table'!$C719-$C$3)*('S-Table'!$C719-$D$3)=0,'S-Table'!C719,0),0)</f>
        <v>0</v>
      </c>
      <c r="J719" s="14">
        <f>IF(('S-Table'!$B719-$C$2)*('S-Table'!$B719-$D$2)=0,IF(('S-Table'!$C719-$C$3)*('S-Table'!$C719-$D$3)=0,'S-Table'!D719,0),0)</f>
        <v>0</v>
      </c>
      <c r="K719" s="14">
        <f>IF(('S-Table'!$B719-$C$2)*('S-Table'!$B719-$D$2)=0,IF(('S-Table'!$C719-$C$3)*('S-Table'!$C719-$D$3)=0,'S-Table'!E719,0),0)</f>
        <v>0</v>
      </c>
    </row>
    <row r="720" spans="6:11" x14ac:dyDescent="0.2">
      <c r="F720" s="14">
        <f>IF(G720=0,IF(G719=0,F719,F719+1),IF(G719=0,MAX(F$1:F719),MAX(F$1:F719)+1))</f>
        <v>21</v>
      </c>
      <c r="G720" s="14">
        <f>IF(('S-Table'!$B720-$C$2)*('S-Table'!$B720-$D$2)=0,IF(('S-Table'!$C720-$C$3)*('S-Table'!$C720-$D$3)=0,'S-Table'!A720,0),0)</f>
        <v>0</v>
      </c>
      <c r="H720" s="14">
        <f>IF(('S-Table'!$B720-$C$2)*('S-Table'!$B720-$D$2)=0,IF(('S-Table'!$C720-$C$3)*('S-Table'!$C720-$D$3)=0,'S-Table'!B720,0),0)</f>
        <v>0</v>
      </c>
      <c r="I720" s="14">
        <f>IF(('S-Table'!$B720-$C$2)*('S-Table'!$B720-$D$2)=0,IF(('S-Table'!$C720-$C$3)*('S-Table'!$C720-$D$3)=0,'S-Table'!C720,0),0)</f>
        <v>0</v>
      </c>
      <c r="J720" s="14">
        <f>IF(('S-Table'!$B720-$C$2)*('S-Table'!$B720-$D$2)=0,IF(('S-Table'!$C720-$C$3)*('S-Table'!$C720-$D$3)=0,'S-Table'!D720,0),0)</f>
        <v>0</v>
      </c>
      <c r="K720" s="14">
        <f>IF(('S-Table'!$B720-$C$2)*('S-Table'!$B720-$D$2)=0,IF(('S-Table'!$C720-$C$3)*('S-Table'!$C720-$D$3)=0,'S-Table'!E720,0),0)</f>
        <v>0</v>
      </c>
    </row>
    <row r="721" spans="6:11" x14ac:dyDescent="0.2">
      <c r="F721" s="14">
        <f>IF(G721=0,IF(G720=0,F720,F720+1),IF(G720=0,MAX(F$1:F720),MAX(F$1:F720)+1))</f>
        <v>21</v>
      </c>
      <c r="G721" s="14">
        <f>IF(('S-Table'!$B721-$C$2)*('S-Table'!$B721-$D$2)=0,IF(('S-Table'!$C721-$C$3)*('S-Table'!$C721-$D$3)=0,'S-Table'!A721,0),0)</f>
        <v>0</v>
      </c>
      <c r="H721" s="14">
        <f>IF(('S-Table'!$B721-$C$2)*('S-Table'!$B721-$D$2)=0,IF(('S-Table'!$C721-$C$3)*('S-Table'!$C721-$D$3)=0,'S-Table'!B721,0),0)</f>
        <v>0</v>
      </c>
      <c r="I721" s="14">
        <f>IF(('S-Table'!$B721-$C$2)*('S-Table'!$B721-$D$2)=0,IF(('S-Table'!$C721-$C$3)*('S-Table'!$C721-$D$3)=0,'S-Table'!C721,0),0)</f>
        <v>0</v>
      </c>
      <c r="J721" s="14">
        <f>IF(('S-Table'!$B721-$C$2)*('S-Table'!$B721-$D$2)=0,IF(('S-Table'!$C721-$C$3)*('S-Table'!$C721-$D$3)=0,'S-Table'!D721,0),0)</f>
        <v>0</v>
      </c>
      <c r="K721" s="14">
        <f>IF(('S-Table'!$B721-$C$2)*('S-Table'!$B721-$D$2)=0,IF(('S-Table'!$C721-$C$3)*('S-Table'!$C721-$D$3)=0,'S-Table'!E721,0),0)</f>
        <v>0</v>
      </c>
    </row>
    <row r="722" spans="6:11" x14ac:dyDescent="0.2">
      <c r="F722" s="14">
        <f>IF(G722=0,IF(G721=0,F721,F721+1),IF(G721=0,MAX(F$1:F721),MAX(F$1:F721)+1))</f>
        <v>21</v>
      </c>
      <c r="G722" s="14">
        <f>IF(('S-Table'!$B722-$C$2)*('S-Table'!$B722-$D$2)=0,IF(('S-Table'!$C722-$C$3)*('S-Table'!$C722-$D$3)=0,'S-Table'!A722,0),0)</f>
        <v>0</v>
      </c>
      <c r="H722" s="14">
        <f>IF(('S-Table'!$B722-$C$2)*('S-Table'!$B722-$D$2)=0,IF(('S-Table'!$C722-$C$3)*('S-Table'!$C722-$D$3)=0,'S-Table'!B722,0),0)</f>
        <v>0</v>
      </c>
      <c r="I722" s="14">
        <f>IF(('S-Table'!$B722-$C$2)*('S-Table'!$B722-$D$2)=0,IF(('S-Table'!$C722-$C$3)*('S-Table'!$C722-$D$3)=0,'S-Table'!C722,0),0)</f>
        <v>0</v>
      </c>
      <c r="J722" s="14">
        <f>IF(('S-Table'!$B722-$C$2)*('S-Table'!$B722-$D$2)=0,IF(('S-Table'!$C722-$C$3)*('S-Table'!$C722-$D$3)=0,'S-Table'!D722,0),0)</f>
        <v>0</v>
      </c>
      <c r="K722" s="14">
        <f>IF(('S-Table'!$B722-$C$2)*('S-Table'!$B722-$D$2)=0,IF(('S-Table'!$C722-$C$3)*('S-Table'!$C722-$D$3)=0,'S-Table'!E722,0),0)</f>
        <v>0</v>
      </c>
    </row>
    <row r="723" spans="6:11" x14ac:dyDescent="0.2">
      <c r="F723" s="14">
        <f>IF(G723=0,IF(G722=0,F722,F722+1),IF(G722=0,MAX(F$1:F722),MAX(F$1:F722)+1))</f>
        <v>21</v>
      </c>
      <c r="G723" s="14">
        <f>IF(('S-Table'!$B723-$C$2)*('S-Table'!$B723-$D$2)=0,IF(('S-Table'!$C723-$C$3)*('S-Table'!$C723-$D$3)=0,'S-Table'!A723,0),0)</f>
        <v>0</v>
      </c>
      <c r="H723" s="14">
        <f>IF(('S-Table'!$B723-$C$2)*('S-Table'!$B723-$D$2)=0,IF(('S-Table'!$C723-$C$3)*('S-Table'!$C723-$D$3)=0,'S-Table'!B723,0),0)</f>
        <v>0</v>
      </c>
      <c r="I723" s="14">
        <f>IF(('S-Table'!$B723-$C$2)*('S-Table'!$B723-$D$2)=0,IF(('S-Table'!$C723-$C$3)*('S-Table'!$C723-$D$3)=0,'S-Table'!C723,0),0)</f>
        <v>0</v>
      </c>
      <c r="J723" s="14">
        <f>IF(('S-Table'!$B723-$C$2)*('S-Table'!$B723-$D$2)=0,IF(('S-Table'!$C723-$C$3)*('S-Table'!$C723-$D$3)=0,'S-Table'!D723,0),0)</f>
        <v>0</v>
      </c>
      <c r="K723" s="14">
        <f>IF(('S-Table'!$B723-$C$2)*('S-Table'!$B723-$D$2)=0,IF(('S-Table'!$C723-$C$3)*('S-Table'!$C723-$D$3)=0,'S-Table'!E723,0),0)</f>
        <v>0</v>
      </c>
    </row>
    <row r="724" spans="6:11" x14ac:dyDescent="0.2">
      <c r="F724" s="14">
        <f>IF(G724=0,IF(G723=0,F723,F723+1),IF(G723=0,MAX(F$1:F723),MAX(F$1:F723)+1))</f>
        <v>21</v>
      </c>
      <c r="G724" s="14">
        <f>IF(('S-Table'!$B724-$C$2)*('S-Table'!$B724-$D$2)=0,IF(('S-Table'!$C724-$C$3)*('S-Table'!$C724-$D$3)=0,'S-Table'!A724,0),0)</f>
        <v>0</v>
      </c>
      <c r="H724" s="14">
        <f>IF(('S-Table'!$B724-$C$2)*('S-Table'!$B724-$D$2)=0,IF(('S-Table'!$C724-$C$3)*('S-Table'!$C724-$D$3)=0,'S-Table'!B724,0),0)</f>
        <v>0</v>
      </c>
      <c r="I724" s="14">
        <f>IF(('S-Table'!$B724-$C$2)*('S-Table'!$B724-$D$2)=0,IF(('S-Table'!$C724-$C$3)*('S-Table'!$C724-$D$3)=0,'S-Table'!C724,0),0)</f>
        <v>0</v>
      </c>
      <c r="J724" s="14">
        <f>IF(('S-Table'!$B724-$C$2)*('S-Table'!$B724-$D$2)=0,IF(('S-Table'!$C724-$C$3)*('S-Table'!$C724-$D$3)=0,'S-Table'!D724,0),0)</f>
        <v>0</v>
      </c>
      <c r="K724" s="14">
        <f>IF(('S-Table'!$B724-$C$2)*('S-Table'!$B724-$D$2)=0,IF(('S-Table'!$C724-$C$3)*('S-Table'!$C724-$D$3)=0,'S-Table'!E724,0),0)</f>
        <v>0</v>
      </c>
    </row>
    <row r="725" spans="6:11" x14ac:dyDescent="0.2">
      <c r="F725" s="14">
        <f>IF(G725=0,IF(G724=0,F724,F724+1),IF(G724=0,MAX(F$1:F724),MAX(F$1:F724)+1))</f>
        <v>21</v>
      </c>
      <c r="G725" s="14">
        <f>IF(('S-Table'!$B725-$C$2)*('S-Table'!$B725-$D$2)=0,IF(('S-Table'!$C725-$C$3)*('S-Table'!$C725-$D$3)=0,'S-Table'!A725,0),0)</f>
        <v>0</v>
      </c>
      <c r="H725" s="14">
        <f>IF(('S-Table'!$B725-$C$2)*('S-Table'!$B725-$D$2)=0,IF(('S-Table'!$C725-$C$3)*('S-Table'!$C725-$D$3)=0,'S-Table'!B725,0),0)</f>
        <v>0</v>
      </c>
      <c r="I725" s="14">
        <f>IF(('S-Table'!$B725-$C$2)*('S-Table'!$B725-$D$2)=0,IF(('S-Table'!$C725-$C$3)*('S-Table'!$C725-$D$3)=0,'S-Table'!C725,0),0)</f>
        <v>0</v>
      </c>
      <c r="J725" s="14">
        <f>IF(('S-Table'!$B725-$C$2)*('S-Table'!$B725-$D$2)=0,IF(('S-Table'!$C725-$C$3)*('S-Table'!$C725-$D$3)=0,'S-Table'!D725,0),0)</f>
        <v>0</v>
      </c>
      <c r="K725" s="14">
        <f>IF(('S-Table'!$B725-$C$2)*('S-Table'!$B725-$D$2)=0,IF(('S-Table'!$C725-$C$3)*('S-Table'!$C725-$D$3)=0,'S-Table'!E725,0),0)</f>
        <v>0</v>
      </c>
    </row>
    <row r="726" spans="6:11" x14ac:dyDescent="0.2">
      <c r="F726" s="14">
        <f>IF(G726=0,IF(G725=0,F725,F725+1),IF(G725=0,MAX(F$1:F725),MAX(F$1:F725)+1))</f>
        <v>21</v>
      </c>
      <c r="G726" s="14">
        <f>IF(('S-Table'!$B726-$C$2)*('S-Table'!$B726-$D$2)=0,IF(('S-Table'!$C726-$C$3)*('S-Table'!$C726-$D$3)=0,'S-Table'!A726,0),0)</f>
        <v>0</v>
      </c>
      <c r="H726" s="14">
        <f>IF(('S-Table'!$B726-$C$2)*('S-Table'!$B726-$D$2)=0,IF(('S-Table'!$C726-$C$3)*('S-Table'!$C726-$D$3)=0,'S-Table'!B726,0),0)</f>
        <v>0</v>
      </c>
      <c r="I726" s="14">
        <f>IF(('S-Table'!$B726-$C$2)*('S-Table'!$B726-$D$2)=0,IF(('S-Table'!$C726-$C$3)*('S-Table'!$C726-$D$3)=0,'S-Table'!C726,0),0)</f>
        <v>0</v>
      </c>
      <c r="J726" s="14">
        <f>IF(('S-Table'!$B726-$C$2)*('S-Table'!$B726-$D$2)=0,IF(('S-Table'!$C726-$C$3)*('S-Table'!$C726-$D$3)=0,'S-Table'!D726,0),0)</f>
        <v>0</v>
      </c>
      <c r="K726" s="14">
        <f>IF(('S-Table'!$B726-$C$2)*('S-Table'!$B726-$D$2)=0,IF(('S-Table'!$C726-$C$3)*('S-Table'!$C726-$D$3)=0,'S-Table'!E726,0),0)</f>
        <v>0</v>
      </c>
    </row>
    <row r="727" spans="6:11" x14ac:dyDescent="0.2">
      <c r="F727" s="14">
        <f>IF(G727=0,IF(G726=0,F726,F726+1),IF(G726=0,MAX(F$1:F726),MAX(F$1:F726)+1))</f>
        <v>21</v>
      </c>
      <c r="G727" s="14">
        <f>IF(('S-Table'!$B727-$C$2)*('S-Table'!$B727-$D$2)=0,IF(('S-Table'!$C727-$C$3)*('S-Table'!$C727-$D$3)=0,'S-Table'!A727,0),0)</f>
        <v>0</v>
      </c>
      <c r="H727" s="14">
        <f>IF(('S-Table'!$B727-$C$2)*('S-Table'!$B727-$D$2)=0,IF(('S-Table'!$C727-$C$3)*('S-Table'!$C727-$D$3)=0,'S-Table'!B727,0),0)</f>
        <v>0</v>
      </c>
      <c r="I727" s="14">
        <f>IF(('S-Table'!$B727-$C$2)*('S-Table'!$B727-$D$2)=0,IF(('S-Table'!$C727-$C$3)*('S-Table'!$C727-$D$3)=0,'S-Table'!C727,0),0)</f>
        <v>0</v>
      </c>
      <c r="J727" s="14">
        <f>IF(('S-Table'!$B727-$C$2)*('S-Table'!$B727-$D$2)=0,IF(('S-Table'!$C727-$C$3)*('S-Table'!$C727-$D$3)=0,'S-Table'!D727,0),0)</f>
        <v>0</v>
      </c>
      <c r="K727" s="14">
        <f>IF(('S-Table'!$B727-$C$2)*('S-Table'!$B727-$D$2)=0,IF(('S-Table'!$C727-$C$3)*('S-Table'!$C727-$D$3)=0,'S-Table'!E727,0),0)</f>
        <v>0</v>
      </c>
    </row>
    <row r="728" spans="6:11" x14ac:dyDescent="0.2">
      <c r="F728" s="14">
        <f>IF(G728=0,IF(G727=0,F727,F727+1),IF(G727=0,MAX(F$1:F727),MAX(F$1:F727)+1))</f>
        <v>21</v>
      </c>
      <c r="G728" s="14">
        <f>IF(('S-Table'!$B728-$C$2)*('S-Table'!$B728-$D$2)=0,IF(('S-Table'!$C728-$C$3)*('S-Table'!$C728-$D$3)=0,'S-Table'!A728,0),0)</f>
        <v>0</v>
      </c>
      <c r="H728" s="14">
        <f>IF(('S-Table'!$B728-$C$2)*('S-Table'!$B728-$D$2)=0,IF(('S-Table'!$C728-$C$3)*('S-Table'!$C728-$D$3)=0,'S-Table'!B728,0),0)</f>
        <v>0</v>
      </c>
      <c r="I728" s="14">
        <f>IF(('S-Table'!$B728-$C$2)*('S-Table'!$B728-$D$2)=0,IF(('S-Table'!$C728-$C$3)*('S-Table'!$C728-$D$3)=0,'S-Table'!C728,0),0)</f>
        <v>0</v>
      </c>
      <c r="J728" s="14">
        <f>IF(('S-Table'!$B728-$C$2)*('S-Table'!$B728-$D$2)=0,IF(('S-Table'!$C728-$C$3)*('S-Table'!$C728-$D$3)=0,'S-Table'!D728,0),0)</f>
        <v>0</v>
      </c>
      <c r="K728" s="14">
        <f>IF(('S-Table'!$B728-$C$2)*('S-Table'!$B728-$D$2)=0,IF(('S-Table'!$C728-$C$3)*('S-Table'!$C728-$D$3)=0,'S-Table'!E728,0),0)</f>
        <v>0</v>
      </c>
    </row>
    <row r="729" spans="6:11" x14ac:dyDescent="0.2">
      <c r="F729" s="14">
        <f>IF(G729=0,IF(G728=0,F728,F728+1),IF(G728=0,MAX(F$1:F728),MAX(F$1:F728)+1))</f>
        <v>21</v>
      </c>
      <c r="G729" s="14">
        <f>IF(('S-Table'!$B729-$C$2)*('S-Table'!$B729-$D$2)=0,IF(('S-Table'!$C729-$C$3)*('S-Table'!$C729-$D$3)=0,'S-Table'!A729,0),0)</f>
        <v>0</v>
      </c>
      <c r="H729" s="14">
        <f>IF(('S-Table'!$B729-$C$2)*('S-Table'!$B729-$D$2)=0,IF(('S-Table'!$C729-$C$3)*('S-Table'!$C729-$D$3)=0,'S-Table'!B729,0),0)</f>
        <v>0</v>
      </c>
      <c r="I729" s="14">
        <f>IF(('S-Table'!$B729-$C$2)*('S-Table'!$B729-$D$2)=0,IF(('S-Table'!$C729-$C$3)*('S-Table'!$C729-$D$3)=0,'S-Table'!C729,0),0)</f>
        <v>0</v>
      </c>
      <c r="J729" s="14">
        <f>IF(('S-Table'!$B729-$C$2)*('S-Table'!$B729-$D$2)=0,IF(('S-Table'!$C729-$C$3)*('S-Table'!$C729-$D$3)=0,'S-Table'!D729,0),0)</f>
        <v>0</v>
      </c>
      <c r="K729" s="14">
        <f>IF(('S-Table'!$B729-$C$2)*('S-Table'!$B729-$D$2)=0,IF(('S-Table'!$C729-$C$3)*('S-Table'!$C729-$D$3)=0,'S-Table'!E729,0),0)</f>
        <v>0</v>
      </c>
    </row>
    <row r="730" spans="6:11" x14ac:dyDescent="0.2">
      <c r="F730" s="14">
        <f>IF(G730=0,IF(G729=0,F729,F729+1),IF(G729=0,MAX(F$1:F729),MAX(F$1:F729)+1))</f>
        <v>21</v>
      </c>
      <c r="G730" s="14">
        <f>IF(('S-Table'!$B730-$C$2)*('S-Table'!$B730-$D$2)=0,IF(('S-Table'!$C730-$C$3)*('S-Table'!$C730-$D$3)=0,'S-Table'!A730,0),0)</f>
        <v>0</v>
      </c>
      <c r="H730" s="14">
        <f>IF(('S-Table'!$B730-$C$2)*('S-Table'!$B730-$D$2)=0,IF(('S-Table'!$C730-$C$3)*('S-Table'!$C730-$D$3)=0,'S-Table'!B730,0),0)</f>
        <v>0</v>
      </c>
      <c r="I730" s="14">
        <f>IF(('S-Table'!$B730-$C$2)*('S-Table'!$B730-$D$2)=0,IF(('S-Table'!$C730-$C$3)*('S-Table'!$C730-$D$3)=0,'S-Table'!C730,0),0)</f>
        <v>0</v>
      </c>
      <c r="J730" s="14">
        <f>IF(('S-Table'!$B730-$C$2)*('S-Table'!$B730-$D$2)=0,IF(('S-Table'!$C730-$C$3)*('S-Table'!$C730-$D$3)=0,'S-Table'!D730,0),0)</f>
        <v>0</v>
      </c>
      <c r="K730" s="14">
        <f>IF(('S-Table'!$B730-$C$2)*('S-Table'!$B730-$D$2)=0,IF(('S-Table'!$C730-$C$3)*('S-Table'!$C730-$D$3)=0,'S-Table'!E730,0),0)</f>
        <v>0</v>
      </c>
    </row>
    <row r="731" spans="6:11" x14ac:dyDescent="0.2">
      <c r="F731" s="14">
        <f>IF(G731=0,IF(G730=0,F730,F730+1),IF(G730=0,MAX(F$1:F730),MAX(F$1:F730)+1))</f>
        <v>21</v>
      </c>
      <c r="G731" s="14">
        <f>IF(('S-Table'!$B731-$C$2)*('S-Table'!$B731-$D$2)=0,IF(('S-Table'!$C731-$C$3)*('S-Table'!$C731-$D$3)=0,'S-Table'!A731,0),0)</f>
        <v>0</v>
      </c>
      <c r="H731" s="14">
        <f>IF(('S-Table'!$B731-$C$2)*('S-Table'!$B731-$D$2)=0,IF(('S-Table'!$C731-$C$3)*('S-Table'!$C731-$D$3)=0,'S-Table'!B731,0),0)</f>
        <v>0</v>
      </c>
      <c r="I731" s="14">
        <f>IF(('S-Table'!$B731-$C$2)*('S-Table'!$B731-$D$2)=0,IF(('S-Table'!$C731-$C$3)*('S-Table'!$C731-$D$3)=0,'S-Table'!C731,0),0)</f>
        <v>0</v>
      </c>
      <c r="J731" s="14">
        <f>IF(('S-Table'!$B731-$C$2)*('S-Table'!$B731-$D$2)=0,IF(('S-Table'!$C731-$C$3)*('S-Table'!$C731-$D$3)=0,'S-Table'!D731,0),0)</f>
        <v>0</v>
      </c>
      <c r="K731" s="14">
        <f>IF(('S-Table'!$B731-$C$2)*('S-Table'!$B731-$D$2)=0,IF(('S-Table'!$C731-$C$3)*('S-Table'!$C731-$D$3)=0,'S-Table'!E731,0),0)</f>
        <v>0</v>
      </c>
    </row>
    <row r="732" spans="6:11" x14ac:dyDescent="0.2">
      <c r="F732" s="14">
        <f>IF(G732=0,IF(G731=0,F731,F731+1),IF(G731=0,MAX(F$1:F731),MAX(F$1:F731)+1))</f>
        <v>21</v>
      </c>
      <c r="G732" s="14">
        <f>IF(('S-Table'!$B732-$C$2)*('S-Table'!$B732-$D$2)=0,IF(('S-Table'!$C732-$C$3)*('S-Table'!$C732-$D$3)=0,'S-Table'!A732,0),0)</f>
        <v>0</v>
      </c>
      <c r="H732" s="14">
        <f>IF(('S-Table'!$B732-$C$2)*('S-Table'!$B732-$D$2)=0,IF(('S-Table'!$C732-$C$3)*('S-Table'!$C732-$D$3)=0,'S-Table'!B732,0),0)</f>
        <v>0</v>
      </c>
      <c r="I732" s="14">
        <f>IF(('S-Table'!$B732-$C$2)*('S-Table'!$B732-$D$2)=0,IF(('S-Table'!$C732-$C$3)*('S-Table'!$C732-$D$3)=0,'S-Table'!C732,0),0)</f>
        <v>0</v>
      </c>
      <c r="J732" s="14">
        <f>IF(('S-Table'!$B732-$C$2)*('S-Table'!$B732-$D$2)=0,IF(('S-Table'!$C732-$C$3)*('S-Table'!$C732-$D$3)=0,'S-Table'!D732,0),0)</f>
        <v>0</v>
      </c>
      <c r="K732" s="14">
        <f>IF(('S-Table'!$B732-$C$2)*('S-Table'!$B732-$D$2)=0,IF(('S-Table'!$C732-$C$3)*('S-Table'!$C732-$D$3)=0,'S-Table'!E732,0),0)</f>
        <v>0</v>
      </c>
    </row>
    <row r="733" spans="6:11" x14ac:dyDescent="0.2">
      <c r="F733" s="14">
        <f>IF(G733=0,IF(G732=0,F732,F732+1),IF(G732=0,MAX(F$1:F732),MAX(F$1:F732)+1))</f>
        <v>21</v>
      </c>
      <c r="G733" s="14">
        <f>IF(('S-Table'!$B733-$C$2)*('S-Table'!$B733-$D$2)=0,IF(('S-Table'!$C733-$C$3)*('S-Table'!$C733-$D$3)=0,'S-Table'!A733,0),0)</f>
        <v>0</v>
      </c>
      <c r="H733" s="14">
        <f>IF(('S-Table'!$B733-$C$2)*('S-Table'!$B733-$D$2)=0,IF(('S-Table'!$C733-$C$3)*('S-Table'!$C733-$D$3)=0,'S-Table'!B733,0),0)</f>
        <v>0</v>
      </c>
      <c r="I733" s="14">
        <f>IF(('S-Table'!$B733-$C$2)*('S-Table'!$B733-$D$2)=0,IF(('S-Table'!$C733-$C$3)*('S-Table'!$C733-$D$3)=0,'S-Table'!C733,0),0)</f>
        <v>0</v>
      </c>
      <c r="J733" s="14">
        <f>IF(('S-Table'!$B733-$C$2)*('S-Table'!$B733-$D$2)=0,IF(('S-Table'!$C733-$C$3)*('S-Table'!$C733-$D$3)=0,'S-Table'!D733,0),0)</f>
        <v>0</v>
      </c>
      <c r="K733" s="14">
        <f>IF(('S-Table'!$B733-$C$2)*('S-Table'!$B733-$D$2)=0,IF(('S-Table'!$C733-$C$3)*('S-Table'!$C733-$D$3)=0,'S-Table'!E733,0),0)</f>
        <v>0</v>
      </c>
    </row>
    <row r="734" spans="6:11" x14ac:dyDescent="0.2">
      <c r="F734" s="14">
        <f>IF(G734=0,IF(G733=0,F733,F733+1),IF(G733=0,MAX(F$1:F733),MAX(F$1:F733)+1))</f>
        <v>21</v>
      </c>
      <c r="G734" s="14">
        <f>IF(('S-Table'!$B734-$C$2)*('S-Table'!$B734-$D$2)=0,IF(('S-Table'!$C734-$C$3)*('S-Table'!$C734-$D$3)=0,'S-Table'!A734,0),0)</f>
        <v>0</v>
      </c>
      <c r="H734" s="14">
        <f>IF(('S-Table'!$B734-$C$2)*('S-Table'!$B734-$D$2)=0,IF(('S-Table'!$C734-$C$3)*('S-Table'!$C734-$D$3)=0,'S-Table'!B734,0),0)</f>
        <v>0</v>
      </c>
      <c r="I734" s="14">
        <f>IF(('S-Table'!$B734-$C$2)*('S-Table'!$B734-$D$2)=0,IF(('S-Table'!$C734-$C$3)*('S-Table'!$C734-$D$3)=0,'S-Table'!C734,0),0)</f>
        <v>0</v>
      </c>
      <c r="J734" s="14">
        <f>IF(('S-Table'!$B734-$C$2)*('S-Table'!$B734-$D$2)=0,IF(('S-Table'!$C734-$C$3)*('S-Table'!$C734-$D$3)=0,'S-Table'!D734,0),0)</f>
        <v>0</v>
      </c>
      <c r="K734" s="14">
        <f>IF(('S-Table'!$B734-$C$2)*('S-Table'!$B734-$D$2)=0,IF(('S-Table'!$C734-$C$3)*('S-Table'!$C734-$D$3)=0,'S-Table'!E734,0),0)</f>
        <v>0</v>
      </c>
    </row>
    <row r="735" spans="6:11" x14ac:dyDescent="0.2">
      <c r="F735" s="14">
        <f>IF(G735=0,IF(G734=0,F734,F734+1),IF(G734=0,MAX(F$1:F734),MAX(F$1:F734)+1))</f>
        <v>21</v>
      </c>
      <c r="G735" s="14">
        <f>IF(('S-Table'!$B735-$C$2)*('S-Table'!$B735-$D$2)=0,IF(('S-Table'!$C735-$C$3)*('S-Table'!$C735-$D$3)=0,'S-Table'!A735,0),0)</f>
        <v>0</v>
      </c>
      <c r="H735" s="14">
        <f>IF(('S-Table'!$B735-$C$2)*('S-Table'!$B735-$D$2)=0,IF(('S-Table'!$C735-$C$3)*('S-Table'!$C735-$D$3)=0,'S-Table'!B735,0),0)</f>
        <v>0</v>
      </c>
      <c r="I735" s="14">
        <f>IF(('S-Table'!$B735-$C$2)*('S-Table'!$B735-$D$2)=0,IF(('S-Table'!$C735-$C$3)*('S-Table'!$C735-$D$3)=0,'S-Table'!C735,0),0)</f>
        <v>0</v>
      </c>
      <c r="J735" s="14">
        <f>IF(('S-Table'!$B735-$C$2)*('S-Table'!$B735-$D$2)=0,IF(('S-Table'!$C735-$C$3)*('S-Table'!$C735-$D$3)=0,'S-Table'!D735,0),0)</f>
        <v>0</v>
      </c>
      <c r="K735" s="14">
        <f>IF(('S-Table'!$B735-$C$2)*('S-Table'!$B735-$D$2)=0,IF(('S-Table'!$C735-$C$3)*('S-Table'!$C735-$D$3)=0,'S-Table'!E735,0),0)</f>
        <v>0</v>
      </c>
    </row>
    <row r="736" spans="6:11" x14ac:dyDescent="0.2">
      <c r="F736" s="14">
        <f>IF(G736=0,IF(G735=0,F735,F735+1),IF(G735=0,MAX(F$1:F735),MAX(F$1:F735)+1))</f>
        <v>21</v>
      </c>
      <c r="G736" s="14">
        <f>IF(('S-Table'!$B736-$C$2)*('S-Table'!$B736-$D$2)=0,IF(('S-Table'!$C736-$C$3)*('S-Table'!$C736-$D$3)=0,'S-Table'!A736,0),0)</f>
        <v>0</v>
      </c>
      <c r="H736" s="14">
        <f>IF(('S-Table'!$B736-$C$2)*('S-Table'!$B736-$D$2)=0,IF(('S-Table'!$C736-$C$3)*('S-Table'!$C736-$D$3)=0,'S-Table'!B736,0),0)</f>
        <v>0</v>
      </c>
      <c r="I736" s="14">
        <f>IF(('S-Table'!$B736-$C$2)*('S-Table'!$B736-$D$2)=0,IF(('S-Table'!$C736-$C$3)*('S-Table'!$C736-$D$3)=0,'S-Table'!C736,0),0)</f>
        <v>0</v>
      </c>
      <c r="J736" s="14">
        <f>IF(('S-Table'!$B736-$C$2)*('S-Table'!$B736-$D$2)=0,IF(('S-Table'!$C736-$C$3)*('S-Table'!$C736-$D$3)=0,'S-Table'!D736,0),0)</f>
        <v>0</v>
      </c>
      <c r="K736" s="14">
        <f>IF(('S-Table'!$B736-$C$2)*('S-Table'!$B736-$D$2)=0,IF(('S-Table'!$C736-$C$3)*('S-Table'!$C736-$D$3)=0,'S-Table'!E736,0),0)</f>
        <v>0</v>
      </c>
    </row>
    <row r="737" spans="6:11" x14ac:dyDescent="0.2">
      <c r="F737" s="14">
        <f>IF(G737=0,IF(G736=0,F736,F736+1),IF(G736=0,MAX(F$1:F736),MAX(F$1:F736)+1))</f>
        <v>21</v>
      </c>
      <c r="G737" s="14">
        <f>IF(('S-Table'!$B737-$C$2)*('S-Table'!$B737-$D$2)=0,IF(('S-Table'!$C737-$C$3)*('S-Table'!$C737-$D$3)=0,'S-Table'!A737,0),0)</f>
        <v>0</v>
      </c>
      <c r="H737" s="14">
        <f>IF(('S-Table'!$B737-$C$2)*('S-Table'!$B737-$D$2)=0,IF(('S-Table'!$C737-$C$3)*('S-Table'!$C737-$D$3)=0,'S-Table'!B737,0),0)</f>
        <v>0</v>
      </c>
      <c r="I737" s="14">
        <f>IF(('S-Table'!$B737-$C$2)*('S-Table'!$B737-$D$2)=0,IF(('S-Table'!$C737-$C$3)*('S-Table'!$C737-$D$3)=0,'S-Table'!C737,0),0)</f>
        <v>0</v>
      </c>
      <c r="J737" s="14">
        <f>IF(('S-Table'!$B737-$C$2)*('S-Table'!$B737-$D$2)=0,IF(('S-Table'!$C737-$C$3)*('S-Table'!$C737-$D$3)=0,'S-Table'!D737,0),0)</f>
        <v>0</v>
      </c>
      <c r="K737" s="14">
        <f>IF(('S-Table'!$B737-$C$2)*('S-Table'!$B737-$D$2)=0,IF(('S-Table'!$C737-$C$3)*('S-Table'!$C737-$D$3)=0,'S-Table'!E737,0),0)</f>
        <v>0</v>
      </c>
    </row>
    <row r="738" spans="6:11" x14ac:dyDescent="0.2">
      <c r="F738" s="14">
        <f>IF(G738=0,IF(G737=0,F737,F737+1),IF(G737=0,MAX(F$1:F737),MAX(F$1:F737)+1))</f>
        <v>21</v>
      </c>
      <c r="G738" s="14">
        <f>IF(('S-Table'!$B738-$C$2)*('S-Table'!$B738-$D$2)=0,IF(('S-Table'!$C738-$C$3)*('S-Table'!$C738-$D$3)=0,'S-Table'!A738,0),0)</f>
        <v>0</v>
      </c>
      <c r="H738" s="14">
        <f>IF(('S-Table'!$B738-$C$2)*('S-Table'!$B738-$D$2)=0,IF(('S-Table'!$C738-$C$3)*('S-Table'!$C738-$D$3)=0,'S-Table'!B738,0),0)</f>
        <v>0</v>
      </c>
      <c r="I738" s="14">
        <f>IF(('S-Table'!$B738-$C$2)*('S-Table'!$B738-$D$2)=0,IF(('S-Table'!$C738-$C$3)*('S-Table'!$C738-$D$3)=0,'S-Table'!C738,0),0)</f>
        <v>0</v>
      </c>
      <c r="J738" s="14">
        <f>IF(('S-Table'!$B738-$C$2)*('S-Table'!$B738-$D$2)=0,IF(('S-Table'!$C738-$C$3)*('S-Table'!$C738-$D$3)=0,'S-Table'!D738,0),0)</f>
        <v>0</v>
      </c>
      <c r="K738" s="14">
        <f>IF(('S-Table'!$B738-$C$2)*('S-Table'!$B738-$D$2)=0,IF(('S-Table'!$C738-$C$3)*('S-Table'!$C738-$D$3)=0,'S-Table'!E738,0),0)</f>
        <v>0</v>
      </c>
    </row>
    <row r="739" spans="6:11" x14ac:dyDescent="0.2">
      <c r="F739" s="14">
        <f>IF(G739=0,IF(G738=0,F738,F738+1),IF(G738=0,MAX(F$1:F738),MAX(F$1:F738)+1))</f>
        <v>21</v>
      </c>
      <c r="G739" s="14">
        <f>IF(('S-Table'!$B739-$C$2)*('S-Table'!$B739-$D$2)=0,IF(('S-Table'!$C739-$C$3)*('S-Table'!$C739-$D$3)=0,'S-Table'!A739,0),0)</f>
        <v>0</v>
      </c>
      <c r="H739" s="14">
        <f>IF(('S-Table'!$B739-$C$2)*('S-Table'!$B739-$D$2)=0,IF(('S-Table'!$C739-$C$3)*('S-Table'!$C739-$D$3)=0,'S-Table'!B739,0),0)</f>
        <v>0</v>
      </c>
      <c r="I739" s="14">
        <f>IF(('S-Table'!$B739-$C$2)*('S-Table'!$B739-$D$2)=0,IF(('S-Table'!$C739-$C$3)*('S-Table'!$C739-$D$3)=0,'S-Table'!C739,0),0)</f>
        <v>0</v>
      </c>
      <c r="J739" s="14">
        <f>IF(('S-Table'!$B739-$C$2)*('S-Table'!$B739-$D$2)=0,IF(('S-Table'!$C739-$C$3)*('S-Table'!$C739-$D$3)=0,'S-Table'!D739,0),0)</f>
        <v>0</v>
      </c>
      <c r="K739" s="14">
        <f>IF(('S-Table'!$B739-$C$2)*('S-Table'!$B739-$D$2)=0,IF(('S-Table'!$C739-$C$3)*('S-Table'!$C739-$D$3)=0,'S-Table'!E739,0),0)</f>
        <v>0</v>
      </c>
    </row>
    <row r="740" spans="6:11" x14ac:dyDescent="0.2">
      <c r="F740" s="14">
        <f>IF(G740=0,IF(G739=0,F739,F739+1),IF(G739=0,MAX(F$1:F739),MAX(F$1:F739)+1))</f>
        <v>21</v>
      </c>
      <c r="G740" s="14">
        <f>IF(('S-Table'!$B740-$C$2)*('S-Table'!$B740-$D$2)=0,IF(('S-Table'!$C740-$C$3)*('S-Table'!$C740-$D$3)=0,'S-Table'!A740,0),0)</f>
        <v>0</v>
      </c>
      <c r="H740" s="14">
        <f>IF(('S-Table'!$B740-$C$2)*('S-Table'!$B740-$D$2)=0,IF(('S-Table'!$C740-$C$3)*('S-Table'!$C740-$D$3)=0,'S-Table'!B740,0),0)</f>
        <v>0</v>
      </c>
      <c r="I740" s="14">
        <f>IF(('S-Table'!$B740-$C$2)*('S-Table'!$B740-$D$2)=0,IF(('S-Table'!$C740-$C$3)*('S-Table'!$C740-$D$3)=0,'S-Table'!C740,0),0)</f>
        <v>0</v>
      </c>
      <c r="J740" s="14">
        <f>IF(('S-Table'!$B740-$C$2)*('S-Table'!$B740-$D$2)=0,IF(('S-Table'!$C740-$C$3)*('S-Table'!$C740-$D$3)=0,'S-Table'!D740,0),0)</f>
        <v>0</v>
      </c>
      <c r="K740" s="14">
        <f>IF(('S-Table'!$B740-$C$2)*('S-Table'!$B740-$D$2)=0,IF(('S-Table'!$C740-$C$3)*('S-Table'!$C740-$D$3)=0,'S-Table'!E740,0),0)</f>
        <v>0</v>
      </c>
    </row>
    <row r="741" spans="6:11" x14ac:dyDescent="0.2">
      <c r="F741" s="14">
        <f>IF(G741=0,IF(G740=0,F740,F740+1),IF(G740=0,MAX(F$1:F740),MAX(F$1:F740)+1))</f>
        <v>21</v>
      </c>
      <c r="G741" s="14">
        <f>IF(('S-Table'!$B741-$C$2)*('S-Table'!$B741-$D$2)=0,IF(('S-Table'!$C741-$C$3)*('S-Table'!$C741-$D$3)=0,'S-Table'!A741,0),0)</f>
        <v>0</v>
      </c>
      <c r="H741" s="14">
        <f>IF(('S-Table'!$B741-$C$2)*('S-Table'!$B741-$D$2)=0,IF(('S-Table'!$C741-$C$3)*('S-Table'!$C741-$D$3)=0,'S-Table'!B741,0),0)</f>
        <v>0</v>
      </c>
      <c r="I741" s="14">
        <f>IF(('S-Table'!$B741-$C$2)*('S-Table'!$B741-$D$2)=0,IF(('S-Table'!$C741-$C$3)*('S-Table'!$C741-$D$3)=0,'S-Table'!C741,0),0)</f>
        <v>0</v>
      </c>
      <c r="J741" s="14">
        <f>IF(('S-Table'!$B741-$C$2)*('S-Table'!$B741-$D$2)=0,IF(('S-Table'!$C741-$C$3)*('S-Table'!$C741-$D$3)=0,'S-Table'!D741,0),0)</f>
        <v>0</v>
      </c>
      <c r="K741" s="14">
        <f>IF(('S-Table'!$B741-$C$2)*('S-Table'!$B741-$D$2)=0,IF(('S-Table'!$C741-$C$3)*('S-Table'!$C741-$D$3)=0,'S-Table'!E741,0),0)</f>
        <v>0</v>
      </c>
    </row>
    <row r="742" spans="6:11" x14ac:dyDescent="0.2">
      <c r="F742" s="14">
        <f>IF(G742=0,IF(G741=0,F741,F741+1),IF(G741=0,MAX(F$1:F741),MAX(F$1:F741)+1))</f>
        <v>21</v>
      </c>
      <c r="G742" s="14">
        <f>IF(('S-Table'!$B742-$C$2)*('S-Table'!$B742-$D$2)=0,IF(('S-Table'!$C742-$C$3)*('S-Table'!$C742-$D$3)=0,'S-Table'!A742,0),0)</f>
        <v>0</v>
      </c>
      <c r="H742" s="14">
        <f>IF(('S-Table'!$B742-$C$2)*('S-Table'!$B742-$D$2)=0,IF(('S-Table'!$C742-$C$3)*('S-Table'!$C742-$D$3)=0,'S-Table'!B742,0),0)</f>
        <v>0</v>
      </c>
      <c r="I742" s="14">
        <f>IF(('S-Table'!$B742-$C$2)*('S-Table'!$B742-$D$2)=0,IF(('S-Table'!$C742-$C$3)*('S-Table'!$C742-$D$3)=0,'S-Table'!C742,0),0)</f>
        <v>0</v>
      </c>
      <c r="J742" s="14">
        <f>IF(('S-Table'!$B742-$C$2)*('S-Table'!$B742-$D$2)=0,IF(('S-Table'!$C742-$C$3)*('S-Table'!$C742-$D$3)=0,'S-Table'!D742,0),0)</f>
        <v>0</v>
      </c>
      <c r="K742" s="14">
        <f>IF(('S-Table'!$B742-$C$2)*('S-Table'!$B742-$D$2)=0,IF(('S-Table'!$C742-$C$3)*('S-Table'!$C742-$D$3)=0,'S-Table'!E742,0),0)</f>
        <v>0</v>
      </c>
    </row>
    <row r="743" spans="6:11" x14ac:dyDescent="0.2">
      <c r="F743" s="14">
        <f>IF(G743=0,IF(G742=0,F742,F742+1),IF(G742=0,MAX(F$1:F742),MAX(F$1:F742)+1))</f>
        <v>21</v>
      </c>
      <c r="G743" s="14">
        <f>IF(('S-Table'!$B743-$C$2)*('S-Table'!$B743-$D$2)=0,IF(('S-Table'!$C743-$C$3)*('S-Table'!$C743-$D$3)=0,'S-Table'!A743,0),0)</f>
        <v>0</v>
      </c>
      <c r="H743" s="14">
        <f>IF(('S-Table'!$B743-$C$2)*('S-Table'!$B743-$D$2)=0,IF(('S-Table'!$C743-$C$3)*('S-Table'!$C743-$D$3)=0,'S-Table'!B743,0),0)</f>
        <v>0</v>
      </c>
      <c r="I743" s="14">
        <f>IF(('S-Table'!$B743-$C$2)*('S-Table'!$B743-$D$2)=0,IF(('S-Table'!$C743-$C$3)*('S-Table'!$C743-$D$3)=0,'S-Table'!C743,0),0)</f>
        <v>0</v>
      </c>
      <c r="J743" s="14">
        <f>IF(('S-Table'!$B743-$C$2)*('S-Table'!$B743-$D$2)=0,IF(('S-Table'!$C743-$C$3)*('S-Table'!$C743-$D$3)=0,'S-Table'!D743,0),0)</f>
        <v>0</v>
      </c>
      <c r="K743" s="14">
        <f>IF(('S-Table'!$B743-$C$2)*('S-Table'!$B743-$D$2)=0,IF(('S-Table'!$C743-$C$3)*('S-Table'!$C743-$D$3)=0,'S-Table'!E743,0),0)</f>
        <v>0</v>
      </c>
    </row>
    <row r="744" spans="6:11" x14ac:dyDescent="0.2">
      <c r="F744" s="14">
        <f>IF(G744=0,IF(G743=0,F743,F743+1),IF(G743=0,MAX(F$1:F743),MAX(F$1:F743)+1))</f>
        <v>21</v>
      </c>
      <c r="G744" s="14">
        <f>IF(('S-Table'!$B744-$C$2)*('S-Table'!$B744-$D$2)=0,IF(('S-Table'!$C744-$C$3)*('S-Table'!$C744-$D$3)=0,'S-Table'!A744,0),0)</f>
        <v>0</v>
      </c>
      <c r="H744" s="14">
        <f>IF(('S-Table'!$B744-$C$2)*('S-Table'!$B744-$D$2)=0,IF(('S-Table'!$C744-$C$3)*('S-Table'!$C744-$D$3)=0,'S-Table'!B744,0),0)</f>
        <v>0</v>
      </c>
      <c r="I744" s="14">
        <f>IF(('S-Table'!$B744-$C$2)*('S-Table'!$B744-$D$2)=0,IF(('S-Table'!$C744-$C$3)*('S-Table'!$C744-$D$3)=0,'S-Table'!C744,0),0)</f>
        <v>0</v>
      </c>
      <c r="J744" s="14">
        <f>IF(('S-Table'!$B744-$C$2)*('S-Table'!$B744-$D$2)=0,IF(('S-Table'!$C744-$C$3)*('S-Table'!$C744-$D$3)=0,'S-Table'!D744,0),0)</f>
        <v>0</v>
      </c>
      <c r="K744" s="14">
        <f>IF(('S-Table'!$B744-$C$2)*('S-Table'!$B744-$D$2)=0,IF(('S-Table'!$C744-$C$3)*('S-Table'!$C744-$D$3)=0,'S-Table'!E744,0),0)</f>
        <v>0</v>
      </c>
    </row>
    <row r="745" spans="6:11" x14ac:dyDescent="0.2">
      <c r="F745" s="14">
        <f>IF(G745=0,IF(G744=0,F744,F744+1),IF(G744=0,MAX(F$1:F744),MAX(F$1:F744)+1))</f>
        <v>21</v>
      </c>
      <c r="G745" s="14">
        <f>IF(('S-Table'!$B745-$C$2)*('S-Table'!$B745-$D$2)=0,IF(('S-Table'!$C745-$C$3)*('S-Table'!$C745-$D$3)=0,'S-Table'!A745,0),0)</f>
        <v>0</v>
      </c>
      <c r="H745" s="14">
        <f>IF(('S-Table'!$B745-$C$2)*('S-Table'!$B745-$D$2)=0,IF(('S-Table'!$C745-$C$3)*('S-Table'!$C745-$D$3)=0,'S-Table'!B745,0),0)</f>
        <v>0</v>
      </c>
      <c r="I745" s="14">
        <f>IF(('S-Table'!$B745-$C$2)*('S-Table'!$B745-$D$2)=0,IF(('S-Table'!$C745-$C$3)*('S-Table'!$C745-$D$3)=0,'S-Table'!C745,0),0)</f>
        <v>0</v>
      </c>
      <c r="J745" s="14">
        <f>IF(('S-Table'!$B745-$C$2)*('S-Table'!$B745-$D$2)=0,IF(('S-Table'!$C745-$C$3)*('S-Table'!$C745-$D$3)=0,'S-Table'!D745,0),0)</f>
        <v>0</v>
      </c>
      <c r="K745" s="14">
        <f>IF(('S-Table'!$B745-$C$2)*('S-Table'!$B745-$D$2)=0,IF(('S-Table'!$C745-$C$3)*('S-Table'!$C745-$D$3)=0,'S-Table'!E745,0),0)</f>
        <v>0</v>
      </c>
    </row>
    <row r="746" spans="6:11" x14ac:dyDescent="0.2">
      <c r="F746" s="14">
        <f>IF(G746=0,IF(G745=0,F745,F745+1),IF(G745=0,MAX(F$1:F745),MAX(F$1:F745)+1))</f>
        <v>21</v>
      </c>
      <c r="G746" s="14">
        <f>IF(('S-Table'!$B746-$C$2)*('S-Table'!$B746-$D$2)=0,IF(('S-Table'!$C746-$C$3)*('S-Table'!$C746-$D$3)=0,'S-Table'!A746,0),0)</f>
        <v>0</v>
      </c>
      <c r="H746" s="14">
        <f>IF(('S-Table'!$B746-$C$2)*('S-Table'!$B746-$D$2)=0,IF(('S-Table'!$C746-$C$3)*('S-Table'!$C746-$D$3)=0,'S-Table'!B746,0),0)</f>
        <v>0</v>
      </c>
      <c r="I746" s="14">
        <f>IF(('S-Table'!$B746-$C$2)*('S-Table'!$B746-$D$2)=0,IF(('S-Table'!$C746-$C$3)*('S-Table'!$C746-$D$3)=0,'S-Table'!C746,0),0)</f>
        <v>0</v>
      </c>
      <c r="J746" s="14">
        <f>IF(('S-Table'!$B746-$C$2)*('S-Table'!$B746-$D$2)=0,IF(('S-Table'!$C746-$C$3)*('S-Table'!$C746-$D$3)=0,'S-Table'!D746,0),0)</f>
        <v>0</v>
      </c>
      <c r="K746" s="14">
        <f>IF(('S-Table'!$B746-$C$2)*('S-Table'!$B746-$D$2)=0,IF(('S-Table'!$C746-$C$3)*('S-Table'!$C746-$D$3)=0,'S-Table'!E746,0),0)</f>
        <v>0</v>
      </c>
    </row>
    <row r="747" spans="6:11" x14ac:dyDescent="0.2">
      <c r="F747" s="14">
        <f>IF(G747=0,IF(G746=0,F746,F746+1),IF(G746=0,MAX(F$1:F746),MAX(F$1:F746)+1))</f>
        <v>21</v>
      </c>
      <c r="G747" s="14">
        <f>IF(('S-Table'!$B747-$C$2)*('S-Table'!$B747-$D$2)=0,IF(('S-Table'!$C747-$C$3)*('S-Table'!$C747-$D$3)=0,'S-Table'!A747,0),0)</f>
        <v>0</v>
      </c>
      <c r="H747" s="14">
        <f>IF(('S-Table'!$B747-$C$2)*('S-Table'!$B747-$D$2)=0,IF(('S-Table'!$C747-$C$3)*('S-Table'!$C747-$D$3)=0,'S-Table'!B747,0),0)</f>
        <v>0</v>
      </c>
      <c r="I747" s="14">
        <f>IF(('S-Table'!$B747-$C$2)*('S-Table'!$B747-$D$2)=0,IF(('S-Table'!$C747-$C$3)*('S-Table'!$C747-$D$3)=0,'S-Table'!C747,0),0)</f>
        <v>0</v>
      </c>
      <c r="J747" s="14">
        <f>IF(('S-Table'!$B747-$C$2)*('S-Table'!$B747-$D$2)=0,IF(('S-Table'!$C747-$C$3)*('S-Table'!$C747-$D$3)=0,'S-Table'!D747,0),0)</f>
        <v>0</v>
      </c>
      <c r="K747" s="14">
        <f>IF(('S-Table'!$B747-$C$2)*('S-Table'!$B747-$D$2)=0,IF(('S-Table'!$C747-$C$3)*('S-Table'!$C747-$D$3)=0,'S-Table'!E747,0),0)</f>
        <v>0</v>
      </c>
    </row>
    <row r="748" spans="6:11" x14ac:dyDescent="0.2">
      <c r="F748" s="14">
        <f>IF(G748=0,IF(G747=0,F747,F747+1),IF(G747=0,MAX(F$1:F747),MAX(F$1:F747)+1))</f>
        <v>21</v>
      </c>
      <c r="G748" s="14">
        <f>IF(('S-Table'!$B748-$C$2)*('S-Table'!$B748-$D$2)=0,IF(('S-Table'!$C748-$C$3)*('S-Table'!$C748-$D$3)=0,'S-Table'!A748,0),0)</f>
        <v>0</v>
      </c>
      <c r="H748" s="14">
        <f>IF(('S-Table'!$B748-$C$2)*('S-Table'!$B748-$D$2)=0,IF(('S-Table'!$C748-$C$3)*('S-Table'!$C748-$D$3)=0,'S-Table'!B748,0),0)</f>
        <v>0</v>
      </c>
      <c r="I748" s="14">
        <f>IF(('S-Table'!$B748-$C$2)*('S-Table'!$B748-$D$2)=0,IF(('S-Table'!$C748-$C$3)*('S-Table'!$C748-$D$3)=0,'S-Table'!C748,0),0)</f>
        <v>0</v>
      </c>
      <c r="J748" s="14">
        <f>IF(('S-Table'!$B748-$C$2)*('S-Table'!$B748-$D$2)=0,IF(('S-Table'!$C748-$C$3)*('S-Table'!$C748-$D$3)=0,'S-Table'!D748,0),0)</f>
        <v>0</v>
      </c>
      <c r="K748" s="14">
        <f>IF(('S-Table'!$B748-$C$2)*('S-Table'!$B748-$D$2)=0,IF(('S-Table'!$C748-$C$3)*('S-Table'!$C748-$D$3)=0,'S-Table'!E748,0),0)</f>
        <v>0</v>
      </c>
    </row>
    <row r="749" spans="6:11" x14ac:dyDescent="0.2">
      <c r="F749" s="14">
        <f>IF(G749=0,IF(G748=0,F748,F748+1),IF(G748=0,MAX(F$1:F748),MAX(F$1:F748)+1))</f>
        <v>21</v>
      </c>
      <c r="G749" s="14">
        <f>IF(('S-Table'!$B749-$C$2)*('S-Table'!$B749-$D$2)=0,IF(('S-Table'!$C749-$C$3)*('S-Table'!$C749-$D$3)=0,'S-Table'!A749,0),0)</f>
        <v>0</v>
      </c>
      <c r="H749" s="14">
        <f>IF(('S-Table'!$B749-$C$2)*('S-Table'!$B749-$D$2)=0,IF(('S-Table'!$C749-$C$3)*('S-Table'!$C749-$D$3)=0,'S-Table'!B749,0),0)</f>
        <v>0</v>
      </c>
      <c r="I749" s="14">
        <f>IF(('S-Table'!$B749-$C$2)*('S-Table'!$B749-$D$2)=0,IF(('S-Table'!$C749-$C$3)*('S-Table'!$C749-$D$3)=0,'S-Table'!C749,0),0)</f>
        <v>0</v>
      </c>
      <c r="J749" s="14">
        <f>IF(('S-Table'!$B749-$C$2)*('S-Table'!$B749-$D$2)=0,IF(('S-Table'!$C749-$C$3)*('S-Table'!$C749-$D$3)=0,'S-Table'!D749,0),0)</f>
        <v>0</v>
      </c>
      <c r="K749" s="14">
        <f>IF(('S-Table'!$B749-$C$2)*('S-Table'!$B749-$D$2)=0,IF(('S-Table'!$C749-$C$3)*('S-Table'!$C749-$D$3)=0,'S-Table'!E749,0),0)</f>
        <v>0</v>
      </c>
    </row>
    <row r="750" spans="6:11" x14ac:dyDescent="0.2">
      <c r="F750" s="14">
        <f>IF(G750=0,IF(G749=0,F749,F749+1),IF(G749=0,MAX(F$1:F749),MAX(F$1:F749)+1))</f>
        <v>21</v>
      </c>
      <c r="G750" s="14">
        <f>IF(('S-Table'!$B750-$C$2)*('S-Table'!$B750-$D$2)=0,IF(('S-Table'!$C750-$C$3)*('S-Table'!$C750-$D$3)=0,'S-Table'!A750,0),0)</f>
        <v>0</v>
      </c>
      <c r="H750" s="14">
        <f>IF(('S-Table'!$B750-$C$2)*('S-Table'!$B750-$D$2)=0,IF(('S-Table'!$C750-$C$3)*('S-Table'!$C750-$D$3)=0,'S-Table'!B750,0),0)</f>
        <v>0</v>
      </c>
      <c r="I750" s="14">
        <f>IF(('S-Table'!$B750-$C$2)*('S-Table'!$B750-$D$2)=0,IF(('S-Table'!$C750-$C$3)*('S-Table'!$C750-$D$3)=0,'S-Table'!C750,0),0)</f>
        <v>0</v>
      </c>
      <c r="J750" s="14">
        <f>IF(('S-Table'!$B750-$C$2)*('S-Table'!$B750-$D$2)=0,IF(('S-Table'!$C750-$C$3)*('S-Table'!$C750-$D$3)=0,'S-Table'!D750,0),0)</f>
        <v>0</v>
      </c>
      <c r="K750" s="14">
        <f>IF(('S-Table'!$B750-$C$2)*('S-Table'!$B750-$D$2)=0,IF(('S-Table'!$C750-$C$3)*('S-Table'!$C750-$D$3)=0,'S-Table'!E750,0),0)</f>
        <v>0</v>
      </c>
    </row>
    <row r="751" spans="6:11" x14ac:dyDescent="0.2">
      <c r="F751" s="14">
        <f>IF(G751=0,IF(G750=0,F750,F750+1),IF(G750=0,MAX(F$1:F750),MAX(F$1:F750)+1))</f>
        <v>21</v>
      </c>
      <c r="G751" s="14">
        <f>IF(('S-Table'!$B751-$C$2)*('S-Table'!$B751-$D$2)=0,IF(('S-Table'!$C751-$C$3)*('S-Table'!$C751-$D$3)=0,'S-Table'!A751,0),0)</f>
        <v>0</v>
      </c>
      <c r="H751" s="14">
        <f>IF(('S-Table'!$B751-$C$2)*('S-Table'!$B751-$D$2)=0,IF(('S-Table'!$C751-$C$3)*('S-Table'!$C751-$D$3)=0,'S-Table'!B751,0),0)</f>
        <v>0</v>
      </c>
      <c r="I751" s="14">
        <f>IF(('S-Table'!$B751-$C$2)*('S-Table'!$B751-$D$2)=0,IF(('S-Table'!$C751-$C$3)*('S-Table'!$C751-$D$3)=0,'S-Table'!C751,0),0)</f>
        <v>0</v>
      </c>
      <c r="J751" s="14">
        <f>IF(('S-Table'!$B751-$C$2)*('S-Table'!$B751-$D$2)=0,IF(('S-Table'!$C751-$C$3)*('S-Table'!$C751-$D$3)=0,'S-Table'!D751,0),0)</f>
        <v>0</v>
      </c>
      <c r="K751" s="14">
        <f>IF(('S-Table'!$B751-$C$2)*('S-Table'!$B751-$D$2)=0,IF(('S-Table'!$C751-$C$3)*('S-Table'!$C751-$D$3)=0,'S-Table'!E751,0),0)</f>
        <v>0</v>
      </c>
    </row>
    <row r="752" spans="6:11" x14ac:dyDescent="0.2">
      <c r="F752" s="14">
        <f>IF(G752=0,IF(G751=0,F751,F751+1),IF(G751=0,MAX(F$1:F751),MAX(F$1:F751)+1))</f>
        <v>21</v>
      </c>
      <c r="G752" s="14">
        <f>IF(('S-Table'!$B752-$C$2)*('S-Table'!$B752-$D$2)=0,IF(('S-Table'!$C752-$C$3)*('S-Table'!$C752-$D$3)=0,'S-Table'!A752,0),0)</f>
        <v>0</v>
      </c>
      <c r="H752" s="14">
        <f>IF(('S-Table'!$B752-$C$2)*('S-Table'!$B752-$D$2)=0,IF(('S-Table'!$C752-$C$3)*('S-Table'!$C752-$D$3)=0,'S-Table'!B752,0),0)</f>
        <v>0</v>
      </c>
      <c r="I752" s="14">
        <f>IF(('S-Table'!$B752-$C$2)*('S-Table'!$B752-$D$2)=0,IF(('S-Table'!$C752-$C$3)*('S-Table'!$C752-$D$3)=0,'S-Table'!C752,0),0)</f>
        <v>0</v>
      </c>
      <c r="J752" s="14">
        <f>IF(('S-Table'!$B752-$C$2)*('S-Table'!$B752-$D$2)=0,IF(('S-Table'!$C752-$C$3)*('S-Table'!$C752-$D$3)=0,'S-Table'!D752,0),0)</f>
        <v>0</v>
      </c>
      <c r="K752" s="14">
        <f>IF(('S-Table'!$B752-$C$2)*('S-Table'!$B752-$D$2)=0,IF(('S-Table'!$C752-$C$3)*('S-Table'!$C752-$D$3)=0,'S-Table'!E752,0),0)</f>
        <v>0</v>
      </c>
    </row>
    <row r="753" spans="6:11" x14ac:dyDescent="0.2">
      <c r="F753" s="14">
        <f>IF(G753=0,IF(G752=0,F752,F752+1),IF(G752=0,MAX(F$1:F752),MAX(F$1:F752)+1))</f>
        <v>21</v>
      </c>
      <c r="G753" s="14">
        <f>IF(('S-Table'!$B753-$C$2)*('S-Table'!$B753-$D$2)=0,IF(('S-Table'!$C753-$C$3)*('S-Table'!$C753-$D$3)=0,'S-Table'!A753,0),0)</f>
        <v>0</v>
      </c>
      <c r="H753" s="14">
        <f>IF(('S-Table'!$B753-$C$2)*('S-Table'!$B753-$D$2)=0,IF(('S-Table'!$C753-$C$3)*('S-Table'!$C753-$D$3)=0,'S-Table'!B753,0),0)</f>
        <v>0</v>
      </c>
      <c r="I753" s="14">
        <f>IF(('S-Table'!$B753-$C$2)*('S-Table'!$B753-$D$2)=0,IF(('S-Table'!$C753-$C$3)*('S-Table'!$C753-$D$3)=0,'S-Table'!C753,0),0)</f>
        <v>0</v>
      </c>
      <c r="J753" s="14">
        <f>IF(('S-Table'!$B753-$C$2)*('S-Table'!$B753-$D$2)=0,IF(('S-Table'!$C753-$C$3)*('S-Table'!$C753-$D$3)=0,'S-Table'!D753,0),0)</f>
        <v>0</v>
      </c>
      <c r="K753" s="14">
        <f>IF(('S-Table'!$B753-$C$2)*('S-Table'!$B753-$D$2)=0,IF(('S-Table'!$C753-$C$3)*('S-Table'!$C753-$D$3)=0,'S-Table'!E753,0),0)</f>
        <v>0</v>
      </c>
    </row>
    <row r="754" spans="6:11" x14ac:dyDescent="0.2">
      <c r="F754" s="14">
        <f>IF(G754=0,IF(G753=0,F753,F753+1),IF(G753=0,MAX(F$1:F753),MAX(F$1:F753)+1))</f>
        <v>21</v>
      </c>
      <c r="G754" s="14">
        <f>IF(('S-Table'!$B754-$C$2)*('S-Table'!$B754-$D$2)=0,IF(('S-Table'!$C754-$C$3)*('S-Table'!$C754-$D$3)=0,'S-Table'!A754,0),0)</f>
        <v>0</v>
      </c>
      <c r="H754" s="14">
        <f>IF(('S-Table'!$B754-$C$2)*('S-Table'!$B754-$D$2)=0,IF(('S-Table'!$C754-$C$3)*('S-Table'!$C754-$D$3)=0,'S-Table'!B754,0),0)</f>
        <v>0</v>
      </c>
      <c r="I754" s="14">
        <f>IF(('S-Table'!$B754-$C$2)*('S-Table'!$B754-$D$2)=0,IF(('S-Table'!$C754-$C$3)*('S-Table'!$C754-$D$3)=0,'S-Table'!C754,0),0)</f>
        <v>0</v>
      </c>
      <c r="J754" s="14">
        <f>IF(('S-Table'!$B754-$C$2)*('S-Table'!$B754-$D$2)=0,IF(('S-Table'!$C754-$C$3)*('S-Table'!$C754-$D$3)=0,'S-Table'!D754,0),0)</f>
        <v>0</v>
      </c>
      <c r="K754" s="14">
        <f>IF(('S-Table'!$B754-$C$2)*('S-Table'!$B754-$D$2)=0,IF(('S-Table'!$C754-$C$3)*('S-Table'!$C754-$D$3)=0,'S-Table'!E754,0),0)</f>
        <v>0</v>
      </c>
    </row>
    <row r="755" spans="6:11" x14ac:dyDescent="0.2">
      <c r="F755" s="14">
        <f>IF(G755=0,IF(G754=0,F754,F754+1),IF(G754=0,MAX(F$1:F754),MAX(F$1:F754)+1))</f>
        <v>21</v>
      </c>
      <c r="G755" s="14">
        <f>IF(('S-Table'!$B755-$C$2)*('S-Table'!$B755-$D$2)=0,IF(('S-Table'!$C755-$C$3)*('S-Table'!$C755-$D$3)=0,'S-Table'!A755,0),0)</f>
        <v>0</v>
      </c>
      <c r="H755" s="14">
        <f>IF(('S-Table'!$B755-$C$2)*('S-Table'!$B755-$D$2)=0,IF(('S-Table'!$C755-$C$3)*('S-Table'!$C755-$D$3)=0,'S-Table'!B755,0),0)</f>
        <v>0</v>
      </c>
      <c r="I755" s="14">
        <f>IF(('S-Table'!$B755-$C$2)*('S-Table'!$B755-$D$2)=0,IF(('S-Table'!$C755-$C$3)*('S-Table'!$C755-$D$3)=0,'S-Table'!C755,0),0)</f>
        <v>0</v>
      </c>
      <c r="J755" s="14">
        <f>IF(('S-Table'!$B755-$C$2)*('S-Table'!$B755-$D$2)=0,IF(('S-Table'!$C755-$C$3)*('S-Table'!$C755-$D$3)=0,'S-Table'!D755,0),0)</f>
        <v>0</v>
      </c>
      <c r="K755" s="14">
        <f>IF(('S-Table'!$B755-$C$2)*('S-Table'!$B755-$D$2)=0,IF(('S-Table'!$C755-$C$3)*('S-Table'!$C755-$D$3)=0,'S-Table'!E755,0),0)</f>
        <v>0</v>
      </c>
    </row>
    <row r="756" spans="6:11" x14ac:dyDescent="0.2">
      <c r="F756" s="14">
        <f>IF(G756=0,IF(G755=0,F755,F755+1),IF(G755=0,MAX(F$1:F755),MAX(F$1:F755)+1))</f>
        <v>21</v>
      </c>
      <c r="G756" s="14">
        <f>IF(('S-Table'!$B756-$C$2)*('S-Table'!$B756-$D$2)=0,IF(('S-Table'!$C756-$C$3)*('S-Table'!$C756-$D$3)=0,'S-Table'!A756,0),0)</f>
        <v>0</v>
      </c>
      <c r="H756" s="14">
        <f>IF(('S-Table'!$B756-$C$2)*('S-Table'!$B756-$D$2)=0,IF(('S-Table'!$C756-$C$3)*('S-Table'!$C756-$D$3)=0,'S-Table'!B756,0),0)</f>
        <v>0</v>
      </c>
      <c r="I756" s="14">
        <f>IF(('S-Table'!$B756-$C$2)*('S-Table'!$B756-$D$2)=0,IF(('S-Table'!$C756-$C$3)*('S-Table'!$C756-$D$3)=0,'S-Table'!C756,0),0)</f>
        <v>0</v>
      </c>
      <c r="J756" s="14">
        <f>IF(('S-Table'!$B756-$C$2)*('S-Table'!$B756-$D$2)=0,IF(('S-Table'!$C756-$C$3)*('S-Table'!$C756-$D$3)=0,'S-Table'!D756,0),0)</f>
        <v>0</v>
      </c>
      <c r="K756" s="14">
        <f>IF(('S-Table'!$B756-$C$2)*('S-Table'!$B756-$D$2)=0,IF(('S-Table'!$C756-$C$3)*('S-Table'!$C756-$D$3)=0,'S-Table'!E756,0),0)</f>
        <v>0</v>
      </c>
    </row>
    <row r="757" spans="6:11" x14ac:dyDescent="0.2">
      <c r="F757" s="14">
        <f>IF(G757=0,IF(G756=0,F756,F756+1),IF(G756=0,MAX(F$1:F756),MAX(F$1:F756)+1))</f>
        <v>21</v>
      </c>
      <c r="G757" s="14">
        <f>IF(('S-Table'!$B757-$C$2)*('S-Table'!$B757-$D$2)=0,IF(('S-Table'!$C757-$C$3)*('S-Table'!$C757-$D$3)=0,'S-Table'!A757,0),0)</f>
        <v>0</v>
      </c>
      <c r="H757" s="14">
        <f>IF(('S-Table'!$B757-$C$2)*('S-Table'!$B757-$D$2)=0,IF(('S-Table'!$C757-$C$3)*('S-Table'!$C757-$D$3)=0,'S-Table'!B757,0),0)</f>
        <v>0</v>
      </c>
      <c r="I757" s="14">
        <f>IF(('S-Table'!$B757-$C$2)*('S-Table'!$B757-$D$2)=0,IF(('S-Table'!$C757-$C$3)*('S-Table'!$C757-$D$3)=0,'S-Table'!C757,0),0)</f>
        <v>0</v>
      </c>
      <c r="J757" s="14">
        <f>IF(('S-Table'!$B757-$C$2)*('S-Table'!$B757-$D$2)=0,IF(('S-Table'!$C757-$C$3)*('S-Table'!$C757-$D$3)=0,'S-Table'!D757,0),0)</f>
        <v>0</v>
      </c>
      <c r="K757" s="14">
        <f>IF(('S-Table'!$B757-$C$2)*('S-Table'!$B757-$D$2)=0,IF(('S-Table'!$C757-$C$3)*('S-Table'!$C757-$D$3)=0,'S-Table'!E757,0),0)</f>
        <v>0</v>
      </c>
    </row>
    <row r="758" spans="6:11" x14ac:dyDescent="0.2">
      <c r="F758" s="14">
        <f>IF(G758=0,IF(G757=0,F757,F757+1),IF(G757=0,MAX(F$1:F757),MAX(F$1:F757)+1))</f>
        <v>21</v>
      </c>
      <c r="G758" s="14">
        <f>IF(('S-Table'!$B758-$C$2)*('S-Table'!$B758-$D$2)=0,IF(('S-Table'!$C758-$C$3)*('S-Table'!$C758-$D$3)=0,'S-Table'!A758,0),0)</f>
        <v>0</v>
      </c>
      <c r="H758" s="14">
        <f>IF(('S-Table'!$B758-$C$2)*('S-Table'!$B758-$D$2)=0,IF(('S-Table'!$C758-$C$3)*('S-Table'!$C758-$D$3)=0,'S-Table'!B758,0),0)</f>
        <v>0</v>
      </c>
      <c r="I758" s="14">
        <f>IF(('S-Table'!$B758-$C$2)*('S-Table'!$B758-$D$2)=0,IF(('S-Table'!$C758-$C$3)*('S-Table'!$C758-$D$3)=0,'S-Table'!C758,0),0)</f>
        <v>0</v>
      </c>
      <c r="J758" s="14">
        <f>IF(('S-Table'!$B758-$C$2)*('S-Table'!$B758-$D$2)=0,IF(('S-Table'!$C758-$C$3)*('S-Table'!$C758-$D$3)=0,'S-Table'!D758,0),0)</f>
        <v>0</v>
      </c>
      <c r="K758" s="14">
        <f>IF(('S-Table'!$B758-$C$2)*('S-Table'!$B758-$D$2)=0,IF(('S-Table'!$C758-$C$3)*('S-Table'!$C758-$D$3)=0,'S-Table'!E758,0),0)</f>
        <v>0</v>
      </c>
    </row>
    <row r="759" spans="6:11" x14ac:dyDescent="0.2">
      <c r="F759" s="14">
        <f>IF(G759=0,IF(G758=0,F758,F758+1),IF(G758=0,MAX(F$1:F758),MAX(F$1:F758)+1))</f>
        <v>21</v>
      </c>
      <c r="G759" s="14">
        <f>IF(('S-Table'!$B759-$C$2)*('S-Table'!$B759-$D$2)=0,IF(('S-Table'!$C759-$C$3)*('S-Table'!$C759-$D$3)=0,'S-Table'!A759,0),0)</f>
        <v>0</v>
      </c>
      <c r="H759" s="14">
        <f>IF(('S-Table'!$B759-$C$2)*('S-Table'!$B759-$D$2)=0,IF(('S-Table'!$C759-$C$3)*('S-Table'!$C759-$D$3)=0,'S-Table'!B759,0),0)</f>
        <v>0</v>
      </c>
      <c r="I759" s="14">
        <f>IF(('S-Table'!$B759-$C$2)*('S-Table'!$B759-$D$2)=0,IF(('S-Table'!$C759-$C$3)*('S-Table'!$C759-$D$3)=0,'S-Table'!C759,0),0)</f>
        <v>0</v>
      </c>
      <c r="J759" s="14">
        <f>IF(('S-Table'!$B759-$C$2)*('S-Table'!$B759-$D$2)=0,IF(('S-Table'!$C759-$C$3)*('S-Table'!$C759-$D$3)=0,'S-Table'!D759,0),0)</f>
        <v>0</v>
      </c>
      <c r="K759" s="14">
        <f>IF(('S-Table'!$B759-$C$2)*('S-Table'!$B759-$D$2)=0,IF(('S-Table'!$C759-$C$3)*('S-Table'!$C759-$D$3)=0,'S-Table'!E759,0),0)</f>
        <v>0</v>
      </c>
    </row>
    <row r="760" spans="6:11" x14ac:dyDescent="0.2">
      <c r="F760" s="14">
        <f>IF(G760=0,IF(G759=0,F759,F759+1),IF(G759=0,MAX(F$1:F759),MAX(F$1:F759)+1))</f>
        <v>21</v>
      </c>
      <c r="G760" s="14">
        <f>IF(('S-Table'!$B760-$C$2)*('S-Table'!$B760-$D$2)=0,IF(('S-Table'!$C760-$C$3)*('S-Table'!$C760-$D$3)=0,'S-Table'!A760,0),0)</f>
        <v>0</v>
      </c>
      <c r="H760" s="14">
        <f>IF(('S-Table'!$B760-$C$2)*('S-Table'!$B760-$D$2)=0,IF(('S-Table'!$C760-$C$3)*('S-Table'!$C760-$D$3)=0,'S-Table'!B760,0),0)</f>
        <v>0</v>
      </c>
      <c r="I760" s="14">
        <f>IF(('S-Table'!$B760-$C$2)*('S-Table'!$B760-$D$2)=0,IF(('S-Table'!$C760-$C$3)*('S-Table'!$C760-$D$3)=0,'S-Table'!C760,0),0)</f>
        <v>0</v>
      </c>
      <c r="J760" s="14">
        <f>IF(('S-Table'!$B760-$C$2)*('S-Table'!$B760-$D$2)=0,IF(('S-Table'!$C760-$C$3)*('S-Table'!$C760-$D$3)=0,'S-Table'!D760,0),0)</f>
        <v>0</v>
      </c>
      <c r="K760" s="14">
        <f>IF(('S-Table'!$B760-$C$2)*('S-Table'!$B760-$D$2)=0,IF(('S-Table'!$C760-$C$3)*('S-Table'!$C760-$D$3)=0,'S-Table'!E760,0),0)</f>
        <v>0</v>
      </c>
    </row>
    <row r="761" spans="6:11" x14ac:dyDescent="0.2">
      <c r="F761" s="14">
        <f>IF(G761=0,IF(G760=0,F760,F760+1),IF(G760=0,MAX(F$1:F760),MAX(F$1:F760)+1))</f>
        <v>21</v>
      </c>
      <c r="G761" s="14">
        <f>IF(('S-Table'!$B761-$C$2)*('S-Table'!$B761-$D$2)=0,IF(('S-Table'!$C761-$C$3)*('S-Table'!$C761-$D$3)=0,'S-Table'!A761,0),0)</f>
        <v>0</v>
      </c>
      <c r="H761" s="14">
        <f>IF(('S-Table'!$B761-$C$2)*('S-Table'!$B761-$D$2)=0,IF(('S-Table'!$C761-$C$3)*('S-Table'!$C761-$D$3)=0,'S-Table'!B761,0),0)</f>
        <v>0</v>
      </c>
      <c r="I761" s="14">
        <f>IF(('S-Table'!$B761-$C$2)*('S-Table'!$B761-$D$2)=0,IF(('S-Table'!$C761-$C$3)*('S-Table'!$C761-$D$3)=0,'S-Table'!C761,0),0)</f>
        <v>0</v>
      </c>
      <c r="J761" s="14">
        <f>IF(('S-Table'!$B761-$C$2)*('S-Table'!$B761-$D$2)=0,IF(('S-Table'!$C761-$C$3)*('S-Table'!$C761-$D$3)=0,'S-Table'!D761,0),0)</f>
        <v>0</v>
      </c>
      <c r="K761" s="14">
        <f>IF(('S-Table'!$B761-$C$2)*('S-Table'!$B761-$D$2)=0,IF(('S-Table'!$C761-$C$3)*('S-Table'!$C761-$D$3)=0,'S-Table'!E761,0),0)</f>
        <v>0</v>
      </c>
    </row>
    <row r="762" spans="6:11" x14ac:dyDescent="0.2">
      <c r="F762" s="14">
        <f>IF(G762=0,IF(G761=0,F761,F761+1),IF(G761=0,MAX(F$1:F761),MAX(F$1:F761)+1))</f>
        <v>21</v>
      </c>
      <c r="G762" s="14">
        <f>IF(('S-Table'!$B762-$C$2)*('S-Table'!$B762-$D$2)=0,IF(('S-Table'!$C762-$C$3)*('S-Table'!$C762-$D$3)=0,'S-Table'!A762,0),0)</f>
        <v>0</v>
      </c>
      <c r="H762" s="14">
        <f>IF(('S-Table'!$B762-$C$2)*('S-Table'!$B762-$D$2)=0,IF(('S-Table'!$C762-$C$3)*('S-Table'!$C762-$D$3)=0,'S-Table'!B762,0),0)</f>
        <v>0</v>
      </c>
      <c r="I762" s="14">
        <f>IF(('S-Table'!$B762-$C$2)*('S-Table'!$B762-$D$2)=0,IF(('S-Table'!$C762-$C$3)*('S-Table'!$C762-$D$3)=0,'S-Table'!C762,0),0)</f>
        <v>0</v>
      </c>
      <c r="J762" s="14">
        <f>IF(('S-Table'!$B762-$C$2)*('S-Table'!$B762-$D$2)=0,IF(('S-Table'!$C762-$C$3)*('S-Table'!$C762-$D$3)=0,'S-Table'!D762,0),0)</f>
        <v>0</v>
      </c>
      <c r="K762" s="14">
        <f>IF(('S-Table'!$B762-$C$2)*('S-Table'!$B762-$D$2)=0,IF(('S-Table'!$C762-$C$3)*('S-Table'!$C762-$D$3)=0,'S-Table'!E762,0),0)</f>
        <v>0</v>
      </c>
    </row>
    <row r="763" spans="6:11" x14ac:dyDescent="0.2">
      <c r="F763" s="14">
        <f>IF(G763=0,IF(G762=0,F762,F762+1),IF(G762=0,MAX(F$1:F762),MAX(F$1:F762)+1))</f>
        <v>21</v>
      </c>
      <c r="G763" s="14">
        <f>IF(('S-Table'!$B763-$C$2)*('S-Table'!$B763-$D$2)=0,IF(('S-Table'!$C763-$C$3)*('S-Table'!$C763-$D$3)=0,'S-Table'!A763,0),0)</f>
        <v>0</v>
      </c>
      <c r="H763" s="14">
        <f>IF(('S-Table'!$B763-$C$2)*('S-Table'!$B763-$D$2)=0,IF(('S-Table'!$C763-$C$3)*('S-Table'!$C763-$D$3)=0,'S-Table'!B763,0),0)</f>
        <v>0</v>
      </c>
      <c r="I763" s="14">
        <f>IF(('S-Table'!$B763-$C$2)*('S-Table'!$B763-$D$2)=0,IF(('S-Table'!$C763-$C$3)*('S-Table'!$C763-$D$3)=0,'S-Table'!C763,0),0)</f>
        <v>0</v>
      </c>
      <c r="J763" s="14">
        <f>IF(('S-Table'!$B763-$C$2)*('S-Table'!$B763-$D$2)=0,IF(('S-Table'!$C763-$C$3)*('S-Table'!$C763-$D$3)=0,'S-Table'!D763,0),0)</f>
        <v>0</v>
      </c>
      <c r="K763" s="14">
        <f>IF(('S-Table'!$B763-$C$2)*('S-Table'!$B763-$D$2)=0,IF(('S-Table'!$C763-$C$3)*('S-Table'!$C763-$D$3)=0,'S-Table'!E763,0),0)</f>
        <v>0</v>
      </c>
    </row>
    <row r="764" spans="6:11" x14ac:dyDescent="0.2">
      <c r="F764" s="14">
        <f>IF(G764=0,IF(G763=0,F763,F763+1),IF(G763=0,MAX(F$1:F763),MAX(F$1:F763)+1))</f>
        <v>21</v>
      </c>
      <c r="G764" s="14">
        <f>IF(('S-Table'!$B764-$C$2)*('S-Table'!$B764-$D$2)=0,IF(('S-Table'!$C764-$C$3)*('S-Table'!$C764-$D$3)=0,'S-Table'!A764,0),0)</f>
        <v>0</v>
      </c>
      <c r="H764" s="14">
        <f>IF(('S-Table'!$B764-$C$2)*('S-Table'!$B764-$D$2)=0,IF(('S-Table'!$C764-$C$3)*('S-Table'!$C764-$D$3)=0,'S-Table'!B764,0),0)</f>
        <v>0</v>
      </c>
      <c r="I764" s="14">
        <f>IF(('S-Table'!$B764-$C$2)*('S-Table'!$B764-$D$2)=0,IF(('S-Table'!$C764-$C$3)*('S-Table'!$C764-$D$3)=0,'S-Table'!C764,0),0)</f>
        <v>0</v>
      </c>
      <c r="J764" s="14">
        <f>IF(('S-Table'!$B764-$C$2)*('S-Table'!$B764-$D$2)=0,IF(('S-Table'!$C764-$C$3)*('S-Table'!$C764-$D$3)=0,'S-Table'!D764,0),0)</f>
        <v>0</v>
      </c>
      <c r="K764" s="14">
        <f>IF(('S-Table'!$B764-$C$2)*('S-Table'!$B764-$D$2)=0,IF(('S-Table'!$C764-$C$3)*('S-Table'!$C764-$D$3)=0,'S-Table'!E764,0),0)</f>
        <v>0</v>
      </c>
    </row>
    <row r="765" spans="6:11" x14ac:dyDescent="0.2">
      <c r="F765" s="14">
        <f>IF(G765=0,IF(G764=0,F764,F764+1),IF(G764=0,MAX(F$1:F764),MAX(F$1:F764)+1))</f>
        <v>21</v>
      </c>
      <c r="G765" s="14">
        <f>IF(('S-Table'!$B765-$C$2)*('S-Table'!$B765-$D$2)=0,IF(('S-Table'!$C765-$C$3)*('S-Table'!$C765-$D$3)=0,'S-Table'!A765,0),0)</f>
        <v>0</v>
      </c>
      <c r="H765" s="14">
        <f>IF(('S-Table'!$B765-$C$2)*('S-Table'!$B765-$D$2)=0,IF(('S-Table'!$C765-$C$3)*('S-Table'!$C765-$D$3)=0,'S-Table'!B765,0),0)</f>
        <v>0</v>
      </c>
      <c r="I765" s="14">
        <f>IF(('S-Table'!$B765-$C$2)*('S-Table'!$B765-$D$2)=0,IF(('S-Table'!$C765-$C$3)*('S-Table'!$C765-$D$3)=0,'S-Table'!C765,0),0)</f>
        <v>0</v>
      </c>
      <c r="J765" s="14">
        <f>IF(('S-Table'!$B765-$C$2)*('S-Table'!$B765-$D$2)=0,IF(('S-Table'!$C765-$C$3)*('S-Table'!$C765-$D$3)=0,'S-Table'!D765,0),0)</f>
        <v>0</v>
      </c>
      <c r="K765" s="14">
        <f>IF(('S-Table'!$B765-$C$2)*('S-Table'!$B765-$D$2)=0,IF(('S-Table'!$C765-$C$3)*('S-Table'!$C765-$D$3)=0,'S-Table'!E765,0),0)</f>
        <v>0</v>
      </c>
    </row>
    <row r="766" spans="6:11" x14ac:dyDescent="0.2">
      <c r="F766" s="14">
        <f>IF(G766=0,IF(G765=0,F765,F765+1),IF(G765=0,MAX(F$1:F765),MAX(F$1:F765)+1))</f>
        <v>21</v>
      </c>
      <c r="G766" s="14">
        <f>IF(('S-Table'!$B766-$C$2)*('S-Table'!$B766-$D$2)=0,IF(('S-Table'!$C766-$C$3)*('S-Table'!$C766-$D$3)=0,'S-Table'!A766,0),0)</f>
        <v>0</v>
      </c>
      <c r="H766" s="14">
        <f>IF(('S-Table'!$B766-$C$2)*('S-Table'!$B766-$D$2)=0,IF(('S-Table'!$C766-$C$3)*('S-Table'!$C766-$D$3)=0,'S-Table'!B766,0),0)</f>
        <v>0</v>
      </c>
      <c r="I766" s="14">
        <f>IF(('S-Table'!$B766-$C$2)*('S-Table'!$B766-$D$2)=0,IF(('S-Table'!$C766-$C$3)*('S-Table'!$C766-$D$3)=0,'S-Table'!C766,0),0)</f>
        <v>0</v>
      </c>
      <c r="J766" s="14">
        <f>IF(('S-Table'!$B766-$C$2)*('S-Table'!$B766-$D$2)=0,IF(('S-Table'!$C766-$C$3)*('S-Table'!$C766-$D$3)=0,'S-Table'!D766,0),0)</f>
        <v>0</v>
      </c>
      <c r="K766" s="14">
        <f>IF(('S-Table'!$B766-$C$2)*('S-Table'!$B766-$D$2)=0,IF(('S-Table'!$C766-$C$3)*('S-Table'!$C766-$D$3)=0,'S-Table'!E766,0),0)</f>
        <v>0</v>
      </c>
    </row>
    <row r="767" spans="6:11" x14ac:dyDescent="0.2">
      <c r="F767" s="14">
        <f>IF(G767=0,IF(G766=0,F766,F766+1),IF(G766=0,MAX(F$1:F766),MAX(F$1:F766)+1))</f>
        <v>21</v>
      </c>
      <c r="G767" s="14">
        <f>IF(('S-Table'!$B767-$C$2)*('S-Table'!$B767-$D$2)=0,IF(('S-Table'!$C767-$C$3)*('S-Table'!$C767-$D$3)=0,'S-Table'!A767,0),0)</f>
        <v>0</v>
      </c>
      <c r="H767" s="14">
        <f>IF(('S-Table'!$B767-$C$2)*('S-Table'!$B767-$D$2)=0,IF(('S-Table'!$C767-$C$3)*('S-Table'!$C767-$D$3)=0,'S-Table'!B767,0),0)</f>
        <v>0</v>
      </c>
      <c r="I767" s="14">
        <f>IF(('S-Table'!$B767-$C$2)*('S-Table'!$B767-$D$2)=0,IF(('S-Table'!$C767-$C$3)*('S-Table'!$C767-$D$3)=0,'S-Table'!C767,0),0)</f>
        <v>0</v>
      </c>
      <c r="J767" s="14">
        <f>IF(('S-Table'!$B767-$C$2)*('S-Table'!$B767-$D$2)=0,IF(('S-Table'!$C767-$C$3)*('S-Table'!$C767-$D$3)=0,'S-Table'!D767,0),0)</f>
        <v>0</v>
      </c>
      <c r="K767" s="14">
        <f>IF(('S-Table'!$B767-$C$2)*('S-Table'!$B767-$D$2)=0,IF(('S-Table'!$C767-$C$3)*('S-Table'!$C767-$D$3)=0,'S-Table'!E767,0),0)</f>
        <v>0</v>
      </c>
    </row>
    <row r="768" spans="6:11" x14ac:dyDescent="0.2">
      <c r="F768" s="14">
        <f>IF(G768=0,IF(G767=0,F767,F767+1),IF(G767=0,MAX(F$1:F767),MAX(F$1:F767)+1))</f>
        <v>21</v>
      </c>
      <c r="G768" s="14">
        <f>IF(('S-Table'!$B768-$C$2)*('S-Table'!$B768-$D$2)=0,IF(('S-Table'!$C768-$C$3)*('S-Table'!$C768-$D$3)=0,'S-Table'!A768,0),0)</f>
        <v>0</v>
      </c>
      <c r="H768" s="14">
        <f>IF(('S-Table'!$B768-$C$2)*('S-Table'!$B768-$D$2)=0,IF(('S-Table'!$C768-$C$3)*('S-Table'!$C768-$D$3)=0,'S-Table'!B768,0),0)</f>
        <v>0</v>
      </c>
      <c r="I768" s="14">
        <f>IF(('S-Table'!$B768-$C$2)*('S-Table'!$B768-$D$2)=0,IF(('S-Table'!$C768-$C$3)*('S-Table'!$C768-$D$3)=0,'S-Table'!C768,0),0)</f>
        <v>0</v>
      </c>
      <c r="J768" s="14">
        <f>IF(('S-Table'!$B768-$C$2)*('S-Table'!$B768-$D$2)=0,IF(('S-Table'!$C768-$C$3)*('S-Table'!$C768-$D$3)=0,'S-Table'!D768,0),0)</f>
        <v>0</v>
      </c>
      <c r="K768" s="14">
        <f>IF(('S-Table'!$B768-$C$2)*('S-Table'!$B768-$D$2)=0,IF(('S-Table'!$C768-$C$3)*('S-Table'!$C768-$D$3)=0,'S-Table'!E768,0),0)</f>
        <v>0</v>
      </c>
    </row>
    <row r="769" spans="6:11" x14ac:dyDescent="0.2">
      <c r="F769" s="14">
        <f>IF(G769=0,IF(G768=0,F768,F768+1),IF(G768=0,MAX(F$1:F768),MAX(F$1:F768)+1))</f>
        <v>21</v>
      </c>
      <c r="G769" s="14">
        <f>IF(('S-Table'!$B769-$C$2)*('S-Table'!$B769-$D$2)=0,IF(('S-Table'!$C769-$C$3)*('S-Table'!$C769-$D$3)=0,'S-Table'!A769,0),0)</f>
        <v>0</v>
      </c>
      <c r="H769" s="14">
        <f>IF(('S-Table'!$B769-$C$2)*('S-Table'!$B769-$D$2)=0,IF(('S-Table'!$C769-$C$3)*('S-Table'!$C769-$D$3)=0,'S-Table'!B769,0),0)</f>
        <v>0</v>
      </c>
      <c r="I769" s="14">
        <f>IF(('S-Table'!$B769-$C$2)*('S-Table'!$B769-$D$2)=0,IF(('S-Table'!$C769-$C$3)*('S-Table'!$C769-$D$3)=0,'S-Table'!C769,0),0)</f>
        <v>0</v>
      </c>
      <c r="J769" s="14">
        <f>IF(('S-Table'!$B769-$C$2)*('S-Table'!$B769-$D$2)=0,IF(('S-Table'!$C769-$C$3)*('S-Table'!$C769-$D$3)=0,'S-Table'!D769,0),0)</f>
        <v>0</v>
      </c>
      <c r="K769" s="14">
        <f>IF(('S-Table'!$B769-$C$2)*('S-Table'!$B769-$D$2)=0,IF(('S-Table'!$C769-$C$3)*('S-Table'!$C769-$D$3)=0,'S-Table'!E769,0),0)</f>
        <v>0</v>
      </c>
    </row>
    <row r="770" spans="6:11" x14ac:dyDescent="0.2">
      <c r="F770" s="14">
        <f>IF(G770=0,IF(G769=0,F769,F769+1),IF(G769=0,MAX(F$1:F769),MAX(F$1:F769)+1))</f>
        <v>21</v>
      </c>
      <c r="G770" s="14">
        <f>IF(('S-Table'!$B770-$C$2)*('S-Table'!$B770-$D$2)=0,IF(('S-Table'!$C770-$C$3)*('S-Table'!$C770-$D$3)=0,'S-Table'!A770,0),0)</f>
        <v>0</v>
      </c>
      <c r="H770" s="14">
        <f>IF(('S-Table'!$B770-$C$2)*('S-Table'!$B770-$D$2)=0,IF(('S-Table'!$C770-$C$3)*('S-Table'!$C770-$D$3)=0,'S-Table'!B770,0),0)</f>
        <v>0</v>
      </c>
      <c r="I770" s="14">
        <f>IF(('S-Table'!$B770-$C$2)*('S-Table'!$B770-$D$2)=0,IF(('S-Table'!$C770-$C$3)*('S-Table'!$C770-$D$3)=0,'S-Table'!C770,0),0)</f>
        <v>0</v>
      </c>
      <c r="J770" s="14">
        <f>IF(('S-Table'!$B770-$C$2)*('S-Table'!$B770-$D$2)=0,IF(('S-Table'!$C770-$C$3)*('S-Table'!$C770-$D$3)=0,'S-Table'!D770,0),0)</f>
        <v>0</v>
      </c>
      <c r="K770" s="14">
        <f>IF(('S-Table'!$B770-$C$2)*('S-Table'!$B770-$D$2)=0,IF(('S-Table'!$C770-$C$3)*('S-Table'!$C770-$D$3)=0,'S-Table'!E770,0),0)</f>
        <v>0</v>
      </c>
    </row>
    <row r="771" spans="6:11" x14ac:dyDescent="0.2">
      <c r="F771" s="14">
        <f>IF(G771=0,IF(G770=0,F770,F770+1),IF(G770=0,MAX(F$1:F770),MAX(F$1:F770)+1))</f>
        <v>21</v>
      </c>
      <c r="G771" s="14">
        <f>IF(('S-Table'!$B771-$C$2)*('S-Table'!$B771-$D$2)=0,IF(('S-Table'!$C771-$C$3)*('S-Table'!$C771-$D$3)=0,'S-Table'!A771,0),0)</f>
        <v>0</v>
      </c>
      <c r="H771" s="14">
        <f>IF(('S-Table'!$B771-$C$2)*('S-Table'!$B771-$D$2)=0,IF(('S-Table'!$C771-$C$3)*('S-Table'!$C771-$D$3)=0,'S-Table'!B771,0),0)</f>
        <v>0</v>
      </c>
      <c r="I771" s="14">
        <f>IF(('S-Table'!$B771-$C$2)*('S-Table'!$B771-$D$2)=0,IF(('S-Table'!$C771-$C$3)*('S-Table'!$C771-$D$3)=0,'S-Table'!C771,0),0)</f>
        <v>0</v>
      </c>
      <c r="J771" s="14">
        <f>IF(('S-Table'!$B771-$C$2)*('S-Table'!$B771-$D$2)=0,IF(('S-Table'!$C771-$C$3)*('S-Table'!$C771-$D$3)=0,'S-Table'!D771,0),0)</f>
        <v>0</v>
      </c>
      <c r="K771" s="14">
        <f>IF(('S-Table'!$B771-$C$2)*('S-Table'!$B771-$D$2)=0,IF(('S-Table'!$C771-$C$3)*('S-Table'!$C771-$D$3)=0,'S-Table'!E771,0),0)</f>
        <v>0</v>
      </c>
    </row>
    <row r="772" spans="6:11" x14ac:dyDescent="0.2">
      <c r="F772" s="14">
        <f>IF(G772=0,IF(G771=0,F771,F771+1),IF(G771=0,MAX(F$1:F771),MAX(F$1:F771)+1))</f>
        <v>21</v>
      </c>
      <c r="G772" s="14">
        <f>IF(('S-Table'!$B772-$C$2)*('S-Table'!$B772-$D$2)=0,IF(('S-Table'!$C772-$C$3)*('S-Table'!$C772-$D$3)=0,'S-Table'!A772,0),0)</f>
        <v>0</v>
      </c>
      <c r="H772" s="14">
        <f>IF(('S-Table'!$B772-$C$2)*('S-Table'!$B772-$D$2)=0,IF(('S-Table'!$C772-$C$3)*('S-Table'!$C772-$D$3)=0,'S-Table'!B772,0),0)</f>
        <v>0</v>
      </c>
      <c r="I772" s="14">
        <f>IF(('S-Table'!$B772-$C$2)*('S-Table'!$B772-$D$2)=0,IF(('S-Table'!$C772-$C$3)*('S-Table'!$C772-$D$3)=0,'S-Table'!C772,0),0)</f>
        <v>0</v>
      </c>
      <c r="J772" s="14">
        <f>IF(('S-Table'!$B772-$C$2)*('S-Table'!$B772-$D$2)=0,IF(('S-Table'!$C772-$C$3)*('S-Table'!$C772-$D$3)=0,'S-Table'!D772,0),0)</f>
        <v>0</v>
      </c>
      <c r="K772" s="14">
        <f>IF(('S-Table'!$B772-$C$2)*('S-Table'!$B772-$D$2)=0,IF(('S-Table'!$C772-$C$3)*('S-Table'!$C772-$D$3)=0,'S-Table'!E772,0),0)</f>
        <v>0</v>
      </c>
    </row>
    <row r="773" spans="6:11" x14ac:dyDescent="0.2">
      <c r="F773" s="14">
        <f>IF(G773=0,IF(G772=0,F772,F772+1),IF(G772=0,MAX(F$1:F772),MAX(F$1:F772)+1))</f>
        <v>21</v>
      </c>
      <c r="G773" s="14">
        <f>IF(('S-Table'!$B773-$C$2)*('S-Table'!$B773-$D$2)=0,IF(('S-Table'!$C773-$C$3)*('S-Table'!$C773-$D$3)=0,'S-Table'!A773,0),0)</f>
        <v>0</v>
      </c>
      <c r="H773" s="14">
        <f>IF(('S-Table'!$B773-$C$2)*('S-Table'!$B773-$D$2)=0,IF(('S-Table'!$C773-$C$3)*('S-Table'!$C773-$D$3)=0,'S-Table'!B773,0),0)</f>
        <v>0</v>
      </c>
      <c r="I773" s="14">
        <f>IF(('S-Table'!$B773-$C$2)*('S-Table'!$B773-$D$2)=0,IF(('S-Table'!$C773-$C$3)*('S-Table'!$C773-$D$3)=0,'S-Table'!C773,0),0)</f>
        <v>0</v>
      </c>
      <c r="J773" s="14">
        <f>IF(('S-Table'!$B773-$C$2)*('S-Table'!$B773-$D$2)=0,IF(('S-Table'!$C773-$C$3)*('S-Table'!$C773-$D$3)=0,'S-Table'!D773,0),0)</f>
        <v>0</v>
      </c>
      <c r="K773" s="14">
        <f>IF(('S-Table'!$B773-$C$2)*('S-Table'!$B773-$D$2)=0,IF(('S-Table'!$C773-$C$3)*('S-Table'!$C773-$D$3)=0,'S-Table'!E773,0),0)</f>
        <v>0</v>
      </c>
    </row>
    <row r="774" spans="6:11" x14ac:dyDescent="0.2">
      <c r="F774" s="14">
        <f>IF(G774=0,IF(G773=0,F773,F773+1),IF(G773=0,MAX(F$1:F773),MAX(F$1:F773)+1))</f>
        <v>21</v>
      </c>
      <c r="G774" s="14">
        <f>IF(('S-Table'!$B774-$C$2)*('S-Table'!$B774-$D$2)=0,IF(('S-Table'!$C774-$C$3)*('S-Table'!$C774-$D$3)=0,'S-Table'!A774,0),0)</f>
        <v>0</v>
      </c>
      <c r="H774" s="14">
        <f>IF(('S-Table'!$B774-$C$2)*('S-Table'!$B774-$D$2)=0,IF(('S-Table'!$C774-$C$3)*('S-Table'!$C774-$D$3)=0,'S-Table'!B774,0),0)</f>
        <v>0</v>
      </c>
      <c r="I774" s="14">
        <f>IF(('S-Table'!$B774-$C$2)*('S-Table'!$B774-$D$2)=0,IF(('S-Table'!$C774-$C$3)*('S-Table'!$C774-$D$3)=0,'S-Table'!C774,0),0)</f>
        <v>0</v>
      </c>
      <c r="J774" s="14">
        <f>IF(('S-Table'!$B774-$C$2)*('S-Table'!$B774-$D$2)=0,IF(('S-Table'!$C774-$C$3)*('S-Table'!$C774-$D$3)=0,'S-Table'!D774,0),0)</f>
        <v>0</v>
      </c>
      <c r="K774" s="14">
        <f>IF(('S-Table'!$B774-$C$2)*('S-Table'!$B774-$D$2)=0,IF(('S-Table'!$C774-$C$3)*('S-Table'!$C774-$D$3)=0,'S-Table'!E774,0),0)</f>
        <v>0</v>
      </c>
    </row>
    <row r="775" spans="6:11" x14ac:dyDescent="0.2">
      <c r="F775" s="14">
        <f>IF(G775=0,IF(G774=0,F774,F774+1),IF(G774=0,MAX(F$1:F774),MAX(F$1:F774)+1))</f>
        <v>21</v>
      </c>
      <c r="G775" s="14">
        <f>IF(('S-Table'!$B775-$C$2)*('S-Table'!$B775-$D$2)=0,IF(('S-Table'!$C775-$C$3)*('S-Table'!$C775-$D$3)=0,'S-Table'!A775,0),0)</f>
        <v>0</v>
      </c>
      <c r="H775" s="14">
        <f>IF(('S-Table'!$B775-$C$2)*('S-Table'!$B775-$D$2)=0,IF(('S-Table'!$C775-$C$3)*('S-Table'!$C775-$D$3)=0,'S-Table'!B775,0),0)</f>
        <v>0</v>
      </c>
      <c r="I775" s="14">
        <f>IF(('S-Table'!$B775-$C$2)*('S-Table'!$B775-$D$2)=0,IF(('S-Table'!$C775-$C$3)*('S-Table'!$C775-$D$3)=0,'S-Table'!C775,0),0)</f>
        <v>0</v>
      </c>
      <c r="J775" s="14">
        <f>IF(('S-Table'!$B775-$C$2)*('S-Table'!$B775-$D$2)=0,IF(('S-Table'!$C775-$C$3)*('S-Table'!$C775-$D$3)=0,'S-Table'!D775,0),0)</f>
        <v>0</v>
      </c>
      <c r="K775" s="14">
        <f>IF(('S-Table'!$B775-$C$2)*('S-Table'!$B775-$D$2)=0,IF(('S-Table'!$C775-$C$3)*('S-Table'!$C775-$D$3)=0,'S-Table'!E775,0),0)</f>
        <v>0</v>
      </c>
    </row>
    <row r="776" spans="6:11" x14ac:dyDescent="0.2">
      <c r="F776" s="14">
        <f>IF(G776=0,IF(G775=0,F775,F775+1),IF(G775=0,MAX(F$1:F775),MAX(F$1:F775)+1))</f>
        <v>21</v>
      </c>
      <c r="G776" s="14">
        <f>IF(('S-Table'!$B776-$C$2)*('S-Table'!$B776-$D$2)=0,IF(('S-Table'!$C776-$C$3)*('S-Table'!$C776-$D$3)=0,'S-Table'!A776,0),0)</f>
        <v>0</v>
      </c>
      <c r="H776" s="14">
        <f>IF(('S-Table'!$B776-$C$2)*('S-Table'!$B776-$D$2)=0,IF(('S-Table'!$C776-$C$3)*('S-Table'!$C776-$D$3)=0,'S-Table'!B776,0),0)</f>
        <v>0</v>
      </c>
      <c r="I776" s="14">
        <f>IF(('S-Table'!$B776-$C$2)*('S-Table'!$B776-$D$2)=0,IF(('S-Table'!$C776-$C$3)*('S-Table'!$C776-$D$3)=0,'S-Table'!C776,0),0)</f>
        <v>0</v>
      </c>
      <c r="J776" s="14">
        <f>IF(('S-Table'!$B776-$C$2)*('S-Table'!$B776-$D$2)=0,IF(('S-Table'!$C776-$C$3)*('S-Table'!$C776-$D$3)=0,'S-Table'!D776,0),0)</f>
        <v>0</v>
      </c>
      <c r="K776" s="14">
        <f>IF(('S-Table'!$B776-$C$2)*('S-Table'!$B776-$D$2)=0,IF(('S-Table'!$C776-$C$3)*('S-Table'!$C776-$D$3)=0,'S-Table'!E776,0),0)</f>
        <v>0</v>
      </c>
    </row>
    <row r="777" spans="6:11" x14ac:dyDescent="0.2">
      <c r="F777" s="14">
        <f>IF(G777=0,IF(G776=0,F776,F776+1),IF(G776=0,MAX(F$1:F776),MAX(F$1:F776)+1))</f>
        <v>21</v>
      </c>
      <c r="G777" s="14">
        <f>IF(('S-Table'!$B777-$C$2)*('S-Table'!$B777-$D$2)=0,IF(('S-Table'!$C777-$C$3)*('S-Table'!$C777-$D$3)=0,'S-Table'!A777,0),0)</f>
        <v>0</v>
      </c>
      <c r="H777" s="14">
        <f>IF(('S-Table'!$B777-$C$2)*('S-Table'!$B777-$D$2)=0,IF(('S-Table'!$C777-$C$3)*('S-Table'!$C777-$D$3)=0,'S-Table'!B777,0),0)</f>
        <v>0</v>
      </c>
      <c r="I777" s="14">
        <f>IF(('S-Table'!$B777-$C$2)*('S-Table'!$B777-$D$2)=0,IF(('S-Table'!$C777-$C$3)*('S-Table'!$C777-$D$3)=0,'S-Table'!C777,0),0)</f>
        <v>0</v>
      </c>
      <c r="J777" s="14">
        <f>IF(('S-Table'!$B777-$C$2)*('S-Table'!$B777-$D$2)=0,IF(('S-Table'!$C777-$C$3)*('S-Table'!$C777-$D$3)=0,'S-Table'!D777,0),0)</f>
        <v>0</v>
      </c>
      <c r="K777" s="14">
        <f>IF(('S-Table'!$B777-$C$2)*('S-Table'!$B777-$D$2)=0,IF(('S-Table'!$C777-$C$3)*('S-Table'!$C777-$D$3)=0,'S-Table'!E777,0),0)</f>
        <v>0</v>
      </c>
    </row>
    <row r="778" spans="6:11" x14ac:dyDescent="0.2">
      <c r="F778" s="14">
        <f>IF(G778=0,IF(G777=0,F777,F777+1),IF(G777=0,MAX(F$1:F777),MAX(F$1:F777)+1))</f>
        <v>21</v>
      </c>
      <c r="G778" s="14">
        <f>IF(('S-Table'!$B778-$C$2)*('S-Table'!$B778-$D$2)=0,IF(('S-Table'!$C778-$C$3)*('S-Table'!$C778-$D$3)=0,'S-Table'!A778,0),0)</f>
        <v>0</v>
      </c>
      <c r="H778" s="14">
        <f>IF(('S-Table'!$B778-$C$2)*('S-Table'!$B778-$D$2)=0,IF(('S-Table'!$C778-$C$3)*('S-Table'!$C778-$D$3)=0,'S-Table'!B778,0),0)</f>
        <v>0</v>
      </c>
      <c r="I778" s="14">
        <f>IF(('S-Table'!$B778-$C$2)*('S-Table'!$B778-$D$2)=0,IF(('S-Table'!$C778-$C$3)*('S-Table'!$C778-$D$3)=0,'S-Table'!C778,0),0)</f>
        <v>0</v>
      </c>
      <c r="J778" s="14">
        <f>IF(('S-Table'!$B778-$C$2)*('S-Table'!$B778-$D$2)=0,IF(('S-Table'!$C778-$C$3)*('S-Table'!$C778-$D$3)=0,'S-Table'!D778,0),0)</f>
        <v>0</v>
      </c>
      <c r="K778" s="14">
        <f>IF(('S-Table'!$B778-$C$2)*('S-Table'!$B778-$D$2)=0,IF(('S-Table'!$C778-$C$3)*('S-Table'!$C778-$D$3)=0,'S-Table'!E778,0),0)</f>
        <v>0</v>
      </c>
    </row>
    <row r="779" spans="6:11" x14ac:dyDescent="0.2">
      <c r="F779" s="14">
        <f>IF(G779=0,IF(G778=0,F778,F778+1),IF(G778=0,MAX(F$1:F778),MAX(F$1:F778)+1))</f>
        <v>21</v>
      </c>
      <c r="G779" s="14">
        <f>IF(('S-Table'!$B779-$C$2)*('S-Table'!$B779-$D$2)=0,IF(('S-Table'!$C779-$C$3)*('S-Table'!$C779-$D$3)=0,'S-Table'!A779,0),0)</f>
        <v>0</v>
      </c>
      <c r="H779" s="14">
        <f>IF(('S-Table'!$B779-$C$2)*('S-Table'!$B779-$D$2)=0,IF(('S-Table'!$C779-$C$3)*('S-Table'!$C779-$D$3)=0,'S-Table'!B779,0),0)</f>
        <v>0</v>
      </c>
      <c r="I779" s="14">
        <f>IF(('S-Table'!$B779-$C$2)*('S-Table'!$B779-$D$2)=0,IF(('S-Table'!$C779-$C$3)*('S-Table'!$C779-$D$3)=0,'S-Table'!C779,0),0)</f>
        <v>0</v>
      </c>
      <c r="J779" s="14">
        <f>IF(('S-Table'!$B779-$C$2)*('S-Table'!$B779-$D$2)=0,IF(('S-Table'!$C779-$C$3)*('S-Table'!$C779-$D$3)=0,'S-Table'!D779,0),0)</f>
        <v>0</v>
      </c>
      <c r="K779" s="14">
        <f>IF(('S-Table'!$B779-$C$2)*('S-Table'!$B779-$D$2)=0,IF(('S-Table'!$C779-$C$3)*('S-Table'!$C779-$D$3)=0,'S-Table'!E779,0),0)</f>
        <v>0</v>
      </c>
    </row>
    <row r="780" spans="6:11" x14ac:dyDescent="0.2">
      <c r="F780" s="14">
        <f>IF(G780=0,IF(G779=0,F779,F779+1),IF(G779=0,MAX(F$1:F779),MAX(F$1:F779)+1))</f>
        <v>21</v>
      </c>
      <c r="G780" s="14">
        <f>IF(('S-Table'!$B780-$C$2)*('S-Table'!$B780-$D$2)=0,IF(('S-Table'!$C780-$C$3)*('S-Table'!$C780-$D$3)=0,'S-Table'!A780,0),0)</f>
        <v>0</v>
      </c>
      <c r="H780" s="14">
        <f>IF(('S-Table'!$B780-$C$2)*('S-Table'!$B780-$D$2)=0,IF(('S-Table'!$C780-$C$3)*('S-Table'!$C780-$D$3)=0,'S-Table'!B780,0),0)</f>
        <v>0</v>
      </c>
      <c r="I780" s="14">
        <f>IF(('S-Table'!$B780-$C$2)*('S-Table'!$B780-$D$2)=0,IF(('S-Table'!$C780-$C$3)*('S-Table'!$C780-$D$3)=0,'S-Table'!C780,0),0)</f>
        <v>0</v>
      </c>
      <c r="J780" s="14">
        <f>IF(('S-Table'!$B780-$C$2)*('S-Table'!$B780-$D$2)=0,IF(('S-Table'!$C780-$C$3)*('S-Table'!$C780-$D$3)=0,'S-Table'!D780,0),0)</f>
        <v>0</v>
      </c>
      <c r="K780" s="14">
        <f>IF(('S-Table'!$B780-$C$2)*('S-Table'!$B780-$D$2)=0,IF(('S-Table'!$C780-$C$3)*('S-Table'!$C780-$D$3)=0,'S-Table'!E780,0),0)</f>
        <v>0</v>
      </c>
    </row>
    <row r="781" spans="6:11" x14ac:dyDescent="0.2">
      <c r="F781" s="14">
        <f>IF(G781=0,IF(G780=0,F780,F780+1),IF(G780=0,MAX(F$1:F780),MAX(F$1:F780)+1))</f>
        <v>21</v>
      </c>
      <c r="G781" s="14">
        <f>IF(('S-Table'!$B781-$C$2)*('S-Table'!$B781-$D$2)=0,IF(('S-Table'!$C781-$C$3)*('S-Table'!$C781-$D$3)=0,'S-Table'!A781,0),0)</f>
        <v>0</v>
      </c>
      <c r="H781" s="14">
        <f>IF(('S-Table'!$B781-$C$2)*('S-Table'!$B781-$D$2)=0,IF(('S-Table'!$C781-$C$3)*('S-Table'!$C781-$D$3)=0,'S-Table'!B781,0),0)</f>
        <v>0</v>
      </c>
      <c r="I781" s="14">
        <f>IF(('S-Table'!$B781-$C$2)*('S-Table'!$B781-$D$2)=0,IF(('S-Table'!$C781-$C$3)*('S-Table'!$C781-$D$3)=0,'S-Table'!C781,0),0)</f>
        <v>0</v>
      </c>
      <c r="J781" s="14">
        <f>IF(('S-Table'!$B781-$C$2)*('S-Table'!$B781-$D$2)=0,IF(('S-Table'!$C781-$C$3)*('S-Table'!$C781-$D$3)=0,'S-Table'!D781,0),0)</f>
        <v>0</v>
      </c>
      <c r="K781" s="14">
        <f>IF(('S-Table'!$B781-$C$2)*('S-Table'!$B781-$D$2)=0,IF(('S-Table'!$C781-$C$3)*('S-Table'!$C781-$D$3)=0,'S-Table'!E781,0),0)</f>
        <v>0</v>
      </c>
    </row>
    <row r="782" spans="6:11" x14ac:dyDescent="0.2">
      <c r="F782" s="14">
        <f>IF(G782=0,IF(G781=0,F781,F781+1),IF(G781=0,MAX(F$1:F781),MAX(F$1:F781)+1))</f>
        <v>21</v>
      </c>
      <c r="G782" s="14">
        <f>IF(('S-Table'!$B782-$C$2)*('S-Table'!$B782-$D$2)=0,IF(('S-Table'!$C782-$C$3)*('S-Table'!$C782-$D$3)=0,'S-Table'!A782,0),0)</f>
        <v>0</v>
      </c>
      <c r="H782" s="14">
        <f>IF(('S-Table'!$B782-$C$2)*('S-Table'!$B782-$D$2)=0,IF(('S-Table'!$C782-$C$3)*('S-Table'!$C782-$D$3)=0,'S-Table'!B782,0),0)</f>
        <v>0</v>
      </c>
      <c r="I782" s="14">
        <f>IF(('S-Table'!$B782-$C$2)*('S-Table'!$B782-$D$2)=0,IF(('S-Table'!$C782-$C$3)*('S-Table'!$C782-$D$3)=0,'S-Table'!C782,0),0)</f>
        <v>0</v>
      </c>
      <c r="J782" s="14">
        <f>IF(('S-Table'!$B782-$C$2)*('S-Table'!$B782-$D$2)=0,IF(('S-Table'!$C782-$C$3)*('S-Table'!$C782-$D$3)=0,'S-Table'!D782,0),0)</f>
        <v>0</v>
      </c>
      <c r="K782" s="14">
        <f>IF(('S-Table'!$B782-$C$2)*('S-Table'!$B782-$D$2)=0,IF(('S-Table'!$C782-$C$3)*('S-Table'!$C782-$D$3)=0,'S-Table'!E782,0),0)</f>
        <v>0</v>
      </c>
    </row>
    <row r="783" spans="6:11" x14ac:dyDescent="0.2">
      <c r="F783" s="14">
        <f>IF(G783=0,IF(G782=0,F782,F782+1),IF(G782=0,MAX(F$1:F782),MAX(F$1:F782)+1))</f>
        <v>21</v>
      </c>
      <c r="G783" s="14">
        <f>IF(('S-Table'!$B783-$C$2)*('S-Table'!$B783-$D$2)=0,IF(('S-Table'!$C783-$C$3)*('S-Table'!$C783-$D$3)=0,'S-Table'!A783,0),0)</f>
        <v>0</v>
      </c>
      <c r="H783" s="14">
        <f>IF(('S-Table'!$B783-$C$2)*('S-Table'!$B783-$D$2)=0,IF(('S-Table'!$C783-$C$3)*('S-Table'!$C783-$D$3)=0,'S-Table'!B783,0),0)</f>
        <v>0</v>
      </c>
      <c r="I783" s="14">
        <f>IF(('S-Table'!$B783-$C$2)*('S-Table'!$B783-$D$2)=0,IF(('S-Table'!$C783-$C$3)*('S-Table'!$C783-$D$3)=0,'S-Table'!C783,0),0)</f>
        <v>0</v>
      </c>
      <c r="J783" s="14">
        <f>IF(('S-Table'!$B783-$C$2)*('S-Table'!$B783-$D$2)=0,IF(('S-Table'!$C783-$C$3)*('S-Table'!$C783-$D$3)=0,'S-Table'!D783,0),0)</f>
        <v>0</v>
      </c>
      <c r="K783" s="14">
        <f>IF(('S-Table'!$B783-$C$2)*('S-Table'!$B783-$D$2)=0,IF(('S-Table'!$C783-$C$3)*('S-Table'!$C783-$D$3)=0,'S-Table'!E783,0),0)</f>
        <v>0</v>
      </c>
    </row>
    <row r="784" spans="6:11" x14ac:dyDescent="0.2">
      <c r="F784" s="14">
        <f>IF(G784=0,IF(G783=0,F783,F783+1),IF(G783=0,MAX(F$1:F783),MAX(F$1:F783)+1))</f>
        <v>21</v>
      </c>
      <c r="G784" s="14">
        <f>IF(('S-Table'!$B784-$C$2)*('S-Table'!$B784-$D$2)=0,IF(('S-Table'!$C784-$C$3)*('S-Table'!$C784-$D$3)=0,'S-Table'!A784,0),0)</f>
        <v>0</v>
      </c>
      <c r="H784" s="14">
        <f>IF(('S-Table'!$B784-$C$2)*('S-Table'!$B784-$D$2)=0,IF(('S-Table'!$C784-$C$3)*('S-Table'!$C784-$D$3)=0,'S-Table'!B784,0),0)</f>
        <v>0</v>
      </c>
      <c r="I784" s="14">
        <f>IF(('S-Table'!$B784-$C$2)*('S-Table'!$B784-$D$2)=0,IF(('S-Table'!$C784-$C$3)*('S-Table'!$C784-$D$3)=0,'S-Table'!C784,0),0)</f>
        <v>0</v>
      </c>
      <c r="J784" s="14">
        <f>IF(('S-Table'!$B784-$C$2)*('S-Table'!$B784-$D$2)=0,IF(('S-Table'!$C784-$C$3)*('S-Table'!$C784-$D$3)=0,'S-Table'!D784,0),0)</f>
        <v>0</v>
      </c>
      <c r="K784" s="14">
        <f>IF(('S-Table'!$B784-$C$2)*('S-Table'!$B784-$D$2)=0,IF(('S-Table'!$C784-$C$3)*('S-Table'!$C784-$D$3)=0,'S-Table'!E784,0),0)</f>
        <v>0</v>
      </c>
    </row>
    <row r="785" spans="6:11" x14ac:dyDescent="0.2">
      <c r="F785" s="14">
        <f>IF(G785=0,IF(G784=0,F784,F784+1),IF(G784=0,MAX(F$1:F784),MAX(F$1:F784)+1))</f>
        <v>21</v>
      </c>
      <c r="G785" s="14">
        <f>IF(('S-Table'!$B785-$C$2)*('S-Table'!$B785-$D$2)=0,IF(('S-Table'!$C785-$C$3)*('S-Table'!$C785-$D$3)=0,'S-Table'!A785,0),0)</f>
        <v>0</v>
      </c>
      <c r="H785" s="14">
        <f>IF(('S-Table'!$B785-$C$2)*('S-Table'!$B785-$D$2)=0,IF(('S-Table'!$C785-$C$3)*('S-Table'!$C785-$D$3)=0,'S-Table'!B785,0),0)</f>
        <v>0</v>
      </c>
      <c r="I785" s="14">
        <f>IF(('S-Table'!$B785-$C$2)*('S-Table'!$B785-$D$2)=0,IF(('S-Table'!$C785-$C$3)*('S-Table'!$C785-$D$3)=0,'S-Table'!C785,0),0)</f>
        <v>0</v>
      </c>
      <c r="J785" s="14">
        <f>IF(('S-Table'!$B785-$C$2)*('S-Table'!$B785-$D$2)=0,IF(('S-Table'!$C785-$C$3)*('S-Table'!$C785-$D$3)=0,'S-Table'!D785,0),0)</f>
        <v>0</v>
      </c>
      <c r="K785" s="14">
        <f>IF(('S-Table'!$B785-$C$2)*('S-Table'!$B785-$D$2)=0,IF(('S-Table'!$C785-$C$3)*('S-Table'!$C785-$D$3)=0,'S-Table'!E785,0),0)</f>
        <v>0</v>
      </c>
    </row>
    <row r="786" spans="6:11" x14ac:dyDescent="0.2">
      <c r="F786" s="14">
        <f>IF(G786=0,IF(G785=0,F785,F785+1),IF(G785=0,MAX(F$1:F785),MAX(F$1:F785)+1))</f>
        <v>21</v>
      </c>
      <c r="G786" s="14">
        <f>IF(('S-Table'!$B786-$C$2)*('S-Table'!$B786-$D$2)=0,IF(('S-Table'!$C786-$C$3)*('S-Table'!$C786-$D$3)=0,'S-Table'!A786,0),0)</f>
        <v>0</v>
      </c>
      <c r="H786" s="14">
        <f>IF(('S-Table'!$B786-$C$2)*('S-Table'!$B786-$D$2)=0,IF(('S-Table'!$C786-$C$3)*('S-Table'!$C786-$D$3)=0,'S-Table'!B786,0),0)</f>
        <v>0</v>
      </c>
      <c r="I786" s="14">
        <f>IF(('S-Table'!$B786-$C$2)*('S-Table'!$B786-$D$2)=0,IF(('S-Table'!$C786-$C$3)*('S-Table'!$C786-$D$3)=0,'S-Table'!C786,0),0)</f>
        <v>0</v>
      </c>
      <c r="J786" s="14">
        <f>IF(('S-Table'!$B786-$C$2)*('S-Table'!$B786-$D$2)=0,IF(('S-Table'!$C786-$C$3)*('S-Table'!$C786-$D$3)=0,'S-Table'!D786,0),0)</f>
        <v>0</v>
      </c>
      <c r="K786" s="14">
        <f>IF(('S-Table'!$B786-$C$2)*('S-Table'!$B786-$D$2)=0,IF(('S-Table'!$C786-$C$3)*('S-Table'!$C786-$D$3)=0,'S-Table'!E786,0),0)</f>
        <v>0</v>
      </c>
    </row>
    <row r="787" spans="6:11" x14ac:dyDescent="0.2">
      <c r="F787" s="14">
        <f>IF(G787=0,IF(G786=0,F786,F786+1),IF(G786=0,MAX(F$1:F786),MAX(F$1:F786)+1))</f>
        <v>21</v>
      </c>
      <c r="G787" s="14">
        <f>IF(('S-Table'!$B787-$C$2)*('S-Table'!$B787-$D$2)=0,IF(('S-Table'!$C787-$C$3)*('S-Table'!$C787-$D$3)=0,'S-Table'!A787,0),0)</f>
        <v>0</v>
      </c>
      <c r="H787" s="14">
        <f>IF(('S-Table'!$B787-$C$2)*('S-Table'!$B787-$D$2)=0,IF(('S-Table'!$C787-$C$3)*('S-Table'!$C787-$D$3)=0,'S-Table'!B787,0),0)</f>
        <v>0</v>
      </c>
      <c r="I787" s="14">
        <f>IF(('S-Table'!$B787-$C$2)*('S-Table'!$B787-$D$2)=0,IF(('S-Table'!$C787-$C$3)*('S-Table'!$C787-$D$3)=0,'S-Table'!C787,0),0)</f>
        <v>0</v>
      </c>
      <c r="J787" s="14">
        <f>IF(('S-Table'!$B787-$C$2)*('S-Table'!$B787-$D$2)=0,IF(('S-Table'!$C787-$C$3)*('S-Table'!$C787-$D$3)=0,'S-Table'!D787,0),0)</f>
        <v>0</v>
      </c>
      <c r="K787" s="14">
        <f>IF(('S-Table'!$B787-$C$2)*('S-Table'!$B787-$D$2)=0,IF(('S-Table'!$C787-$C$3)*('S-Table'!$C787-$D$3)=0,'S-Table'!E787,0),0)</f>
        <v>0</v>
      </c>
    </row>
    <row r="788" spans="6:11" x14ac:dyDescent="0.2">
      <c r="F788" s="14">
        <f>IF(G788=0,IF(G787=0,F787,F787+1),IF(G787=0,MAX(F$1:F787),MAX(F$1:F787)+1))</f>
        <v>21</v>
      </c>
      <c r="G788" s="14">
        <f>IF(('S-Table'!$B788-$C$2)*('S-Table'!$B788-$D$2)=0,IF(('S-Table'!$C788-$C$3)*('S-Table'!$C788-$D$3)=0,'S-Table'!A788,0),0)</f>
        <v>0</v>
      </c>
      <c r="H788" s="14">
        <f>IF(('S-Table'!$B788-$C$2)*('S-Table'!$B788-$D$2)=0,IF(('S-Table'!$C788-$C$3)*('S-Table'!$C788-$D$3)=0,'S-Table'!B788,0),0)</f>
        <v>0</v>
      </c>
      <c r="I788" s="14">
        <f>IF(('S-Table'!$B788-$C$2)*('S-Table'!$B788-$D$2)=0,IF(('S-Table'!$C788-$C$3)*('S-Table'!$C788-$D$3)=0,'S-Table'!C788,0),0)</f>
        <v>0</v>
      </c>
      <c r="J788" s="14">
        <f>IF(('S-Table'!$B788-$C$2)*('S-Table'!$B788-$D$2)=0,IF(('S-Table'!$C788-$C$3)*('S-Table'!$C788-$D$3)=0,'S-Table'!D788,0),0)</f>
        <v>0</v>
      </c>
      <c r="K788" s="14">
        <f>IF(('S-Table'!$B788-$C$2)*('S-Table'!$B788-$D$2)=0,IF(('S-Table'!$C788-$C$3)*('S-Table'!$C788-$D$3)=0,'S-Table'!E788,0),0)</f>
        <v>0</v>
      </c>
    </row>
    <row r="789" spans="6:11" x14ac:dyDescent="0.2">
      <c r="F789" s="14">
        <f>IF(G789=0,IF(G788=0,F788,F788+1),IF(G788=0,MAX(F$1:F788),MAX(F$1:F788)+1))</f>
        <v>21</v>
      </c>
      <c r="G789" s="14">
        <f>IF(('S-Table'!$B789-$C$2)*('S-Table'!$B789-$D$2)=0,IF(('S-Table'!$C789-$C$3)*('S-Table'!$C789-$D$3)=0,'S-Table'!A789,0),0)</f>
        <v>0</v>
      </c>
      <c r="H789" s="14">
        <f>IF(('S-Table'!$B789-$C$2)*('S-Table'!$B789-$D$2)=0,IF(('S-Table'!$C789-$C$3)*('S-Table'!$C789-$D$3)=0,'S-Table'!B789,0),0)</f>
        <v>0</v>
      </c>
      <c r="I789" s="14">
        <f>IF(('S-Table'!$B789-$C$2)*('S-Table'!$B789-$D$2)=0,IF(('S-Table'!$C789-$C$3)*('S-Table'!$C789-$D$3)=0,'S-Table'!C789,0),0)</f>
        <v>0</v>
      </c>
      <c r="J789" s="14">
        <f>IF(('S-Table'!$B789-$C$2)*('S-Table'!$B789-$D$2)=0,IF(('S-Table'!$C789-$C$3)*('S-Table'!$C789-$D$3)=0,'S-Table'!D789,0),0)</f>
        <v>0</v>
      </c>
      <c r="K789" s="14">
        <f>IF(('S-Table'!$B789-$C$2)*('S-Table'!$B789-$D$2)=0,IF(('S-Table'!$C789-$C$3)*('S-Table'!$C789-$D$3)=0,'S-Table'!E789,0),0)</f>
        <v>0</v>
      </c>
    </row>
    <row r="790" spans="6:11" x14ac:dyDescent="0.2">
      <c r="F790" s="14">
        <f>IF(G790=0,IF(G789=0,F789,F789+1),IF(G789=0,MAX(F$1:F789),MAX(F$1:F789)+1))</f>
        <v>21</v>
      </c>
      <c r="G790" s="14">
        <f>IF(('S-Table'!$B790-$C$2)*('S-Table'!$B790-$D$2)=0,IF(('S-Table'!$C790-$C$3)*('S-Table'!$C790-$D$3)=0,'S-Table'!A790,0),0)</f>
        <v>0</v>
      </c>
      <c r="H790" s="14">
        <f>IF(('S-Table'!$B790-$C$2)*('S-Table'!$B790-$D$2)=0,IF(('S-Table'!$C790-$C$3)*('S-Table'!$C790-$D$3)=0,'S-Table'!B790,0),0)</f>
        <v>0</v>
      </c>
      <c r="I790" s="14">
        <f>IF(('S-Table'!$B790-$C$2)*('S-Table'!$B790-$D$2)=0,IF(('S-Table'!$C790-$C$3)*('S-Table'!$C790-$D$3)=0,'S-Table'!C790,0),0)</f>
        <v>0</v>
      </c>
      <c r="J790" s="14">
        <f>IF(('S-Table'!$B790-$C$2)*('S-Table'!$B790-$D$2)=0,IF(('S-Table'!$C790-$C$3)*('S-Table'!$C790-$D$3)=0,'S-Table'!D790,0),0)</f>
        <v>0</v>
      </c>
      <c r="K790" s="14">
        <f>IF(('S-Table'!$B790-$C$2)*('S-Table'!$B790-$D$2)=0,IF(('S-Table'!$C790-$C$3)*('S-Table'!$C790-$D$3)=0,'S-Table'!E790,0),0)</f>
        <v>0</v>
      </c>
    </row>
    <row r="791" spans="6:11" x14ac:dyDescent="0.2">
      <c r="F791" s="14">
        <f>IF(G791=0,IF(G790=0,F790,F790+1),IF(G790=0,MAX(F$1:F790),MAX(F$1:F790)+1))</f>
        <v>21</v>
      </c>
      <c r="G791" s="14">
        <f>IF(('S-Table'!$B791-$C$2)*('S-Table'!$B791-$D$2)=0,IF(('S-Table'!$C791-$C$3)*('S-Table'!$C791-$D$3)=0,'S-Table'!A791,0),0)</f>
        <v>0</v>
      </c>
      <c r="H791" s="14">
        <f>IF(('S-Table'!$B791-$C$2)*('S-Table'!$B791-$D$2)=0,IF(('S-Table'!$C791-$C$3)*('S-Table'!$C791-$D$3)=0,'S-Table'!B791,0),0)</f>
        <v>0</v>
      </c>
      <c r="I791" s="14">
        <f>IF(('S-Table'!$B791-$C$2)*('S-Table'!$B791-$D$2)=0,IF(('S-Table'!$C791-$C$3)*('S-Table'!$C791-$D$3)=0,'S-Table'!C791,0),0)</f>
        <v>0</v>
      </c>
      <c r="J791" s="14">
        <f>IF(('S-Table'!$B791-$C$2)*('S-Table'!$B791-$D$2)=0,IF(('S-Table'!$C791-$C$3)*('S-Table'!$C791-$D$3)=0,'S-Table'!D791,0),0)</f>
        <v>0</v>
      </c>
      <c r="K791" s="14">
        <f>IF(('S-Table'!$B791-$C$2)*('S-Table'!$B791-$D$2)=0,IF(('S-Table'!$C791-$C$3)*('S-Table'!$C791-$D$3)=0,'S-Table'!E791,0),0)</f>
        <v>0</v>
      </c>
    </row>
    <row r="792" spans="6:11" x14ac:dyDescent="0.2">
      <c r="F792" s="14">
        <f>IF(G792=0,IF(G791=0,F791,F791+1),IF(G791=0,MAX(F$1:F791),MAX(F$1:F791)+1))</f>
        <v>21</v>
      </c>
      <c r="G792" s="14">
        <f>IF(('S-Table'!$B792-$C$2)*('S-Table'!$B792-$D$2)=0,IF(('S-Table'!$C792-$C$3)*('S-Table'!$C792-$D$3)=0,'S-Table'!A792,0),0)</f>
        <v>0</v>
      </c>
      <c r="H792" s="14">
        <f>IF(('S-Table'!$B792-$C$2)*('S-Table'!$B792-$D$2)=0,IF(('S-Table'!$C792-$C$3)*('S-Table'!$C792-$D$3)=0,'S-Table'!B792,0),0)</f>
        <v>0</v>
      </c>
      <c r="I792" s="14">
        <f>IF(('S-Table'!$B792-$C$2)*('S-Table'!$B792-$D$2)=0,IF(('S-Table'!$C792-$C$3)*('S-Table'!$C792-$D$3)=0,'S-Table'!C792,0),0)</f>
        <v>0</v>
      </c>
      <c r="J792" s="14">
        <f>IF(('S-Table'!$B792-$C$2)*('S-Table'!$B792-$D$2)=0,IF(('S-Table'!$C792-$C$3)*('S-Table'!$C792-$D$3)=0,'S-Table'!D792,0),0)</f>
        <v>0</v>
      </c>
      <c r="K792" s="14">
        <f>IF(('S-Table'!$B792-$C$2)*('S-Table'!$B792-$D$2)=0,IF(('S-Table'!$C792-$C$3)*('S-Table'!$C792-$D$3)=0,'S-Table'!E792,0),0)</f>
        <v>0</v>
      </c>
    </row>
    <row r="793" spans="6:11" x14ac:dyDescent="0.2">
      <c r="F793" s="14">
        <f>IF(G793=0,IF(G792=0,F792,F792+1),IF(G792=0,MAX(F$1:F792),MAX(F$1:F792)+1))</f>
        <v>21</v>
      </c>
      <c r="G793" s="14">
        <f>IF(('S-Table'!$B793-$C$2)*('S-Table'!$B793-$D$2)=0,IF(('S-Table'!$C793-$C$3)*('S-Table'!$C793-$D$3)=0,'S-Table'!A793,0),0)</f>
        <v>0</v>
      </c>
      <c r="H793" s="14">
        <f>IF(('S-Table'!$B793-$C$2)*('S-Table'!$B793-$D$2)=0,IF(('S-Table'!$C793-$C$3)*('S-Table'!$C793-$D$3)=0,'S-Table'!B793,0),0)</f>
        <v>0</v>
      </c>
      <c r="I793" s="14">
        <f>IF(('S-Table'!$B793-$C$2)*('S-Table'!$B793-$D$2)=0,IF(('S-Table'!$C793-$C$3)*('S-Table'!$C793-$D$3)=0,'S-Table'!C793,0),0)</f>
        <v>0</v>
      </c>
      <c r="J793" s="14">
        <f>IF(('S-Table'!$B793-$C$2)*('S-Table'!$B793-$D$2)=0,IF(('S-Table'!$C793-$C$3)*('S-Table'!$C793-$D$3)=0,'S-Table'!D793,0),0)</f>
        <v>0</v>
      </c>
      <c r="K793" s="14">
        <f>IF(('S-Table'!$B793-$C$2)*('S-Table'!$B793-$D$2)=0,IF(('S-Table'!$C793-$C$3)*('S-Table'!$C793-$D$3)=0,'S-Table'!E793,0),0)</f>
        <v>0</v>
      </c>
    </row>
    <row r="794" spans="6:11" x14ac:dyDescent="0.2">
      <c r="F794" s="14">
        <f>IF(G794=0,IF(G793=0,F793,F793+1),IF(G793=0,MAX(F$1:F793),MAX(F$1:F793)+1))</f>
        <v>21</v>
      </c>
      <c r="G794" s="14">
        <f>IF(('S-Table'!$B794-$C$2)*('S-Table'!$B794-$D$2)=0,IF(('S-Table'!$C794-$C$3)*('S-Table'!$C794-$D$3)=0,'S-Table'!A794,0),0)</f>
        <v>0</v>
      </c>
      <c r="H794" s="14">
        <f>IF(('S-Table'!$B794-$C$2)*('S-Table'!$B794-$D$2)=0,IF(('S-Table'!$C794-$C$3)*('S-Table'!$C794-$D$3)=0,'S-Table'!B794,0),0)</f>
        <v>0</v>
      </c>
      <c r="I794" s="14">
        <f>IF(('S-Table'!$B794-$C$2)*('S-Table'!$B794-$D$2)=0,IF(('S-Table'!$C794-$C$3)*('S-Table'!$C794-$D$3)=0,'S-Table'!C794,0),0)</f>
        <v>0</v>
      </c>
      <c r="J794" s="14">
        <f>IF(('S-Table'!$B794-$C$2)*('S-Table'!$B794-$D$2)=0,IF(('S-Table'!$C794-$C$3)*('S-Table'!$C794-$D$3)=0,'S-Table'!D794,0),0)</f>
        <v>0</v>
      </c>
      <c r="K794" s="14">
        <f>IF(('S-Table'!$B794-$C$2)*('S-Table'!$B794-$D$2)=0,IF(('S-Table'!$C794-$C$3)*('S-Table'!$C794-$D$3)=0,'S-Table'!E794,0),0)</f>
        <v>0</v>
      </c>
    </row>
    <row r="795" spans="6:11" x14ac:dyDescent="0.2">
      <c r="F795" s="14">
        <f>IF(G795=0,IF(G794=0,F794,F794+1),IF(G794=0,MAX(F$1:F794),MAX(F$1:F794)+1))</f>
        <v>21</v>
      </c>
      <c r="G795" s="14">
        <f>IF(('S-Table'!$B795-$C$2)*('S-Table'!$B795-$D$2)=0,IF(('S-Table'!$C795-$C$3)*('S-Table'!$C795-$D$3)=0,'S-Table'!A795,0),0)</f>
        <v>0</v>
      </c>
      <c r="H795" s="14">
        <f>IF(('S-Table'!$B795-$C$2)*('S-Table'!$B795-$D$2)=0,IF(('S-Table'!$C795-$C$3)*('S-Table'!$C795-$D$3)=0,'S-Table'!B795,0),0)</f>
        <v>0</v>
      </c>
      <c r="I795" s="14">
        <f>IF(('S-Table'!$B795-$C$2)*('S-Table'!$B795-$D$2)=0,IF(('S-Table'!$C795-$C$3)*('S-Table'!$C795-$D$3)=0,'S-Table'!C795,0),0)</f>
        <v>0</v>
      </c>
      <c r="J795" s="14">
        <f>IF(('S-Table'!$B795-$C$2)*('S-Table'!$B795-$D$2)=0,IF(('S-Table'!$C795-$C$3)*('S-Table'!$C795-$D$3)=0,'S-Table'!D795,0),0)</f>
        <v>0</v>
      </c>
      <c r="K795" s="14">
        <f>IF(('S-Table'!$B795-$C$2)*('S-Table'!$B795-$D$2)=0,IF(('S-Table'!$C795-$C$3)*('S-Table'!$C795-$D$3)=0,'S-Table'!E795,0),0)</f>
        <v>0</v>
      </c>
    </row>
    <row r="796" spans="6:11" x14ac:dyDescent="0.2">
      <c r="F796" s="14">
        <f>IF(G796=0,IF(G795=0,F795,F795+1),IF(G795=0,MAX(F$1:F795),MAX(F$1:F795)+1))</f>
        <v>21</v>
      </c>
      <c r="G796" s="14">
        <f>IF(('S-Table'!$B796-$C$2)*('S-Table'!$B796-$D$2)=0,IF(('S-Table'!$C796-$C$3)*('S-Table'!$C796-$D$3)=0,'S-Table'!A796,0),0)</f>
        <v>0</v>
      </c>
      <c r="H796" s="14">
        <f>IF(('S-Table'!$B796-$C$2)*('S-Table'!$B796-$D$2)=0,IF(('S-Table'!$C796-$C$3)*('S-Table'!$C796-$D$3)=0,'S-Table'!B796,0),0)</f>
        <v>0</v>
      </c>
      <c r="I796" s="14">
        <f>IF(('S-Table'!$B796-$C$2)*('S-Table'!$B796-$D$2)=0,IF(('S-Table'!$C796-$C$3)*('S-Table'!$C796-$D$3)=0,'S-Table'!C796,0),0)</f>
        <v>0</v>
      </c>
      <c r="J796" s="14">
        <f>IF(('S-Table'!$B796-$C$2)*('S-Table'!$B796-$D$2)=0,IF(('S-Table'!$C796-$C$3)*('S-Table'!$C796-$D$3)=0,'S-Table'!D796,0),0)</f>
        <v>0</v>
      </c>
      <c r="K796" s="14">
        <f>IF(('S-Table'!$B796-$C$2)*('S-Table'!$B796-$D$2)=0,IF(('S-Table'!$C796-$C$3)*('S-Table'!$C796-$D$3)=0,'S-Table'!E796,0),0)</f>
        <v>0</v>
      </c>
    </row>
    <row r="797" spans="6:11" x14ac:dyDescent="0.2">
      <c r="F797" s="14">
        <f>IF(G797=0,IF(G796=0,F796,F796+1),IF(G796=0,MAX(F$1:F796),MAX(F$1:F796)+1))</f>
        <v>21</v>
      </c>
      <c r="G797" s="14">
        <f>IF(('S-Table'!$B797-$C$2)*('S-Table'!$B797-$D$2)=0,IF(('S-Table'!$C797-$C$3)*('S-Table'!$C797-$D$3)=0,'S-Table'!A797,0),0)</f>
        <v>0</v>
      </c>
      <c r="H797" s="14">
        <f>IF(('S-Table'!$B797-$C$2)*('S-Table'!$B797-$D$2)=0,IF(('S-Table'!$C797-$C$3)*('S-Table'!$C797-$D$3)=0,'S-Table'!B797,0),0)</f>
        <v>0</v>
      </c>
      <c r="I797" s="14">
        <f>IF(('S-Table'!$B797-$C$2)*('S-Table'!$B797-$D$2)=0,IF(('S-Table'!$C797-$C$3)*('S-Table'!$C797-$D$3)=0,'S-Table'!C797,0),0)</f>
        <v>0</v>
      </c>
      <c r="J797" s="14">
        <f>IF(('S-Table'!$B797-$C$2)*('S-Table'!$B797-$D$2)=0,IF(('S-Table'!$C797-$C$3)*('S-Table'!$C797-$D$3)=0,'S-Table'!D797,0),0)</f>
        <v>0</v>
      </c>
      <c r="K797" s="14">
        <f>IF(('S-Table'!$B797-$C$2)*('S-Table'!$B797-$D$2)=0,IF(('S-Table'!$C797-$C$3)*('S-Table'!$C797-$D$3)=0,'S-Table'!E797,0),0)</f>
        <v>0</v>
      </c>
    </row>
    <row r="798" spans="6:11" x14ac:dyDescent="0.2">
      <c r="F798" s="14">
        <f>IF(G798=0,IF(G797=0,F797,F797+1),IF(G797=0,MAX(F$1:F797),MAX(F$1:F797)+1))</f>
        <v>21</v>
      </c>
      <c r="G798" s="14">
        <f>IF(('S-Table'!$B798-$C$2)*('S-Table'!$B798-$D$2)=0,IF(('S-Table'!$C798-$C$3)*('S-Table'!$C798-$D$3)=0,'S-Table'!A798,0),0)</f>
        <v>0</v>
      </c>
      <c r="H798" s="14">
        <f>IF(('S-Table'!$B798-$C$2)*('S-Table'!$B798-$D$2)=0,IF(('S-Table'!$C798-$C$3)*('S-Table'!$C798-$D$3)=0,'S-Table'!B798,0),0)</f>
        <v>0</v>
      </c>
      <c r="I798" s="14">
        <f>IF(('S-Table'!$B798-$C$2)*('S-Table'!$B798-$D$2)=0,IF(('S-Table'!$C798-$C$3)*('S-Table'!$C798-$D$3)=0,'S-Table'!C798,0),0)</f>
        <v>0</v>
      </c>
      <c r="J798" s="14">
        <f>IF(('S-Table'!$B798-$C$2)*('S-Table'!$B798-$D$2)=0,IF(('S-Table'!$C798-$C$3)*('S-Table'!$C798-$D$3)=0,'S-Table'!D798,0),0)</f>
        <v>0</v>
      </c>
      <c r="K798" s="14">
        <f>IF(('S-Table'!$B798-$C$2)*('S-Table'!$B798-$D$2)=0,IF(('S-Table'!$C798-$C$3)*('S-Table'!$C798-$D$3)=0,'S-Table'!E798,0),0)</f>
        <v>0</v>
      </c>
    </row>
    <row r="799" spans="6:11" x14ac:dyDescent="0.2">
      <c r="F799" s="14">
        <f>IF(G799=0,IF(G798=0,F798,F798+1),IF(G798=0,MAX(F$1:F798),MAX(F$1:F798)+1))</f>
        <v>21</v>
      </c>
      <c r="G799" s="14">
        <f>IF(('S-Table'!$B799-$C$2)*('S-Table'!$B799-$D$2)=0,IF(('S-Table'!$C799-$C$3)*('S-Table'!$C799-$D$3)=0,'S-Table'!A799,0),0)</f>
        <v>0</v>
      </c>
      <c r="H799" s="14">
        <f>IF(('S-Table'!$B799-$C$2)*('S-Table'!$B799-$D$2)=0,IF(('S-Table'!$C799-$C$3)*('S-Table'!$C799-$D$3)=0,'S-Table'!B799,0),0)</f>
        <v>0</v>
      </c>
      <c r="I799" s="14">
        <f>IF(('S-Table'!$B799-$C$2)*('S-Table'!$B799-$D$2)=0,IF(('S-Table'!$C799-$C$3)*('S-Table'!$C799-$D$3)=0,'S-Table'!C799,0),0)</f>
        <v>0</v>
      </c>
      <c r="J799" s="14">
        <f>IF(('S-Table'!$B799-$C$2)*('S-Table'!$B799-$D$2)=0,IF(('S-Table'!$C799-$C$3)*('S-Table'!$C799-$D$3)=0,'S-Table'!D799,0),0)</f>
        <v>0</v>
      </c>
      <c r="K799" s="14">
        <f>IF(('S-Table'!$B799-$C$2)*('S-Table'!$B799-$D$2)=0,IF(('S-Table'!$C799-$C$3)*('S-Table'!$C799-$D$3)=0,'S-Table'!E799,0),0)</f>
        <v>0</v>
      </c>
    </row>
    <row r="800" spans="6:11" x14ac:dyDescent="0.2">
      <c r="F800" s="14">
        <f>IF(G800=0,IF(G799=0,F799,F799+1),IF(G799=0,MAX(F$1:F799),MAX(F$1:F799)+1))</f>
        <v>21</v>
      </c>
      <c r="G800" s="14">
        <f>IF(('S-Table'!$B800-$C$2)*('S-Table'!$B800-$D$2)=0,IF(('S-Table'!$C800-$C$3)*('S-Table'!$C800-$D$3)=0,'S-Table'!A800,0),0)</f>
        <v>0</v>
      </c>
      <c r="H800" s="14">
        <f>IF(('S-Table'!$B800-$C$2)*('S-Table'!$B800-$D$2)=0,IF(('S-Table'!$C800-$C$3)*('S-Table'!$C800-$D$3)=0,'S-Table'!B800,0),0)</f>
        <v>0</v>
      </c>
      <c r="I800" s="14">
        <f>IF(('S-Table'!$B800-$C$2)*('S-Table'!$B800-$D$2)=0,IF(('S-Table'!$C800-$C$3)*('S-Table'!$C800-$D$3)=0,'S-Table'!C800,0),0)</f>
        <v>0</v>
      </c>
      <c r="J800" s="14">
        <f>IF(('S-Table'!$B800-$C$2)*('S-Table'!$B800-$D$2)=0,IF(('S-Table'!$C800-$C$3)*('S-Table'!$C800-$D$3)=0,'S-Table'!D800,0),0)</f>
        <v>0</v>
      </c>
      <c r="K800" s="14">
        <f>IF(('S-Table'!$B800-$C$2)*('S-Table'!$B800-$D$2)=0,IF(('S-Table'!$C800-$C$3)*('S-Table'!$C800-$D$3)=0,'S-Table'!E800,0),0)</f>
        <v>0</v>
      </c>
    </row>
    <row r="801" spans="6:11" x14ac:dyDescent="0.2">
      <c r="F801" s="14">
        <f>IF(G801=0,IF(G800=0,F800,F800+1),IF(G800=0,MAX(F$1:F800),MAX(F$1:F800)+1))</f>
        <v>21</v>
      </c>
      <c r="G801" s="14">
        <f>IF(('S-Table'!$B801-$C$2)*('S-Table'!$B801-$D$2)=0,IF(('S-Table'!$C801-$C$3)*('S-Table'!$C801-$D$3)=0,'S-Table'!A801,0),0)</f>
        <v>0</v>
      </c>
      <c r="H801" s="14">
        <f>IF(('S-Table'!$B801-$C$2)*('S-Table'!$B801-$D$2)=0,IF(('S-Table'!$C801-$C$3)*('S-Table'!$C801-$D$3)=0,'S-Table'!B801,0),0)</f>
        <v>0</v>
      </c>
      <c r="I801" s="14">
        <f>IF(('S-Table'!$B801-$C$2)*('S-Table'!$B801-$D$2)=0,IF(('S-Table'!$C801-$C$3)*('S-Table'!$C801-$D$3)=0,'S-Table'!C801,0),0)</f>
        <v>0</v>
      </c>
      <c r="J801" s="14">
        <f>IF(('S-Table'!$B801-$C$2)*('S-Table'!$B801-$D$2)=0,IF(('S-Table'!$C801-$C$3)*('S-Table'!$C801-$D$3)=0,'S-Table'!D801,0),0)</f>
        <v>0</v>
      </c>
      <c r="K801" s="14">
        <f>IF(('S-Table'!$B801-$C$2)*('S-Table'!$B801-$D$2)=0,IF(('S-Table'!$C801-$C$3)*('S-Table'!$C801-$D$3)=0,'S-Table'!E801,0),0)</f>
        <v>0</v>
      </c>
    </row>
    <row r="802" spans="6:11" x14ac:dyDescent="0.2">
      <c r="F802" s="14">
        <f>IF(G802=0,IF(G801=0,F801,F801+1),IF(G801=0,MAX(F$1:F801),MAX(F$1:F801)+1))</f>
        <v>21</v>
      </c>
      <c r="G802" s="14">
        <f>IF(('S-Table'!$B802-$C$2)*('S-Table'!$B802-$D$2)=0,IF(('S-Table'!$C802-$C$3)*('S-Table'!$C802-$D$3)=0,'S-Table'!A802,0),0)</f>
        <v>0</v>
      </c>
      <c r="H802" s="14">
        <f>IF(('S-Table'!$B802-$C$2)*('S-Table'!$B802-$D$2)=0,IF(('S-Table'!$C802-$C$3)*('S-Table'!$C802-$D$3)=0,'S-Table'!B802,0),0)</f>
        <v>0</v>
      </c>
      <c r="I802" s="14">
        <f>IF(('S-Table'!$B802-$C$2)*('S-Table'!$B802-$D$2)=0,IF(('S-Table'!$C802-$C$3)*('S-Table'!$C802-$D$3)=0,'S-Table'!C802,0),0)</f>
        <v>0</v>
      </c>
      <c r="J802" s="14">
        <f>IF(('S-Table'!$B802-$C$2)*('S-Table'!$B802-$D$2)=0,IF(('S-Table'!$C802-$C$3)*('S-Table'!$C802-$D$3)=0,'S-Table'!D802,0),0)</f>
        <v>0</v>
      </c>
      <c r="K802" s="14">
        <f>IF(('S-Table'!$B802-$C$2)*('S-Table'!$B802-$D$2)=0,IF(('S-Table'!$C802-$C$3)*('S-Table'!$C802-$D$3)=0,'S-Table'!E802,0),0)</f>
        <v>0</v>
      </c>
    </row>
    <row r="803" spans="6:11" x14ac:dyDescent="0.2">
      <c r="F803" s="14">
        <f>IF(G803=0,IF(G802=0,F802,F802+1),IF(G802=0,MAX(F$1:F802),MAX(F$1:F802)+1))</f>
        <v>21</v>
      </c>
      <c r="G803" s="14">
        <f>IF(('S-Table'!$B803-$C$2)*('S-Table'!$B803-$D$2)=0,IF(('S-Table'!$C803-$C$3)*('S-Table'!$C803-$D$3)=0,'S-Table'!A803,0),0)</f>
        <v>0</v>
      </c>
      <c r="H803" s="14">
        <f>IF(('S-Table'!$B803-$C$2)*('S-Table'!$B803-$D$2)=0,IF(('S-Table'!$C803-$C$3)*('S-Table'!$C803-$D$3)=0,'S-Table'!B803,0),0)</f>
        <v>0</v>
      </c>
      <c r="I803" s="14">
        <f>IF(('S-Table'!$B803-$C$2)*('S-Table'!$B803-$D$2)=0,IF(('S-Table'!$C803-$C$3)*('S-Table'!$C803-$D$3)=0,'S-Table'!C803,0),0)</f>
        <v>0</v>
      </c>
      <c r="J803" s="14">
        <f>IF(('S-Table'!$B803-$C$2)*('S-Table'!$B803-$D$2)=0,IF(('S-Table'!$C803-$C$3)*('S-Table'!$C803-$D$3)=0,'S-Table'!D803,0),0)</f>
        <v>0</v>
      </c>
      <c r="K803" s="14">
        <f>IF(('S-Table'!$B803-$C$2)*('S-Table'!$B803-$D$2)=0,IF(('S-Table'!$C803-$C$3)*('S-Table'!$C803-$D$3)=0,'S-Table'!E803,0),0)</f>
        <v>0</v>
      </c>
    </row>
    <row r="804" spans="6:11" x14ac:dyDescent="0.2">
      <c r="F804" s="14">
        <f>IF(G804=0,IF(G803=0,F803,F803+1),IF(G803=0,MAX(F$1:F803),MAX(F$1:F803)+1))</f>
        <v>21</v>
      </c>
      <c r="G804" s="14">
        <f>IF(('S-Table'!$B804-$C$2)*('S-Table'!$B804-$D$2)=0,IF(('S-Table'!$C804-$C$3)*('S-Table'!$C804-$D$3)=0,'S-Table'!A804,0),0)</f>
        <v>0</v>
      </c>
      <c r="H804" s="14">
        <f>IF(('S-Table'!$B804-$C$2)*('S-Table'!$B804-$D$2)=0,IF(('S-Table'!$C804-$C$3)*('S-Table'!$C804-$D$3)=0,'S-Table'!B804,0),0)</f>
        <v>0</v>
      </c>
      <c r="I804" s="14">
        <f>IF(('S-Table'!$B804-$C$2)*('S-Table'!$B804-$D$2)=0,IF(('S-Table'!$C804-$C$3)*('S-Table'!$C804-$D$3)=0,'S-Table'!C804,0),0)</f>
        <v>0</v>
      </c>
      <c r="J804" s="14">
        <f>IF(('S-Table'!$B804-$C$2)*('S-Table'!$B804-$D$2)=0,IF(('S-Table'!$C804-$C$3)*('S-Table'!$C804-$D$3)=0,'S-Table'!D804,0),0)</f>
        <v>0</v>
      </c>
      <c r="K804" s="14">
        <f>IF(('S-Table'!$B804-$C$2)*('S-Table'!$B804-$D$2)=0,IF(('S-Table'!$C804-$C$3)*('S-Table'!$C804-$D$3)=0,'S-Table'!E804,0),0)</f>
        <v>0</v>
      </c>
    </row>
    <row r="805" spans="6:11" x14ac:dyDescent="0.2">
      <c r="F805" s="14">
        <f>IF(G805=0,IF(G804=0,F804,F804+1),IF(G804=0,MAX(F$1:F804),MAX(F$1:F804)+1))</f>
        <v>21</v>
      </c>
      <c r="G805" s="14">
        <f>IF(('S-Table'!$B805-$C$2)*('S-Table'!$B805-$D$2)=0,IF(('S-Table'!$C805-$C$3)*('S-Table'!$C805-$D$3)=0,'S-Table'!A805,0),0)</f>
        <v>0</v>
      </c>
      <c r="H805" s="14">
        <f>IF(('S-Table'!$B805-$C$2)*('S-Table'!$B805-$D$2)=0,IF(('S-Table'!$C805-$C$3)*('S-Table'!$C805-$D$3)=0,'S-Table'!B805,0),0)</f>
        <v>0</v>
      </c>
      <c r="I805" s="14">
        <f>IF(('S-Table'!$B805-$C$2)*('S-Table'!$B805-$D$2)=0,IF(('S-Table'!$C805-$C$3)*('S-Table'!$C805-$D$3)=0,'S-Table'!C805,0),0)</f>
        <v>0</v>
      </c>
      <c r="J805" s="14">
        <f>IF(('S-Table'!$B805-$C$2)*('S-Table'!$B805-$D$2)=0,IF(('S-Table'!$C805-$C$3)*('S-Table'!$C805-$D$3)=0,'S-Table'!D805,0),0)</f>
        <v>0</v>
      </c>
      <c r="K805" s="14">
        <f>IF(('S-Table'!$B805-$C$2)*('S-Table'!$B805-$D$2)=0,IF(('S-Table'!$C805-$C$3)*('S-Table'!$C805-$D$3)=0,'S-Table'!E805,0),0)</f>
        <v>0</v>
      </c>
    </row>
    <row r="806" spans="6:11" x14ac:dyDescent="0.2">
      <c r="F806" s="14">
        <f>IF(G806=0,IF(G805=0,F805,F805+1),IF(G805=0,MAX(F$1:F805),MAX(F$1:F805)+1))</f>
        <v>21</v>
      </c>
      <c r="G806" s="14">
        <f>IF(('S-Table'!$B806-$C$2)*('S-Table'!$B806-$D$2)=0,IF(('S-Table'!$C806-$C$3)*('S-Table'!$C806-$D$3)=0,'S-Table'!A806,0),0)</f>
        <v>0</v>
      </c>
      <c r="H806" s="14">
        <f>IF(('S-Table'!$B806-$C$2)*('S-Table'!$B806-$D$2)=0,IF(('S-Table'!$C806-$C$3)*('S-Table'!$C806-$D$3)=0,'S-Table'!B806,0),0)</f>
        <v>0</v>
      </c>
      <c r="I806" s="14">
        <f>IF(('S-Table'!$B806-$C$2)*('S-Table'!$B806-$D$2)=0,IF(('S-Table'!$C806-$C$3)*('S-Table'!$C806-$D$3)=0,'S-Table'!C806,0),0)</f>
        <v>0</v>
      </c>
      <c r="J806" s="14">
        <f>IF(('S-Table'!$B806-$C$2)*('S-Table'!$B806-$D$2)=0,IF(('S-Table'!$C806-$C$3)*('S-Table'!$C806-$D$3)=0,'S-Table'!D806,0),0)</f>
        <v>0</v>
      </c>
      <c r="K806" s="14">
        <f>IF(('S-Table'!$B806-$C$2)*('S-Table'!$B806-$D$2)=0,IF(('S-Table'!$C806-$C$3)*('S-Table'!$C806-$D$3)=0,'S-Table'!E806,0),0)</f>
        <v>0</v>
      </c>
    </row>
    <row r="807" spans="6:11" x14ac:dyDescent="0.2">
      <c r="F807" s="14">
        <f>IF(G807=0,IF(G806=0,F806,F806+1),IF(G806=0,MAX(F$1:F806),MAX(F$1:F806)+1))</f>
        <v>21</v>
      </c>
      <c r="G807" s="14">
        <f>IF(('S-Table'!$B807-$C$2)*('S-Table'!$B807-$D$2)=0,IF(('S-Table'!$C807-$C$3)*('S-Table'!$C807-$D$3)=0,'S-Table'!A807,0),0)</f>
        <v>0</v>
      </c>
      <c r="H807" s="14">
        <f>IF(('S-Table'!$B807-$C$2)*('S-Table'!$B807-$D$2)=0,IF(('S-Table'!$C807-$C$3)*('S-Table'!$C807-$D$3)=0,'S-Table'!B807,0),0)</f>
        <v>0</v>
      </c>
      <c r="I807" s="14">
        <f>IF(('S-Table'!$B807-$C$2)*('S-Table'!$B807-$D$2)=0,IF(('S-Table'!$C807-$C$3)*('S-Table'!$C807-$D$3)=0,'S-Table'!C807,0),0)</f>
        <v>0</v>
      </c>
      <c r="J807" s="14">
        <f>IF(('S-Table'!$B807-$C$2)*('S-Table'!$B807-$D$2)=0,IF(('S-Table'!$C807-$C$3)*('S-Table'!$C807-$D$3)=0,'S-Table'!D807,0),0)</f>
        <v>0</v>
      </c>
      <c r="K807" s="14">
        <f>IF(('S-Table'!$B807-$C$2)*('S-Table'!$B807-$D$2)=0,IF(('S-Table'!$C807-$C$3)*('S-Table'!$C807-$D$3)=0,'S-Table'!E807,0),0)</f>
        <v>0</v>
      </c>
    </row>
    <row r="808" spans="6:11" x14ac:dyDescent="0.2">
      <c r="F808" s="14">
        <f>IF(G808=0,IF(G807=0,F807,F807+1),IF(G807=0,MAX(F$1:F807),MAX(F$1:F807)+1))</f>
        <v>21</v>
      </c>
      <c r="G808" s="14">
        <f>IF(('S-Table'!$B808-$C$2)*('S-Table'!$B808-$D$2)=0,IF(('S-Table'!$C808-$C$3)*('S-Table'!$C808-$D$3)=0,'S-Table'!A808,0),0)</f>
        <v>0</v>
      </c>
      <c r="H808" s="14">
        <f>IF(('S-Table'!$B808-$C$2)*('S-Table'!$B808-$D$2)=0,IF(('S-Table'!$C808-$C$3)*('S-Table'!$C808-$D$3)=0,'S-Table'!B808,0),0)</f>
        <v>0</v>
      </c>
      <c r="I808" s="14">
        <f>IF(('S-Table'!$B808-$C$2)*('S-Table'!$B808-$D$2)=0,IF(('S-Table'!$C808-$C$3)*('S-Table'!$C808-$D$3)=0,'S-Table'!C808,0),0)</f>
        <v>0</v>
      </c>
      <c r="J808" s="14">
        <f>IF(('S-Table'!$B808-$C$2)*('S-Table'!$B808-$D$2)=0,IF(('S-Table'!$C808-$C$3)*('S-Table'!$C808-$D$3)=0,'S-Table'!D808,0),0)</f>
        <v>0</v>
      </c>
      <c r="K808" s="14">
        <f>IF(('S-Table'!$B808-$C$2)*('S-Table'!$B808-$D$2)=0,IF(('S-Table'!$C808-$C$3)*('S-Table'!$C808-$D$3)=0,'S-Table'!E808,0),0)</f>
        <v>0</v>
      </c>
    </row>
    <row r="809" spans="6:11" x14ac:dyDescent="0.2">
      <c r="F809" s="14">
        <f>IF(G809=0,IF(G808=0,F808,F808+1),IF(G808=0,MAX(F$1:F808),MAX(F$1:F808)+1))</f>
        <v>21</v>
      </c>
      <c r="G809" s="14">
        <f>IF(('S-Table'!$B809-$C$2)*('S-Table'!$B809-$D$2)=0,IF(('S-Table'!$C809-$C$3)*('S-Table'!$C809-$D$3)=0,'S-Table'!A809,0),0)</f>
        <v>0</v>
      </c>
      <c r="H809" s="14">
        <f>IF(('S-Table'!$B809-$C$2)*('S-Table'!$B809-$D$2)=0,IF(('S-Table'!$C809-$C$3)*('S-Table'!$C809-$D$3)=0,'S-Table'!B809,0),0)</f>
        <v>0</v>
      </c>
      <c r="I809" s="14">
        <f>IF(('S-Table'!$B809-$C$2)*('S-Table'!$B809-$D$2)=0,IF(('S-Table'!$C809-$C$3)*('S-Table'!$C809-$D$3)=0,'S-Table'!C809,0),0)</f>
        <v>0</v>
      </c>
      <c r="J809" s="14">
        <f>IF(('S-Table'!$B809-$C$2)*('S-Table'!$B809-$D$2)=0,IF(('S-Table'!$C809-$C$3)*('S-Table'!$C809-$D$3)=0,'S-Table'!D809,0),0)</f>
        <v>0</v>
      </c>
      <c r="K809" s="14">
        <f>IF(('S-Table'!$B809-$C$2)*('S-Table'!$B809-$D$2)=0,IF(('S-Table'!$C809-$C$3)*('S-Table'!$C809-$D$3)=0,'S-Table'!E809,0),0)</f>
        <v>0</v>
      </c>
    </row>
    <row r="810" spans="6:11" x14ac:dyDescent="0.2">
      <c r="F810" s="14">
        <f>IF(G810=0,IF(G809=0,F809,F809+1),IF(G809=0,MAX(F$1:F809),MAX(F$1:F809)+1))</f>
        <v>21</v>
      </c>
      <c r="G810" s="14">
        <f>IF(('S-Table'!$B810-$C$2)*('S-Table'!$B810-$D$2)=0,IF(('S-Table'!$C810-$C$3)*('S-Table'!$C810-$D$3)=0,'S-Table'!A810,0),0)</f>
        <v>0</v>
      </c>
      <c r="H810" s="14">
        <f>IF(('S-Table'!$B810-$C$2)*('S-Table'!$B810-$D$2)=0,IF(('S-Table'!$C810-$C$3)*('S-Table'!$C810-$D$3)=0,'S-Table'!B810,0),0)</f>
        <v>0</v>
      </c>
      <c r="I810" s="14">
        <f>IF(('S-Table'!$B810-$C$2)*('S-Table'!$B810-$D$2)=0,IF(('S-Table'!$C810-$C$3)*('S-Table'!$C810-$D$3)=0,'S-Table'!C810,0),0)</f>
        <v>0</v>
      </c>
      <c r="J810" s="14">
        <f>IF(('S-Table'!$B810-$C$2)*('S-Table'!$B810-$D$2)=0,IF(('S-Table'!$C810-$C$3)*('S-Table'!$C810-$D$3)=0,'S-Table'!D810,0),0)</f>
        <v>0</v>
      </c>
      <c r="K810" s="14">
        <f>IF(('S-Table'!$B810-$C$2)*('S-Table'!$B810-$D$2)=0,IF(('S-Table'!$C810-$C$3)*('S-Table'!$C810-$D$3)=0,'S-Table'!E810,0),0)</f>
        <v>0</v>
      </c>
    </row>
    <row r="811" spans="6:11" x14ac:dyDescent="0.2">
      <c r="F811" s="14">
        <f>IF(G811=0,IF(G810=0,F810,F810+1),IF(G810=0,MAX(F$1:F810),MAX(F$1:F810)+1))</f>
        <v>21</v>
      </c>
      <c r="G811" s="14">
        <f>IF(('S-Table'!$B811-$C$2)*('S-Table'!$B811-$D$2)=0,IF(('S-Table'!$C811-$C$3)*('S-Table'!$C811-$D$3)=0,'S-Table'!A811,0),0)</f>
        <v>0</v>
      </c>
      <c r="H811" s="14">
        <f>IF(('S-Table'!$B811-$C$2)*('S-Table'!$B811-$D$2)=0,IF(('S-Table'!$C811-$C$3)*('S-Table'!$C811-$D$3)=0,'S-Table'!B811,0),0)</f>
        <v>0</v>
      </c>
      <c r="I811" s="14">
        <f>IF(('S-Table'!$B811-$C$2)*('S-Table'!$B811-$D$2)=0,IF(('S-Table'!$C811-$C$3)*('S-Table'!$C811-$D$3)=0,'S-Table'!C811,0),0)</f>
        <v>0</v>
      </c>
      <c r="J811" s="14">
        <f>IF(('S-Table'!$B811-$C$2)*('S-Table'!$B811-$D$2)=0,IF(('S-Table'!$C811-$C$3)*('S-Table'!$C811-$D$3)=0,'S-Table'!D811,0),0)</f>
        <v>0</v>
      </c>
      <c r="K811" s="14">
        <f>IF(('S-Table'!$B811-$C$2)*('S-Table'!$B811-$D$2)=0,IF(('S-Table'!$C811-$C$3)*('S-Table'!$C811-$D$3)=0,'S-Table'!E811,0),0)</f>
        <v>0</v>
      </c>
    </row>
    <row r="812" spans="6:11" x14ac:dyDescent="0.2">
      <c r="F812" s="14">
        <f>IF(G812=0,IF(G811=0,F811,F811+1),IF(G811=0,MAX(F$1:F811),MAX(F$1:F811)+1))</f>
        <v>21</v>
      </c>
      <c r="G812" s="14">
        <f>IF(('S-Table'!$B812-$C$2)*('S-Table'!$B812-$D$2)=0,IF(('S-Table'!$C812-$C$3)*('S-Table'!$C812-$D$3)=0,'S-Table'!A812,0),0)</f>
        <v>0</v>
      </c>
      <c r="H812" s="14">
        <f>IF(('S-Table'!$B812-$C$2)*('S-Table'!$B812-$D$2)=0,IF(('S-Table'!$C812-$C$3)*('S-Table'!$C812-$D$3)=0,'S-Table'!B812,0),0)</f>
        <v>0</v>
      </c>
      <c r="I812" s="14">
        <f>IF(('S-Table'!$B812-$C$2)*('S-Table'!$B812-$D$2)=0,IF(('S-Table'!$C812-$C$3)*('S-Table'!$C812-$D$3)=0,'S-Table'!C812,0),0)</f>
        <v>0</v>
      </c>
      <c r="J812" s="14">
        <f>IF(('S-Table'!$B812-$C$2)*('S-Table'!$B812-$D$2)=0,IF(('S-Table'!$C812-$C$3)*('S-Table'!$C812-$D$3)=0,'S-Table'!D812,0),0)</f>
        <v>0</v>
      </c>
      <c r="K812" s="14">
        <f>IF(('S-Table'!$B812-$C$2)*('S-Table'!$B812-$D$2)=0,IF(('S-Table'!$C812-$C$3)*('S-Table'!$C812-$D$3)=0,'S-Table'!E812,0),0)</f>
        <v>0</v>
      </c>
    </row>
    <row r="813" spans="6:11" x14ac:dyDescent="0.2">
      <c r="F813" s="14">
        <f>IF(G813=0,IF(G812=0,F812,F812+1),IF(G812=0,MAX(F$1:F812),MAX(F$1:F812)+1))</f>
        <v>21</v>
      </c>
      <c r="G813" s="14">
        <f>IF(('S-Table'!$B813-$C$2)*('S-Table'!$B813-$D$2)=0,IF(('S-Table'!$C813-$C$3)*('S-Table'!$C813-$D$3)=0,'S-Table'!A813,0),0)</f>
        <v>0</v>
      </c>
      <c r="H813" s="14">
        <f>IF(('S-Table'!$B813-$C$2)*('S-Table'!$B813-$D$2)=0,IF(('S-Table'!$C813-$C$3)*('S-Table'!$C813-$D$3)=0,'S-Table'!B813,0),0)</f>
        <v>0</v>
      </c>
      <c r="I813" s="14">
        <f>IF(('S-Table'!$B813-$C$2)*('S-Table'!$B813-$D$2)=0,IF(('S-Table'!$C813-$C$3)*('S-Table'!$C813-$D$3)=0,'S-Table'!C813,0),0)</f>
        <v>0</v>
      </c>
      <c r="J813" s="14">
        <f>IF(('S-Table'!$B813-$C$2)*('S-Table'!$B813-$D$2)=0,IF(('S-Table'!$C813-$C$3)*('S-Table'!$C813-$D$3)=0,'S-Table'!D813,0),0)</f>
        <v>0</v>
      </c>
      <c r="K813" s="14">
        <f>IF(('S-Table'!$B813-$C$2)*('S-Table'!$B813-$D$2)=0,IF(('S-Table'!$C813-$C$3)*('S-Table'!$C813-$D$3)=0,'S-Table'!E813,0),0)</f>
        <v>0</v>
      </c>
    </row>
    <row r="814" spans="6:11" x14ac:dyDescent="0.2">
      <c r="F814" s="14">
        <f>IF(G814=0,IF(G813=0,F813,F813+1),IF(G813=0,MAX(F$1:F813),MAX(F$1:F813)+1))</f>
        <v>21</v>
      </c>
      <c r="G814" s="14">
        <f>IF(('S-Table'!$B814-$C$2)*('S-Table'!$B814-$D$2)=0,IF(('S-Table'!$C814-$C$3)*('S-Table'!$C814-$D$3)=0,'S-Table'!A814,0),0)</f>
        <v>0</v>
      </c>
      <c r="H814" s="14">
        <f>IF(('S-Table'!$B814-$C$2)*('S-Table'!$B814-$D$2)=0,IF(('S-Table'!$C814-$C$3)*('S-Table'!$C814-$D$3)=0,'S-Table'!B814,0),0)</f>
        <v>0</v>
      </c>
      <c r="I814" s="14">
        <f>IF(('S-Table'!$B814-$C$2)*('S-Table'!$B814-$D$2)=0,IF(('S-Table'!$C814-$C$3)*('S-Table'!$C814-$D$3)=0,'S-Table'!C814,0),0)</f>
        <v>0</v>
      </c>
      <c r="J814" s="14">
        <f>IF(('S-Table'!$B814-$C$2)*('S-Table'!$B814-$D$2)=0,IF(('S-Table'!$C814-$C$3)*('S-Table'!$C814-$D$3)=0,'S-Table'!D814,0),0)</f>
        <v>0</v>
      </c>
      <c r="K814" s="14">
        <f>IF(('S-Table'!$B814-$C$2)*('S-Table'!$B814-$D$2)=0,IF(('S-Table'!$C814-$C$3)*('S-Table'!$C814-$D$3)=0,'S-Table'!E814,0),0)</f>
        <v>0</v>
      </c>
    </row>
    <row r="815" spans="6:11" x14ac:dyDescent="0.2">
      <c r="F815" s="14">
        <f>IF(G815=0,IF(G814=0,F814,F814+1),IF(G814=0,MAX(F$1:F814),MAX(F$1:F814)+1))</f>
        <v>21</v>
      </c>
      <c r="G815" s="14">
        <f>IF(('S-Table'!$B815-$C$2)*('S-Table'!$B815-$D$2)=0,IF(('S-Table'!$C815-$C$3)*('S-Table'!$C815-$D$3)=0,'S-Table'!A815,0),0)</f>
        <v>0</v>
      </c>
      <c r="H815" s="14">
        <f>IF(('S-Table'!$B815-$C$2)*('S-Table'!$B815-$D$2)=0,IF(('S-Table'!$C815-$C$3)*('S-Table'!$C815-$D$3)=0,'S-Table'!B815,0),0)</f>
        <v>0</v>
      </c>
      <c r="I815" s="14">
        <f>IF(('S-Table'!$B815-$C$2)*('S-Table'!$B815-$D$2)=0,IF(('S-Table'!$C815-$C$3)*('S-Table'!$C815-$D$3)=0,'S-Table'!C815,0),0)</f>
        <v>0</v>
      </c>
      <c r="J815" s="14">
        <f>IF(('S-Table'!$B815-$C$2)*('S-Table'!$B815-$D$2)=0,IF(('S-Table'!$C815-$C$3)*('S-Table'!$C815-$D$3)=0,'S-Table'!D815,0),0)</f>
        <v>0</v>
      </c>
      <c r="K815" s="14">
        <f>IF(('S-Table'!$B815-$C$2)*('S-Table'!$B815-$D$2)=0,IF(('S-Table'!$C815-$C$3)*('S-Table'!$C815-$D$3)=0,'S-Table'!E815,0),0)</f>
        <v>0</v>
      </c>
    </row>
    <row r="816" spans="6:11" x14ac:dyDescent="0.2">
      <c r="F816" s="14">
        <f>IF(G816=0,IF(G815=0,F815,F815+1),IF(G815=0,MAX(F$1:F815),MAX(F$1:F815)+1))</f>
        <v>21</v>
      </c>
      <c r="G816" s="14">
        <f>IF(('S-Table'!$B816-$C$2)*('S-Table'!$B816-$D$2)=0,IF(('S-Table'!$C816-$C$3)*('S-Table'!$C816-$D$3)=0,'S-Table'!A816,0),0)</f>
        <v>0</v>
      </c>
      <c r="H816" s="14">
        <f>IF(('S-Table'!$B816-$C$2)*('S-Table'!$B816-$D$2)=0,IF(('S-Table'!$C816-$C$3)*('S-Table'!$C816-$D$3)=0,'S-Table'!B816,0),0)</f>
        <v>0</v>
      </c>
      <c r="I816" s="14">
        <f>IF(('S-Table'!$B816-$C$2)*('S-Table'!$B816-$D$2)=0,IF(('S-Table'!$C816-$C$3)*('S-Table'!$C816-$D$3)=0,'S-Table'!C816,0),0)</f>
        <v>0</v>
      </c>
      <c r="J816" s="14">
        <f>IF(('S-Table'!$B816-$C$2)*('S-Table'!$B816-$D$2)=0,IF(('S-Table'!$C816-$C$3)*('S-Table'!$C816-$D$3)=0,'S-Table'!D816,0),0)</f>
        <v>0</v>
      </c>
      <c r="K816" s="14">
        <f>IF(('S-Table'!$B816-$C$2)*('S-Table'!$B816-$D$2)=0,IF(('S-Table'!$C816-$C$3)*('S-Table'!$C816-$D$3)=0,'S-Table'!E816,0),0)</f>
        <v>0</v>
      </c>
    </row>
    <row r="817" spans="6:11" x14ac:dyDescent="0.2">
      <c r="F817" s="14">
        <f>IF(G817=0,IF(G816=0,F816,F816+1),IF(G816=0,MAX(F$1:F816),MAX(F$1:F816)+1))</f>
        <v>21</v>
      </c>
      <c r="G817" s="14">
        <f>IF(('S-Table'!$B817-$C$2)*('S-Table'!$B817-$D$2)=0,IF(('S-Table'!$C817-$C$3)*('S-Table'!$C817-$D$3)=0,'S-Table'!A817,0),0)</f>
        <v>0</v>
      </c>
      <c r="H817" s="14">
        <f>IF(('S-Table'!$B817-$C$2)*('S-Table'!$B817-$D$2)=0,IF(('S-Table'!$C817-$C$3)*('S-Table'!$C817-$D$3)=0,'S-Table'!B817,0),0)</f>
        <v>0</v>
      </c>
      <c r="I817" s="14">
        <f>IF(('S-Table'!$B817-$C$2)*('S-Table'!$B817-$D$2)=0,IF(('S-Table'!$C817-$C$3)*('S-Table'!$C817-$D$3)=0,'S-Table'!C817,0),0)</f>
        <v>0</v>
      </c>
      <c r="J817" s="14">
        <f>IF(('S-Table'!$B817-$C$2)*('S-Table'!$B817-$D$2)=0,IF(('S-Table'!$C817-$C$3)*('S-Table'!$C817-$D$3)=0,'S-Table'!D817,0),0)</f>
        <v>0</v>
      </c>
      <c r="K817" s="14">
        <f>IF(('S-Table'!$B817-$C$2)*('S-Table'!$B817-$D$2)=0,IF(('S-Table'!$C817-$C$3)*('S-Table'!$C817-$D$3)=0,'S-Table'!E817,0),0)</f>
        <v>0</v>
      </c>
    </row>
    <row r="818" spans="6:11" x14ac:dyDescent="0.2">
      <c r="F818" s="14">
        <f>IF(G818=0,IF(G817=0,F817,F817+1),IF(G817=0,MAX(F$1:F817),MAX(F$1:F817)+1))</f>
        <v>21</v>
      </c>
      <c r="G818" s="14">
        <f>IF(('S-Table'!$B818-$C$2)*('S-Table'!$B818-$D$2)=0,IF(('S-Table'!$C818-$C$3)*('S-Table'!$C818-$D$3)=0,'S-Table'!A818,0),0)</f>
        <v>0</v>
      </c>
      <c r="H818" s="14">
        <f>IF(('S-Table'!$B818-$C$2)*('S-Table'!$B818-$D$2)=0,IF(('S-Table'!$C818-$C$3)*('S-Table'!$C818-$D$3)=0,'S-Table'!B818,0),0)</f>
        <v>0</v>
      </c>
      <c r="I818" s="14">
        <f>IF(('S-Table'!$B818-$C$2)*('S-Table'!$B818-$D$2)=0,IF(('S-Table'!$C818-$C$3)*('S-Table'!$C818-$D$3)=0,'S-Table'!C818,0),0)</f>
        <v>0</v>
      </c>
      <c r="J818" s="14">
        <f>IF(('S-Table'!$B818-$C$2)*('S-Table'!$B818-$D$2)=0,IF(('S-Table'!$C818-$C$3)*('S-Table'!$C818-$D$3)=0,'S-Table'!D818,0),0)</f>
        <v>0</v>
      </c>
      <c r="K818" s="14">
        <f>IF(('S-Table'!$B818-$C$2)*('S-Table'!$B818-$D$2)=0,IF(('S-Table'!$C818-$C$3)*('S-Table'!$C818-$D$3)=0,'S-Table'!E818,0),0)</f>
        <v>0</v>
      </c>
    </row>
    <row r="819" spans="6:11" x14ac:dyDescent="0.2">
      <c r="F819" s="14">
        <f>IF(G819=0,IF(G818=0,F818,F818+1),IF(G818=0,MAX(F$1:F818),MAX(F$1:F818)+1))</f>
        <v>21</v>
      </c>
      <c r="G819" s="14">
        <f>IF(('S-Table'!$B819-$C$2)*('S-Table'!$B819-$D$2)=0,IF(('S-Table'!$C819-$C$3)*('S-Table'!$C819-$D$3)=0,'S-Table'!A819,0),0)</f>
        <v>0</v>
      </c>
      <c r="H819" s="14">
        <f>IF(('S-Table'!$B819-$C$2)*('S-Table'!$B819-$D$2)=0,IF(('S-Table'!$C819-$C$3)*('S-Table'!$C819-$D$3)=0,'S-Table'!B819,0),0)</f>
        <v>0</v>
      </c>
      <c r="I819" s="14">
        <f>IF(('S-Table'!$B819-$C$2)*('S-Table'!$B819-$D$2)=0,IF(('S-Table'!$C819-$C$3)*('S-Table'!$C819-$D$3)=0,'S-Table'!C819,0),0)</f>
        <v>0</v>
      </c>
      <c r="J819" s="14">
        <f>IF(('S-Table'!$B819-$C$2)*('S-Table'!$B819-$D$2)=0,IF(('S-Table'!$C819-$C$3)*('S-Table'!$C819-$D$3)=0,'S-Table'!D819,0),0)</f>
        <v>0</v>
      </c>
      <c r="K819" s="14">
        <f>IF(('S-Table'!$B819-$C$2)*('S-Table'!$B819-$D$2)=0,IF(('S-Table'!$C819-$C$3)*('S-Table'!$C819-$D$3)=0,'S-Table'!E819,0),0)</f>
        <v>0</v>
      </c>
    </row>
    <row r="820" spans="6:11" x14ac:dyDescent="0.2">
      <c r="F820" s="14">
        <f>IF(G820=0,IF(G819=0,F819,F819+1),IF(G819=0,MAX(F$1:F819),MAX(F$1:F819)+1))</f>
        <v>21</v>
      </c>
      <c r="G820" s="14">
        <f>IF(('S-Table'!$B820-$C$2)*('S-Table'!$B820-$D$2)=0,IF(('S-Table'!$C820-$C$3)*('S-Table'!$C820-$D$3)=0,'S-Table'!A820,0),0)</f>
        <v>0</v>
      </c>
      <c r="H820" s="14">
        <f>IF(('S-Table'!$B820-$C$2)*('S-Table'!$B820-$D$2)=0,IF(('S-Table'!$C820-$C$3)*('S-Table'!$C820-$D$3)=0,'S-Table'!B820,0),0)</f>
        <v>0</v>
      </c>
      <c r="I820" s="14">
        <f>IF(('S-Table'!$B820-$C$2)*('S-Table'!$B820-$D$2)=0,IF(('S-Table'!$C820-$C$3)*('S-Table'!$C820-$D$3)=0,'S-Table'!C820,0),0)</f>
        <v>0</v>
      </c>
      <c r="J820" s="14">
        <f>IF(('S-Table'!$B820-$C$2)*('S-Table'!$B820-$D$2)=0,IF(('S-Table'!$C820-$C$3)*('S-Table'!$C820-$D$3)=0,'S-Table'!D820,0),0)</f>
        <v>0</v>
      </c>
      <c r="K820" s="14">
        <f>IF(('S-Table'!$B820-$C$2)*('S-Table'!$B820-$D$2)=0,IF(('S-Table'!$C820-$C$3)*('S-Table'!$C820-$D$3)=0,'S-Table'!E820,0),0)</f>
        <v>0</v>
      </c>
    </row>
    <row r="821" spans="6:11" x14ac:dyDescent="0.2">
      <c r="F821" s="14">
        <f>IF(G821=0,IF(G820=0,F820,F820+1),IF(G820=0,MAX(F$1:F820),MAX(F$1:F820)+1))</f>
        <v>21</v>
      </c>
      <c r="G821" s="14">
        <f>IF(('S-Table'!$B821-$C$2)*('S-Table'!$B821-$D$2)=0,IF(('S-Table'!$C821-$C$3)*('S-Table'!$C821-$D$3)=0,'S-Table'!A821,0),0)</f>
        <v>0</v>
      </c>
      <c r="H821" s="14">
        <f>IF(('S-Table'!$B821-$C$2)*('S-Table'!$B821-$D$2)=0,IF(('S-Table'!$C821-$C$3)*('S-Table'!$C821-$D$3)=0,'S-Table'!B821,0),0)</f>
        <v>0</v>
      </c>
      <c r="I821" s="14">
        <f>IF(('S-Table'!$B821-$C$2)*('S-Table'!$B821-$D$2)=0,IF(('S-Table'!$C821-$C$3)*('S-Table'!$C821-$D$3)=0,'S-Table'!C821,0),0)</f>
        <v>0</v>
      </c>
      <c r="J821" s="14">
        <f>IF(('S-Table'!$B821-$C$2)*('S-Table'!$B821-$D$2)=0,IF(('S-Table'!$C821-$C$3)*('S-Table'!$C821-$D$3)=0,'S-Table'!D821,0),0)</f>
        <v>0</v>
      </c>
      <c r="K821" s="14">
        <f>IF(('S-Table'!$B821-$C$2)*('S-Table'!$B821-$D$2)=0,IF(('S-Table'!$C821-$C$3)*('S-Table'!$C821-$D$3)=0,'S-Table'!E821,0),0)</f>
        <v>0</v>
      </c>
    </row>
    <row r="822" spans="6:11" x14ac:dyDescent="0.2">
      <c r="F822" s="14">
        <f>IF(G822=0,IF(G821=0,F821,F821+1),IF(G821=0,MAX(F$1:F821),MAX(F$1:F821)+1))</f>
        <v>21</v>
      </c>
      <c r="G822" s="14">
        <f>IF(('S-Table'!$B822-$C$2)*('S-Table'!$B822-$D$2)=0,IF(('S-Table'!$C822-$C$3)*('S-Table'!$C822-$D$3)=0,'S-Table'!A822,0),0)</f>
        <v>0</v>
      </c>
      <c r="H822" s="14">
        <f>IF(('S-Table'!$B822-$C$2)*('S-Table'!$B822-$D$2)=0,IF(('S-Table'!$C822-$C$3)*('S-Table'!$C822-$D$3)=0,'S-Table'!B822,0),0)</f>
        <v>0</v>
      </c>
      <c r="I822" s="14">
        <f>IF(('S-Table'!$B822-$C$2)*('S-Table'!$B822-$D$2)=0,IF(('S-Table'!$C822-$C$3)*('S-Table'!$C822-$D$3)=0,'S-Table'!C822,0),0)</f>
        <v>0</v>
      </c>
      <c r="J822" s="14">
        <f>IF(('S-Table'!$B822-$C$2)*('S-Table'!$B822-$D$2)=0,IF(('S-Table'!$C822-$C$3)*('S-Table'!$C822-$D$3)=0,'S-Table'!D822,0),0)</f>
        <v>0</v>
      </c>
      <c r="K822" s="14">
        <f>IF(('S-Table'!$B822-$C$2)*('S-Table'!$B822-$D$2)=0,IF(('S-Table'!$C822-$C$3)*('S-Table'!$C822-$D$3)=0,'S-Table'!E822,0),0)</f>
        <v>0</v>
      </c>
    </row>
    <row r="823" spans="6:11" x14ac:dyDescent="0.2">
      <c r="F823" s="14">
        <f>IF(G823=0,IF(G822=0,F822,F822+1),IF(G822=0,MAX(F$1:F822),MAX(F$1:F822)+1))</f>
        <v>21</v>
      </c>
      <c r="G823" s="14">
        <f>IF(('S-Table'!$B823-$C$2)*('S-Table'!$B823-$D$2)=0,IF(('S-Table'!$C823-$C$3)*('S-Table'!$C823-$D$3)=0,'S-Table'!A823,0),0)</f>
        <v>0</v>
      </c>
      <c r="H823" s="14">
        <f>IF(('S-Table'!$B823-$C$2)*('S-Table'!$B823-$D$2)=0,IF(('S-Table'!$C823-$C$3)*('S-Table'!$C823-$D$3)=0,'S-Table'!B823,0),0)</f>
        <v>0</v>
      </c>
      <c r="I823" s="14">
        <f>IF(('S-Table'!$B823-$C$2)*('S-Table'!$B823-$D$2)=0,IF(('S-Table'!$C823-$C$3)*('S-Table'!$C823-$D$3)=0,'S-Table'!C823,0),0)</f>
        <v>0</v>
      </c>
      <c r="J823" s="14">
        <f>IF(('S-Table'!$B823-$C$2)*('S-Table'!$B823-$D$2)=0,IF(('S-Table'!$C823-$C$3)*('S-Table'!$C823-$D$3)=0,'S-Table'!D823,0),0)</f>
        <v>0</v>
      </c>
      <c r="K823" s="14">
        <f>IF(('S-Table'!$B823-$C$2)*('S-Table'!$B823-$D$2)=0,IF(('S-Table'!$C823-$C$3)*('S-Table'!$C823-$D$3)=0,'S-Table'!E823,0),0)</f>
        <v>0</v>
      </c>
    </row>
    <row r="824" spans="6:11" x14ac:dyDescent="0.2">
      <c r="F824" s="14">
        <f>IF(G824=0,IF(G823=0,F823,F823+1),IF(G823=0,MAX(F$1:F823),MAX(F$1:F823)+1))</f>
        <v>21</v>
      </c>
      <c r="G824" s="14">
        <f>IF(('S-Table'!$B824-$C$2)*('S-Table'!$B824-$D$2)=0,IF(('S-Table'!$C824-$C$3)*('S-Table'!$C824-$D$3)=0,'S-Table'!A824,0),0)</f>
        <v>0</v>
      </c>
      <c r="H824" s="14">
        <f>IF(('S-Table'!$B824-$C$2)*('S-Table'!$B824-$D$2)=0,IF(('S-Table'!$C824-$C$3)*('S-Table'!$C824-$D$3)=0,'S-Table'!B824,0),0)</f>
        <v>0</v>
      </c>
      <c r="I824" s="14">
        <f>IF(('S-Table'!$B824-$C$2)*('S-Table'!$B824-$D$2)=0,IF(('S-Table'!$C824-$C$3)*('S-Table'!$C824-$D$3)=0,'S-Table'!C824,0),0)</f>
        <v>0</v>
      </c>
      <c r="J824" s="14">
        <f>IF(('S-Table'!$B824-$C$2)*('S-Table'!$B824-$D$2)=0,IF(('S-Table'!$C824-$C$3)*('S-Table'!$C824-$D$3)=0,'S-Table'!D824,0),0)</f>
        <v>0</v>
      </c>
      <c r="K824" s="14">
        <f>IF(('S-Table'!$B824-$C$2)*('S-Table'!$B824-$D$2)=0,IF(('S-Table'!$C824-$C$3)*('S-Table'!$C824-$D$3)=0,'S-Table'!E824,0),0)</f>
        <v>0</v>
      </c>
    </row>
    <row r="825" spans="6:11" x14ac:dyDescent="0.2">
      <c r="F825" s="14">
        <f>IF(G825=0,IF(G824=0,F824,F824+1),IF(G824=0,MAX(F$1:F824),MAX(F$1:F824)+1))</f>
        <v>21</v>
      </c>
      <c r="G825" s="14">
        <f>IF(('S-Table'!$B825-$C$2)*('S-Table'!$B825-$D$2)=0,IF(('S-Table'!$C825-$C$3)*('S-Table'!$C825-$D$3)=0,'S-Table'!A825,0),0)</f>
        <v>0</v>
      </c>
      <c r="H825" s="14">
        <f>IF(('S-Table'!$B825-$C$2)*('S-Table'!$B825-$D$2)=0,IF(('S-Table'!$C825-$C$3)*('S-Table'!$C825-$D$3)=0,'S-Table'!B825,0),0)</f>
        <v>0</v>
      </c>
      <c r="I825" s="14">
        <f>IF(('S-Table'!$B825-$C$2)*('S-Table'!$B825-$D$2)=0,IF(('S-Table'!$C825-$C$3)*('S-Table'!$C825-$D$3)=0,'S-Table'!C825,0),0)</f>
        <v>0</v>
      </c>
      <c r="J825" s="14">
        <f>IF(('S-Table'!$B825-$C$2)*('S-Table'!$B825-$D$2)=0,IF(('S-Table'!$C825-$C$3)*('S-Table'!$C825-$D$3)=0,'S-Table'!D825,0),0)</f>
        <v>0</v>
      </c>
      <c r="K825" s="14">
        <f>IF(('S-Table'!$B825-$C$2)*('S-Table'!$B825-$D$2)=0,IF(('S-Table'!$C825-$C$3)*('S-Table'!$C825-$D$3)=0,'S-Table'!E825,0),0)</f>
        <v>0</v>
      </c>
    </row>
    <row r="826" spans="6:11" x14ac:dyDescent="0.2">
      <c r="F826" s="14">
        <f>IF(G826=0,IF(G825=0,F825,F825+1),IF(G825=0,MAX(F$1:F825),MAX(F$1:F825)+1))</f>
        <v>21</v>
      </c>
      <c r="G826" s="14">
        <f>IF(('S-Table'!$B826-$C$2)*('S-Table'!$B826-$D$2)=0,IF(('S-Table'!$C826-$C$3)*('S-Table'!$C826-$D$3)=0,'S-Table'!A826,0),0)</f>
        <v>0</v>
      </c>
      <c r="H826" s="14">
        <f>IF(('S-Table'!$B826-$C$2)*('S-Table'!$B826-$D$2)=0,IF(('S-Table'!$C826-$C$3)*('S-Table'!$C826-$D$3)=0,'S-Table'!B826,0),0)</f>
        <v>0</v>
      </c>
      <c r="I826" s="14">
        <f>IF(('S-Table'!$B826-$C$2)*('S-Table'!$B826-$D$2)=0,IF(('S-Table'!$C826-$C$3)*('S-Table'!$C826-$D$3)=0,'S-Table'!C826,0),0)</f>
        <v>0</v>
      </c>
      <c r="J826" s="14">
        <f>IF(('S-Table'!$B826-$C$2)*('S-Table'!$B826-$D$2)=0,IF(('S-Table'!$C826-$C$3)*('S-Table'!$C826-$D$3)=0,'S-Table'!D826,0),0)</f>
        <v>0</v>
      </c>
      <c r="K826" s="14">
        <f>IF(('S-Table'!$B826-$C$2)*('S-Table'!$B826-$D$2)=0,IF(('S-Table'!$C826-$C$3)*('S-Table'!$C826-$D$3)=0,'S-Table'!E826,0),0)</f>
        <v>0</v>
      </c>
    </row>
    <row r="827" spans="6:11" x14ac:dyDescent="0.2">
      <c r="F827" s="14">
        <f>IF(G827=0,IF(G826=0,F826,F826+1),IF(G826=0,MAX(F$1:F826),MAX(F$1:F826)+1))</f>
        <v>21</v>
      </c>
      <c r="G827" s="14">
        <f>IF(('S-Table'!$B827-$C$2)*('S-Table'!$B827-$D$2)=0,IF(('S-Table'!$C827-$C$3)*('S-Table'!$C827-$D$3)=0,'S-Table'!A827,0),0)</f>
        <v>0</v>
      </c>
      <c r="H827" s="14">
        <f>IF(('S-Table'!$B827-$C$2)*('S-Table'!$B827-$D$2)=0,IF(('S-Table'!$C827-$C$3)*('S-Table'!$C827-$D$3)=0,'S-Table'!B827,0),0)</f>
        <v>0</v>
      </c>
      <c r="I827" s="14">
        <f>IF(('S-Table'!$B827-$C$2)*('S-Table'!$B827-$D$2)=0,IF(('S-Table'!$C827-$C$3)*('S-Table'!$C827-$D$3)=0,'S-Table'!C827,0),0)</f>
        <v>0</v>
      </c>
      <c r="J827" s="14">
        <f>IF(('S-Table'!$B827-$C$2)*('S-Table'!$B827-$D$2)=0,IF(('S-Table'!$C827-$C$3)*('S-Table'!$C827-$D$3)=0,'S-Table'!D827,0),0)</f>
        <v>0</v>
      </c>
      <c r="K827" s="14">
        <f>IF(('S-Table'!$B827-$C$2)*('S-Table'!$B827-$D$2)=0,IF(('S-Table'!$C827-$C$3)*('S-Table'!$C827-$D$3)=0,'S-Table'!E827,0),0)</f>
        <v>0</v>
      </c>
    </row>
    <row r="828" spans="6:11" x14ac:dyDescent="0.2">
      <c r="F828" s="14">
        <f>IF(G828=0,IF(G827=0,F827,F827+1),IF(G827=0,MAX(F$1:F827),MAX(F$1:F827)+1))</f>
        <v>21</v>
      </c>
      <c r="G828" s="14">
        <f>IF(('S-Table'!$B828-$C$2)*('S-Table'!$B828-$D$2)=0,IF(('S-Table'!$C828-$C$3)*('S-Table'!$C828-$D$3)=0,'S-Table'!A828,0),0)</f>
        <v>0</v>
      </c>
      <c r="H828" s="14">
        <f>IF(('S-Table'!$B828-$C$2)*('S-Table'!$B828-$D$2)=0,IF(('S-Table'!$C828-$C$3)*('S-Table'!$C828-$D$3)=0,'S-Table'!B828,0),0)</f>
        <v>0</v>
      </c>
      <c r="I828" s="14">
        <f>IF(('S-Table'!$B828-$C$2)*('S-Table'!$B828-$D$2)=0,IF(('S-Table'!$C828-$C$3)*('S-Table'!$C828-$D$3)=0,'S-Table'!C828,0),0)</f>
        <v>0</v>
      </c>
      <c r="J828" s="14">
        <f>IF(('S-Table'!$B828-$C$2)*('S-Table'!$B828-$D$2)=0,IF(('S-Table'!$C828-$C$3)*('S-Table'!$C828-$D$3)=0,'S-Table'!D828,0),0)</f>
        <v>0</v>
      </c>
      <c r="K828" s="14">
        <f>IF(('S-Table'!$B828-$C$2)*('S-Table'!$B828-$D$2)=0,IF(('S-Table'!$C828-$C$3)*('S-Table'!$C828-$D$3)=0,'S-Table'!E828,0),0)</f>
        <v>0</v>
      </c>
    </row>
    <row r="829" spans="6:11" x14ac:dyDescent="0.2">
      <c r="F829" s="14">
        <f>IF(G829=0,IF(G828=0,F828,F828+1),IF(G828=0,MAX(F$1:F828),MAX(F$1:F828)+1))</f>
        <v>21</v>
      </c>
      <c r="G829" s="14">
        <f>IF(('S-Table'!$B829-$C$2)*('S-Table'!$B829-$D$2)=0,IF(('S-Table'!$C829-$C$3)*('S-Table'!$C829-$D$3)=0,'S-Table'!A829,0),0)</f>
        <v>0</v>
      </c>
      <c r="H829" s="14">
        <f>IF(('S-Table'!$B829-$C$2)*('S-Table'!$B829-$D$2)=0,IF(('S-Table'!$C829-$C$3)*('S-Table'!$C829-$D$3)=0,'S-Table'!B829,0),0)</f>
        <v>0</v>
      </c>
      <c r="I829" s="14">
        <f>IF(('S-Table'!$B829-$C$2)*('S-Table'!$B829-$D$2)=0,IF(('S-Table'!$C829-$C$3)*('S-Table'!$C829-$D$3)=0,'S-Table'!C829,0),0)</f>
        <v>0</v>
      </c>
      <c r="J829" s="14">
        <f>IF(('S-Table'!$B829-$C$2)*('S-Table'!$B829-$D$2)=0,IF(('S-Table'!$C829-$C$3)*('S-Table'!$C829-$D$3)=0,'S-Table'!D829,0),0)</f>
        <v>0</v>
      </c>
      <c r="K829" s="14">
        <f>IF(('S-Table'!$B829-$C$2)*('S-Table'!$B829-$D$2)=0,IF(('S-Table'!$C829-$C$3)*('S-Table'!$C829-$D$3)=0,'S-Table'!E829,0),0)</f>
        <v>0</v>
      </c>
    </row>
    <row r="830" spans="6:11" x14ac:dyDescent="0.2">
      <c r="F830" s="14">
        <f>IF(G830=0,IF(G829=0,F829,F829+1),IF(G829=0,MAX(F$1:F829),MAX(F$1:F829)+1))</f>
        <v>21</v>
      </c>
      <c r="G830" s="14">
        <f>IF(('S-Table'!$B830-$C$2)*('S-Table'!$B830-$D$2)=0,IF(('S-Table'!$C830-$C$3)*('S-Table'!$C830-$D$3)=0,'S-Table'!A830,0),0)</f>
        <v>0</v>
      </c>
      <c r="H830" s="14">
        <f>IF(('S-Table'!$B830-$C$2)*('S-Table'!$B830-$D$2)=0,IF(('S-Table'!$C830-$C$3)*('S-Table'!$C830-$D$3)=0,'S-Table'!B830,0),0)</f>
        <v>0</v>
      </c>
      <c r="I830" s="14">
        <f>IF(('S-Table'!$B830-$C$2)*('S-Table'!$B830-$D$2)=0,IF(('S-Table'!$C830-$C$3)*('S-Table'!$C830-$D$3)=0,'S-Table'!C830,0),0)</f>
        <v>0</v>
      </c>
      <c r="J830" s="14">
        <f>IF(('S-Table'!$B830-$C$2)*('S-Table'!$B830-$D$2)=0,IF(('S-Table'!$C830-$C$3)*('S-Table'!$C830-$D$3)=0,'S-Table'!D830,0),0)</f>
        <v>0</v>
      </c>
      <c r="K830" s="14">
        <f>IF(('S-Table'!$B830-$C$2)*('S-Table'!$B830-$D$2)=0,IF(('S-Table'!$C830-$C$3)*('S-Table'!$C830-$D$3)=0,'S-Table'!E830,0),0)</f>
        <v>0</v>
      </c>
    </row>
    <row r="831" spans="6:11" x14ac:dyDescent="0.2">
      <c r="F831" s="14">
        <f>IF(G831=0,IF(G830=0,F830,F830+1),IF(G830=0,MAX(F$1:F830),MAX(F$1:F830)+1))</f>
        <v>21</v>
      </c>
      <c r="G831" s="14">
        <f>IF(('S-Table'!$B831-$C$2)*('S-Table'!$B831-$D$2)=0,IF(('S-Table'!$C831-$C$3)*('S-Table'!$C831-$D$3)=0,'S-Table'!A831,0),0)</f>
        <v>0</v>
      </c>
      <c r="H831" s="14">
        <f>IF(('S-Table'!$B831-$C$2)*('S-Table'!$B831-$D$2)=0,IF(('S-Table'!$C831-$C$3)*('S-Table'!$C831-$D$3)=0,'S-Table'!B831,0),0)</f>
        <v>0</v>
      </c>
      <c r="I831" s="14">
        <f>IF(('S-Table'!$B831-$C$2)*('S-Table'!$B831-$D$2)=0,IF(('S-Table'!$C831-$C$3)*('S-Table'!$C831-$D$3)=0,'S-Table'!C831,0),0)</f>
        <v>0</v>
      </c>
      <c r="J831" s="14">
        <f>IF(('S-Table'!$B831-$C$2)*('S-Table'!$B831-$D$2)=0,IF(('S-Table'!$C831-$C$3)*('S-Table'!$C831-$D$3)=0,'S-Table'!D831,0),0)</f>
        <v>0</v>
      </c>
      <c r="K831" s="14">
        <f>IF(('S-Table'!$B831-$C$2)*('S-Table'!$B831-$D$2)=0,IF(('S-Table'!$C831-$C$3)*('S-Table'!$C831-$D$3)=0,'S-Table'!E831,0),0)</f>
        <v>0</v>
      </c>
    </row>
    <row r="832" spans="6:11" x14ac:dyDescent="0.2">
      <c r="F832" s="14">
        <f>IF(G832=0,IF(G831=0,F831,F831+1),IF(G831=0,MAX(F$1:F831),MAX(F$1:F831)+1))</f>
        <v>21</v>
      </c>
      <c r="G832" s="14">
        <f>IF(('S-Table'!$B832-$C$2)*('S-Table'!$B832-$D$2)=0,IF(('S-Table'!$C832-$C$3)*('S-Table'!$C832-$D$3)=0,'S-Table'!A832,0),0)</f>
        <v>0</v>
      </c>
      <c r="H832" s="14">
        <f>IF(('S-Table'!$B832-$C$2)*('S-Table'!$B832-$D$2)=0,IF(('S-Table'!$C832-$C$3)*('S-Table'!$C832-$D$3)=0,'S-Table'!B832,0),0)</f>
        <v>0</v>
      </c>
      <c r="I832" s="14">
        <f>IF(('S-Table'!$B832-$C$2)*('S-Table'!$B832-$D$2)=0,IF(('S-Table'!$C832-$C$3)*('S-Table'!$C832-$D$3)=0,'S-Table'!C832,0),0)</f>
        <v>0</v>
      </c>
      <c r="J832" s="14">
        <f>IF(('S-Table'!$B832-$C$2)*('S-Table'!$B832-$D$2)=0,IF(('S-Table'!$C832-$C$3)*('S-Table'!$C832-$D$3)=0,'S-Table'!D832,0),0)</f>
        <v>0</v>
      </c>
      <c r="K832" s="14">
        <f>IF(('S-Table'!$B832-$C$2)*('S-Table'!$B832-$D$2)=0,IF(('S-Table'!$C832-$C$3)*('S-Table'!$C832-$D$3)=0,'S-Table'!E832,0),0)</f>
        <v>0</v>
      </c>
    </row>
    <row r="833" spans="6:11" x14ac:dyDescent="0.2">
      <c r="F833" s="14">
        <f>IF(G833=0,IF(G832=0,F832,F832+1),IF(G832=0,MAX(F$1:F832),MAX(F$1:F832)+1))</f>
        <v>21</v>
      </c>
      <c r="G833" s="14">
        <f>IF(('S-Table'!$B833-$C$2)*('S-Table'!$B833-$D$2)=0,IF(('S-Table'!$C833-$C$3)*('S-Table'!$C833-$D$3)=0,'S-Table'!A833,0),0)</f>
        <v>0</v>
      </c>
      <c r="H833" s="14">
        <f>IF(('S-Table'!$B833-$C$2)*('S-Table'!$B833-$D$2)=0,IF(('S-Table'!$C833-$C$3)*('S-Table'!$C833-$D$3)=0,'S-Table'!B833,0),0)</f>
        <v>0</v>
      </c>
      <c r="I833" s="14">
        <f>IF(('S-Table'!$B833-$C$2)*('S-Table'!$B833-$D$2)=0,IF(('S-Table'!$C833-$C$3)*('S-Table'!$C833-$D$3)=0,'S-Table'!C833,0),0)</f>
        <v>0</v>
      </c>
      <c r="J833" s="14">
        <f>IF(('S-Table'!$B833-$C$2)*('S-Table'!$B833-$D$2)=0,IF(('S-Table'!$C833-$C$3)*('S-Table'!$C833-$D$3)=0,'S-Table'!D833,0),0)</f>
        <v>0</v>
      </c>
      <c r="K833" s="14">
        <f>IF(('S-Table'!$B833-$C$2)*('S-Table'!$B833-$D$2)=0,IF(('S-Table'!$C833-$C$3)*('S-Table'!$C833-$D$3)=0,'S-Table'!E833,0),0)</f>
        <v>0</v>
      </c>
    </row>
    <row r="834" spans="6:11" x14ac:dyDescent="0.2">
      <c r="F834" s="14">
        <f>IF(G834=0,IF(G833=0,F833,F833+1),IF(G833=0,MAX(F$1:F833),MAX(F$1:F833)+1))</f>
        <v>21</v>
      </c>
      <c r="G834" s="14">
        <f>IF(('S-Table'!$B834-$C$2)*('S-Table'!$B834-$D$2)=0,IF(('S-Table'!$C834-$C$3)*('S-Table'!$C834-$D$3)=0,'S-Table'!A834,0),0)</f>
        <v>0</v>
      </c>
      <c r="H834" s="14">
        <f>IF(('S-Table'!$B834-$C$2)*('S-Table'!$B834-$D$2)=0,IF(('S-Table'!$C834-$C$3)*('S-Table'!$C834-$D$3)=0,'S-Table'!B834,0),0)</f>
        <v>0</v>
      </c>
      <c r="I834" s="14">
        <f>IF(('S-Table'!$B834-$C$2)*('S-Table'!$B834-$D$2)=0,IF(('S-Table'!$C834-$C$3)*('S-Table'!$C834-$D$3)=0,'S-Table'!C834,0),0)</f>
        <v>0</v>
      </c>
      <c r="J834" s="14">
        <f>IF(('S-Table'!$B834-$C$2)*('S-Table'!$B834-$D$2)=0,IF(('S-Table'!$C834-$C$3)*('S-Table'!$C834-$D$3)=0,'S-Table'!D834,0),0)</f>
        <v>0</v>
      </c>
      <c r="K834" s="14">
        <f>IF(('S-Table'!$B834-$C$2)*('S-Table'!$B834-$D$2)=0,IF(('S-Table'!$C834-$C$3)*('S-Table'!$C834-$D$3)=0,'S-Table'!E834,0),0)</f>
        <v>0</v>
      </c>
    </row>
    <row r="835" spans="6:11" x14ac:dyDescent="0.2">
      <c r="F835" s="14">
        <f>IF(G835=0,IF(G834=0,F834,F834+1),IF(G834=0,MAX(F$1:F834),MAX(F$1:F834)+1))</f>
        <v>21</v>
      </c>
      <c r="G835" s="14">
        <f>IF(('S-Table'!$B835-$C$2)*('S-Table'!$B835-$D$2)=0,IF(('S-Table'!$C835-$C$3)*('S-Table'!$C835-$D$3)=0,'S-Table'!A835,0),0)</f>
        <v>0</v>
      </c>
      <c r="H835" s="14">
        <f>IF(('S-Table'!$B835-$C$2)*('S-Table'!$B835-$D$2)=0,IF(('S-Table'!$C835-$C$3)*('S-Table'!$C835-$D$3)=0,'S-Table'!B835,0),0)</f>
        <v>0</v>
      </c>
      <c r="I835" s="14">
        <f>IF(('S-Table'!$B835-$C$2)*('S-Table'!$B835-$D$2)=0,IF(('S-Table'!$C835-$C$3)*('S-Table'!$C835-$D$3)=0,'S-Table'!C835,0),0)</f>
        <v>0</v>
      </c>
      <c r="J835" s="14">
        <f>IF(('S-Table'!$B835-$C$2)*('S-Table'!$B835-$D$2)=0,IF(('S-Table'!$C835-$C$3)*('S-Table'!$C835-$D$3)=0,'S-Table'!D835,0),0)</f>
        <v>0</v>
      </c>
      <c r="K835" s="14">
        <f>IF(('S-Table'!$B835-$C$2)*('S-Table'!$B835-$D$2)=0,IF(('S-Table'!$C835-$C$3)*('S-Table'!$C835-$D$3)=0,'S-Table'!E835,0),0)</f>
        <v>0</v>
      </c>
    </row>
    <row r="836" spans="6:11" x14ac:dyDescent="0.2">
      <c r="F836" s="14">
        <f>IF(G836=0,IF(G835=0,F835,F835+1),IF(G835=0,MAX(F$1:F835),MAX(F$1:F835)+1))</f>
        <v>21</v>
      </c>
      <c r="G836" s="14">
        <f>IF(('S-Table'!$B836-$C$2)*('S-Table'!$B836-$D$2)=0,IF(('S-Table'!$C836-$C$3)*('S-Table'!$C836-$D$3)=0,'S-Table'!A836,0),0)</f>
        <v>0</v>
      </c>
      <c r="H836" s="14">
        <f>IF(('S-Table'!$B836-$C$2)*('S-Table'!$B836-$D$2)=0,IF(('S-Table'!$C836-$C$3)*('S-Table'!$C836-$D$3)=0,'S-Table'!B836,0),0)</f>
        <v>0</v>
      </c>
      <c r="I836" s="14">
        <f>IF(('S-Table'!$B836-$C$2)*('S-Table'!$B836-$D$2)=0,IF(('S-Table'!$C836-$C$3)*('S-Table'!$C836-$D$3)=0,'S-Table'!C836,0),0)</f>
        <v>0</v>
      </c>
      <c r="J836" s="14">
        <f>IF(('S-Table'!$B836-$C$2)*('S-Table'!$B836-$D$2)=0,IF(('S-Table'!$C836-$C$3)*('S-Table'!$C836-$D$3)=0,'S-Table'!D836,0),0)</f>
        <v>0</v>
      </c>
      <c r="K836" s="14">
        <f>IF(('S-Table'!$B836-$C$2)*('S-Table'!$B836-$D$2)=0,IF(('S-Table'!$C836-$C$3)*('S-Table'!$C836-$D$3)=0,'S-Table'!E836,0),0)</f>
        <v>0</v>
      </c>
    </row>
    <row r="837" spans="6:11" x14ac:dyDescent="0.2">
      <c r="F837" s="14">
        <f>IF(G837=0,IF(G836=0,F836,F836+1),IF(G836=0,MAX(F$1:F836),MAX(F$1:F836)+1))</f>
        <v>21</v>
      </c>
      <c r="G837" s="14">
        <f>IF(('S-Table'!$B837-$C$2)*('S-Table'!$B837-$D$2)=0,IF(('S-Table'!$C837-$C$3)*('S-Table'!$C837-$D$3)=0,'S-Table'!A837,0),0)</f>
        <v>0</v>
      </c>
      <c r="H837" s="14">
        <f>IF(('S-Table'!$B837-$C$2)*('S-Table'!$B837-$D$2)=0,IF(('S-Table'!$C837-$C$3)*('S-Table'!$C837-$D$3)=0,'S-Table'!B837,0),0)</f>
        <v>0</v>
      </c>
      <c r="I837" s="14">
        <f>IF(('S-Table'!$B837-$C$2)*('S-Table'!$B837-$D$2)=0,IF(('S-Table'!$C837-$C$3)*('S-Table'!$C837-$D$3)=0,'S-Table'!C837,0),0)</f>
        <v>0</v>
      </c>
      <c r="J837" s="14">
        <f>IF(('S-Table'!$B837-$C$2)*('S-Table'!$B837-$D$2)=0,IF(('S-Table'!$C837-$C$3)*('S-Table'!$C837-$D$3)=0,'S-Table'!D837,0),0)</f>
        <v>0</v>
      </c>
      <c r="K837" s="14">
        <f>IF(('S-Table'!$B837-$C$2)*('S-Table'!$B837-$D$2)=0,IF(('S-Table'!$C837-$C$3)*('S-Table'!$C837-$D$3)=0,'S-Table'!E837,0),0)</f>
        <v>0</v>
      </c>
    </row>
    <row r="838" spans="6:11" x14ac:dyDescent="0.2">
      <c r="F838" s="14">
        <f>IF(G838=0,IF(G837=0,F837,F837+1),IF(G837=0,MAX(F$1:F837),MAX(F$1:F837)+1))</f>
        <v>21</v>
      </c>
      <c r="G838" s="14">
        <f>IF(('S-Table'!$B838-$C$2)*('S-Table'!$B838-$D$2)=0,IF(('S-Table'!$C838-$C$3)*('S-Table'!$C838-$D$3)=0,'S-Table'!A838,0),0)</f>
        <v>0</v>
      </c>
      <c r="H838" s="14">
        <f>IF(('S-Table'!$B838-$C$2)*('S-Table'!$B838-$D$2)=0,IF(('S-Table'!$C838-$C$3)*('S-Table'!$C838-$D$3)=0,'S-Table'!B838,0),0)</f>
        <v>0</v>
      </c>
      <c r="I838" s="14">
        <f>IF(('S-Table'!$B838-$C$2)*('S-Table'!$B838-$D$2)=0,IF(('S-Table'!$C838-$C$3)*('S-Table'!$C838-$D$3)=0,'S-Table'!C838,0),0)</f>
        <v>0</v>
      </c>
      <c r="J838" s="14">
        <f>IF(('S-Table'!$B838-$C$2)*('S-Table'!$B838-$D$2)=0,IF(('S-Table'!$C838-$C$3)*('S-Table'!$C838-$D$3)=0,'S-Table'!D838,0),0)</f>
        <v>0</v>
      </c>
      <c r="K838" s="14">
        <f>IF(('S-Table'!$B838-$C$2)*('S-Table'!$B838-$D$2)=0,IF(('S-Table'!$C838-$C$3)*('S-Table'!$C838-$D$3)=0,'S-Table'!E838,0),0)</f>
        <v>0</v>
      </c>
    </row>
    <row r="839" spans="6:11" x14ac:dyDescent="0.2">
      <c r="F839" s="14">
        <f>IF(G839=0,IF(G838=0,F838,F838+1),IF(G838=0,MAX(F$1:F838),MAX(F$1:F838)+1))</f>
        <v>21</v>
      </c>
      <c r="G839" s="14">
        <f>IF(('S-Table'!$B839-$C$2)*('S-Table'!$B839-$D$2)=0,IF(('S-Table'!$C839-$C$3)*('S-Table'!$C839-$D$3)=0,'S-Table'!A839,0),0)</f>
        <v>0</v>
      </c>
      <c r="H839" s="14">
        <f>IF(('S-Table'!$B839-$C$2)*('S-Table'!$B839-$D$2)=0,IF(('S-Table'!$C839-$C$3)*('S-Table'!$C839-$D$3)=0,'S-Table'!B839,0),0)</f>
        <v>0</v>
      </c>
      <c r="I839" s="14">
        <f>IF(('S-Table'!$B839-$C$2)*('S-Table'!$B839-$D$2)=0,IF(('S-Table'!$C839-$C$3)*('S-Table'!$C839-$D$3)=0,'S-Table'!C839,0),0)</f>
        <v>0</v>
      </c>
      <c r="J839" s="14">
        <f>IF(('S-Table'!$B839-$C$2)*('S-Table'!$B839-$D$2)=0,IF(('S-Table'!$C839-$C$3)*('S-Table'!$C839-$D$3)=0,'S-Table'!D839,0),0)</f>
        <v>0</v>
      </c>
      <c r="K839" s="14">
        <f>IF(('S-Table'!$B839-$C$2)*('S-Table'!$B839-$D$2)=0,IF(('S-Table'!$C839-$C$3)*('S-Table'!$C839-$D$3)=0,'S-Table'!E839,0),0)</f>
        <v>0</v>
      </c>
    </row>
    <row r="840" spans="6:11" x14ac:dyDescent="0.2">
      <c r="F840" s="14">
        <f>IF(G840=0,IF(G839=0,F839,F839+1),IF(G839=0,MAX(F$1:F839),MAX(F$1:F839)+1))</f>
        <v>21</v>
      </c>
      <c r="G840" s="14">
        <f>IF(('S-Table'!$B840-$C$2)*('S-Table'!$B840-$D$2)=0,IF(('S-Table'!$C840-$C$3)*('S-Table'!$C840-$D$3)=0,'S-Table'!A840,0),0)</f>
        <v>0</v>
      </c>
      <c r="H840" s="14">
        <f>IF(('S-Table'!$B840-$C$2)*('S-Table'!$B840-$D$2)=0,IF(('S-Table'!$C840-$C$3)*('S-Table'!$C840-$D$3)=0,'S-Table'!B840,0),0)</f>
        <v>0</v>
      </c>
      <c r="I840" s="14">
        <f>IF(('S-Table'!$B840-$C$2)*('S-Table'!$B840-$D$2)=0,IF(('S-Table'!$C840-$C$3)*('S-Table'!$C840-$D$3)=0,'S-Table'!C840,0),0)</f>
        <v>0</v>
      </c>
      <c r="J840" s="14">
        <f>IF(('S-Table'!$B840-$C$2)*('S-Table'!$B840-$D$2)=0,IF(('S-Table'!$C840-$C$3)*('S-Table'!$C840-$D$3)=0,'S-Table'!D840,0),0)</f>
        <v>0</v>
      </c>
      <c r="K840" s="14">
        <f>IF(('S-Table'!$B840-$C$2)*('S-Table'!$B840-$D$2)=0,IF(('S-Table'!$C840-$C$3)*('S-Table'!$C840-$D$3)=0,'S-Table'!E840,0),0)</f>
        <v>0</v>
      </c>
    </row>
    <row r="841" spans="6:11" x14ac:dyDescent="0.2">
      <c r="F841" s="14">
        <f>IF(G841=0,IF(G840=0,F840,F840+1),IF(G840=0,MAX(F$1:F840),MAX(F$1:F840)+1))</f>
        <v>21</v>
      </c>
      <c r="G841" s="14">
        <f>IF(('S-Table'!$B841-$C$2)*('S-Table'!$B841-$D$2)=0,IF(('S-Table'!$C841-$C$3)*('S-Table'!$C841-$D$3)=0,'S-Table'!A841,0),0)</f>
        <v>0</v>
      </c>
      <c r="H841" s="14">
        <f>IF(('S-Table'!$B841-$C$2)*('S-Table'!$B841-$D$2)=0,IF(('S-Table'!$C841-$C$3)*('S-Table'!$C841-$D$3)=0,'S-Table'!B841,0),0)</f>
        <v>0</v>
      </c>
      <c r="I841" s="14">
        <f>IF(('S-Table'!$B841-$C$2)*('S-Table'!$B841-$D$2)=0,IF(('S-Table'!$C841-$C$3)*('S-Table'!$C841-$D$3)=0,'S-Table'!C841,0),0)</f>
        <v>0</v>
      </c>
      <c r="J841" s="14">
        <f>IF(('S-Table'!$B841-$C$2)*('S-Table'!$B841-$D$2)=0,IF(('S-Table'!$C841-$C$3)*('S-Table'!$C841-$D$3)=0,'S-Table'!D841,0),0)</f>
        <v>0</v>
      </c>
      <c r="K841" s="14">
        <f>IF(('S-Table'!$B841-$C$2)*('S-Table'!$B841-$D$2)=0,IF(('S-Table'!$C841-$C$3)*('S-Table'!$C841-$D$3)=0,'S-Table'!E841,0),0)</f>
        <v>0</v>
      </c>
    </row>
    <row r="842" spans="6:11" x14ac:dyDescent="0.2">
      <c r="F842" s="14">
        <f>IF(G842=0,IF(G841=0,F841,F841+1),IF(G841=0,MAX(F$1:F841),MAX(F$1:F841)+1))</f>
        <v>21</v>
      </c>
      <c r="G842" s="14">
        <f>IF(('S-Table'!$B842-$C$2)*('S-Table'!$B842-$D$2)=0,IF(('S-Table'!$C842-$C$3)*('S-Table'!$C842-$D$3)=0,'S-Table'!A842,0),0)</f>
        <v>95</v>
      </c>
      <c r="H842" s="14">
        <f>IF(('S-Table'!$B842-$C$2)*('S-Table'!$B842-$D$2)=0,IF(('S-Table'!$C842-$C$3)*('S-Table'!$C842-$D$3)=0,'S-Table'!B842,0),0)</f>
        <v>6</v>
      </c>
      <c r="I842" s="14">
        <f>IF(('S-Table'!$B842-$C$2)*('S-Table'!$B842-$D$2)=0,IF(('S-Table'!$C842-$C$3)*('S-Table'!$C842-$D$3)=0,'S-Table'!C842,0),0)</f>
        <v>50</v>
      </c>
      <c r="J842" s="14">
        <f>IF(('S-Table'!$B842-$C$2)*('S-Table'!$B842-$D$2)=0,IF(('S-Table'!$C842-$C$3)*('S-Table'!$C842-$D$3)=0,'S-Table'!D842,0),0)</f>
        <v>444.63</v>
      </c>
      <c r="K842" s="14">
        <f>IF(('S-Table'!$B842-$C$2)*('S-Table'!$B842-$D$2)=0,IF(('S-Table'!$C842-$C$3)*('S-Table'!$C842-$D$3)=0,'S-Table'!E842,0),0)</f>
        <v>215.97</v>
      </c>
    </row>
    <row r="843" spans="6:11" x14ac:dyDescent="0.2">
      <c r="F843" s="14">
        <f>IF(G843=0,IF(G842=0,F842,F842+1),IF(G842=0,MAX(F$1:F842),MAX(F$1:F842)+1))</f>
        <v>22</v>
      </c>
      <c r="G843" s="14">
        <f>IF(('S-Table'!$B843-$C$2)*('S-Table'!$B843-$D$2)=0,IF(('S-Table'!$C843-$C$3)*('S-Table'!$C843-$D$3)=0,'S-Table'!A843,0),0)</f>
        <v>95</v>
      </c>
      <c r="H843" s="14">
        <f>IF(('S-Table'!$B843-$C$2)*('S-Table'!$B843-$D$2)=0,IF(('S-Table'!$C843-$C$3)*('S-Table'!$C843-$D$3)=0,'S-Table'!B843,0),0)</f>
        <v>6</v>
      </c>
      <c r="I843" s="14">
        <f>IF(('S-Table'!$B843-$C$2)*('S-Table'!$B843-$D$2)=0,IF(('S-Table'!$C843-$C$3)*('S-Table'!$C843-$D$3)=0,'S-Table'!C843,0),0)</f>
        <v>100</v>
      </c>
      <c r="J843" s="14">
        <f>IF(('S-Table'!$B843-$C$2)*('S-Table'!$B843-$D$2)=0,IF(('S-Table'!$C843-$C$3)*('S-Table'!$C843-$D$3)=0,'S-Table'!D843,0),0)</f>
        <v>424.33</v>
      </c>
      <c r="K843" s="14">
        <f>IF(('S-Table'!$B843-$C$2)*('S-Table'!$B843-$D$2)=0,IF(('S-Table'!$C843-$C$3)*('S-Table'!$C843-$D$3)=0,'S-Table'!E843,0),0)</f>
        <v>215.95</v>
      </c>
    </row>
    <row r="844" spans="6:11" x14ac:dyDescent="0.2">
      <c r="F844" s="14">
        <f>IF(G844=0,IF(G843=0,F843,F843+1),IF(G843=0,MAX(F$1:F843),MAX(F$1:F843)+1))</f>
        <v>23</v>
      </c>
      <c r="G844" s="14">
        <f>IF(('S-Table'!$B844-$C$2)*('S-Table'!$B844-$D$2)=0,IF(('S-Table'!$C844-$C$3)*('S-Table'!$C844-$D$3)=0,'S-Table'!A844,0),0)</f>
        <v>0</v>
      </c>
      <c r="H844" s="14">
        <f>IF(('S-Table'!$B844-$C$2)*('S-Table'!$B844-$D$2)=0,IF(('S-Table'!$C844-$C$3)*('S-Table'!$C844-$D$3)=0,'S-Table'!B844,0),0)</f>
        <v>0</v>
      </c>
      <c r="I844" s="14">
        <f>IF(('S-Table'!$B844-$C$2)*('S-Table'!$B844-$D$2)=0,IF(('S-Table'!$C844-$C$3)*('S-Table'!$C844-$D$3)=0,'S-Table'!C844,0),0)</f>
        <v>0</v>
      </c>
      <c r="J844" s="14">
        <f>IF(('S-Table'!$B844-$C$2)*('S-Table'!$B844-$D$2)=0,IF(('S-Table'!$C844-$C$3)*('S-Table'!$C844-$D$3)=0,'S-Table'!D844,0),0)</f>
        <v>0</v>
      </c>
      <c r="K844" s="14">
        <f>IF(('S-Table'!$B844-$C$2)*('S-Table'!$B844-$D$2)=0,IF(('S-Table'!$C844-$C$3)*('S-Table'!$C844-$D$3)=0,'S-Table'!E844,0),0)</f>
        <v>0</v>
      </c>
    </row>
    <row r="845" spans="6:11" x14ac:dyDescent="0.2">
      <c r="F845" s="14">
        <f>IF(G845=0,IF(G844=0,F844,F844+1),IF(G844=0,MAX(F$1:F844),MAX(F$1:F844)+1))</f>
        <v>23</v>
      </c>
      <c r="G845" s="14">
        <f>IF(('S-Table'!$B845-$C$2)*('S-Table'!$B845-$D$2)=0,IF(('S-Table'!$C845-$C$3)*('S-Table'!$C845-$D$3)=0,'S-Table'!A845,0),0)</f>
        <v>0</v>
      </c>
      <c r="H845" s="14">
        <f>IF(('S-Table'!$B845-$C$2)*('S-Table'!$B845-$D$2)=0,IF(('S-Table'!$C845-$C$3)*('S-Table'!$C845-$D$3)=0,'S-Table'!B845,0),0)</f>
        <v>0</v>
      </c>
      <c r="I845" s="14">
        <f>IF(('S-Table'!$B845-$C$2)*('S-Table'!$B845-$D$2)=0,IF(('S-Table'!$C845-$C$3)*('S-Table'!$C845-$D$3)=0,'S-Table'!C845,0),0)</f>
        <v>0</v>
      </c>
      <c r="J845" s="14">
        <f>IF(('S-Table'!$B845-$C$2)*('S-Table'!$B845-$D$2)=0,IF(('S-Table'!$C845-$C$3)*('S-Table'!$C845-$D$3)=0,'S-Table'!D845,0),0)</f>
        <v>0</v>
      </c>
      <c r="K845" s="14">
        <f>IF(('S-Table'!$B845-$C$2)*('S-Table'!$B845-$D$2)=0,IF(('S-Table'!$C845-$C$3)*('S-Table'!$C845-$D$3)=0,'S-Table'!E845,0),0)</f>
        <v>0</v>
      </c>
    </row>
    <row r="846" spans="6:11" x14ac:dyDescent="0.2">
      <c r="F846" s="14">
        <f>IF(G846=0,IF(G845=0,F845,F845+1),IF(G845=0,MAX(F$1:F845),MAX(F$1:F845)+1))</f>
        <v>23</v>
      </c>
      <c r="G846" s="14">
        <f>IF(('S-Table'!$B846-$C$2)*('S-Table'!$B846-$D$2)=0,IF(('S-Table'!$C846-$C$3)*('S-Table'!$C846-$D$3)=0,'S-Table'!A846,0),0)</f>
        <v>0</v>
      </c>
      <c r="H846" s="14">
        <f>IF(('S-Table'!$B846-$C$2)*('S-Table'!$B846-$D$2)=0,IF(('S-Table'!$C846-$C$3)*('S-Table'!$C846-$D$3)=0,'S-Table'!B846,0),0)</f>
        <v>0</v>
      </c>
      <c r="I846" s="14">
        <f>IF(('S-Table'!$B846-$C$2)*('S-Table'!$B846-$D$2)=0,IF(('S-Table'!$C846-$C$3)*('S-Table'!$C846-$D$3)=0,'S-Table'!C846,0),0)</f>
        <v>0</v>
      </c>
      <c r="J846" s="14">
        <f>IF(('S-Table'!$B846-$C$2)*('S-Table'!$B846-$D$2)=0,IF(('S-Table'!$C846-$C$3)*('S-Table'!$C846-$D$3)=0,'S-Table'!D846,0),0)</f>
        <v>0</v>
      </c>
      <c r="K846" s="14">
        <f>IF(('S-Table'!$B846-$C$2)*('S-Table'!$B846-$D$2)=0,IF(('S-Table'!$C846-$C$3)*('S-Table'!$C846-$D$3)=0,'S-Table'!E846,0),0)</f>
        <v>0</v>
      </c>
    </row>
    <row r="847" spans="6:11" x14ac:dyDescent="0.2">
      <c r="F847" s="14">
        <f>IF(G847=0,IF(G846=0,F846,F846+1),IF(G846=0,MAX(F$1:F846),MAX(F$1:F846)+1))</f>
        <v>23</v>
      </c>
      <c r="G847" s="14">
        <f>IF(('S-Table'!$B847-$C$2)*('S-Table'!$B847-$D$2)=0,IF(('S-Table'!$C847-$C$3)*('S-Table'!$C847-$D$3)=0,'S-Table'!A847,0),0)</f>
        <v>0</v>
      </c>
      <c r="H847" s="14">
        <f>IF(('S-Table'!$B847-$C$2)*('S-Table'!$B847-$D$2)=0,IF(('S-Table'!$C847-$C$3)*('S-Table'!$C847-$D$3)=0,'S-Table'!B847,0),0)</f>
        <v>0</v>
      </c>
      <c r="I847" s="14">
        <f>IF(('S-Table'!$B847-$C$2)*('S-Table'!$B847-$D$2)=0,IF(('S-Table'!$C847-$C$3)*('S-Table'!$C847-$D$3)=0,'S-Table'!C847,0),0)</f>
        <v>0</v>
      </c>
      <c r="J847" s="14">
        <f>IF(('S-Table'!$B847-$C$2)*('S-Table'!$B847-$D$2)=0,IF(('S-Table'!$C847-$C$3)*('S-Table'!$C847-$D$3)=0,'S-Table'!D847,0),0)</f>
        <v>0</v>
      </c>
      <c r="K847" s="14">
        <f>IF(('S-Table'!$B847-$C$2)*('S-Table'!$B847-$D$2)=0,IF(('S-Table'!$C847-$C$3)*('S-Table'!$C847-$D$3)=0,'S-Table'!E847,0),0)</f>
        <v>0</v>
      </c>
    </row>
    <row r="848" spans="6:11" x14ac:dyDescent="0.2">
      <c r="F848" s="14">
        <f>IF(G848=0,IF(G847=0,F847,F847+1),IF(G847=0,MAX(F$1:F847),MAX(F$1:F847)+1))</f>
        <v>23</v>
      </c>
      <c r="G848" s="14">
        <f>IF(('S-Table'!$B848-$C$2)*('S-Table'!$B848-$D$2)=0,IF(('S-Table'!$C848-$C$3)*('S-Table'!$C848-$D$3)=0,'S-Table'!A848,0),0)</f>
        <v>0</v>
      </c>
      <c r="H848" s="14">
        <f>IF(('S-Table'!$B848-$C$2)*('S-Table'!$B848-$D$2)=0,IF(('S-Table'!$C848-$C$3)*('S-Table'!$C848-$D$3)=0,'S-Table'!B848,0),0)</f>
        <v>0</v>
      </c>
      <c r="I848" s="14">
        <f>IF(('S-Table'!$B848-$C$2)*('S-Table'!$B848-$D$2)=0,IF(('S-Table'!$C848-$C$3)*('S-Table'!$C848-$D$3)=0,'S-Table'!C848,0),0)</f>
        <v>0</v>
      </c>
      <c r="J848" s="14">
        <f>IF(('S-Table'!$B848-$C$2)*('S-Table'!$B848-$D$2)=0,IF(('S-Table'!$C848-$C$3)*('S-Table'!$C848-$D$3)=0,'S-Table'!D848,0),0)</f>
        <v>0</v>
      </c>
      <c r="K848" s="14">
        <f>IF(('S-Table'!$B848-$C$2)*('S-Table'!$B848-$D$2)=0,IF(('S-Table'!$C848-$C$3)*('S-Table'!$C848-$D$3)=0,'S-Table'!E848,0),0)</f>
        <v>0</v>
      </c>
    </row>
    <row r="849" spans="6:11" x14ac:dyDescent="0.2">
      <c r="F849" s="14">
        <f>IF(G849=0,IF(G848=0,F848,F848+1),IF(G848=0,MAX(F$1:F848),MAX(F$1:F848)+1))</f>
        <v>23</v>
      </c>
      <c r="G849" s="14">
        <f>IF(('S-Table'!$B849-$C$2)*('S-Table'!$B849-$D$2)=0,IF(('S-Table'!$C849-$C$3)*('S-Table'!$C849-$D$3)=0,'S-Table'!A849,0),0)</f>
        <v>0</v>
      </c>
      <c r="H849" s="14">
        <f>IF(('S-Table'!$B849-$C$2)*('S-Table'!$B849-$D$2)=0,IF(('S-Table'!$C849-$C$3)*('S-Table'!$C849-$D$3)=0,'S-Table'!B849,0),0)</f>
        <v>0</v>
      </c>
      <c r="I849" s="14">
        <f>IF(('S-Table'!$B849-$C$2)*('S-Table'!$B849-$D$2)=0,IF(('S-Table'!$C849-$C$3)*('S-Table'!$C849-$D$3)=0,'S-Table'!C849,0),0)</f>
        <v>0</v>
      </c>
      <c r="J849" s="14">
        <f>IF(('S-Table'!$B849-$C$2)*('S-Table'!$B849-$D$2)=0,IF(('S-Table'!$C849-$C$3)*('S-Table'!$C849-$D$3)=0,'S-Table'!D849,0),0)</f>
        <v>0</v>
      </c>
      <c r="K849" s="14">
        <f>IF(('S-Table'!$B849-$C$2)*('S-Table'!$B849-$D$2)=0,IF(('S-Table'!$C849-$C$3)*('S-Table'!$C849-$D$3)=0,'S-Table'!E849,0),0)</f>
        <v>0</v>
      </c>
    </row>
    <row r="850" spans="6:11" x14ac:dyDescent="0.2">
      <c r="F850" s="14">
        <f>IF(G850=0,IF(G849=0,F849,F849+1),IF(G849=0,MAX(F$1:F849),MAX(F$1:F849)+1))</f>
        <v>23</v>
      </c>
      <c r="G850" s="14">
        <f>IF(('S-Table'!$B850-$C$2)*('S-Table'!$B850-$D$2)=0,IF(('S-Table'!$C850-$C$3)*('S-Table'!$C850-$D$3)=0,'S-Table'!A850,0),0)</f>
        <v>95</v>
      </c>
      <c r="H850" s="14">
        <f>IF(('S-Table'!$B850-$C$2)*('S-Table'!$B850-$D$2)=0,IF(('S-Table'!$C850-$C$3)*('S-Table'!$C850-$D$3)=0,'S-Table'!B850,0),0)</f>
        <v>6.5</v>
      </c>
      <c r="I850" s="14">
        <f>IF(('S-Table'!$B850-$C$2)*('S-Table'!$B850-$D$2)=0,IF(('S-Table'!$C850-$C$3)*('S-Table'!$C850-$D$3)=0,'S-Table'!C850,0),0)</f>
        <v>50</v>
      </c>
      <c r="J850" s="14">
        <f>IF(('S-Table'!$B850-$C$2)*('S-Table'!$B850-$D$2)=0,IF(('S-Table'!$C850-$C$3)*('S-Table'!$C850-$D$3)=0,'S-Table'!D850,0),0)</f>
        <v>420.54</v>
      </c>
      <c r="K850" s="14">
        <f>IF(('S-Table'!$B850-$C$2)*('S-Table'!$B850-$D$2)=0,IF(('S-Table'!$C850-$C$3)*('S-Table'!$C850-$D$3)=0,'S-Table'!E850,0),0)</f>
        <v>215.93</v>
      </c>
    </row>
    <row r="851" spans="6:11" x14ac:dyDescent="0.2">
      <c r="F851" s="14">
        <f>IF(G851=0,IF(G850=0,F850,F850+1),IF(G850=0,MAX(F$1:F850),MAX(F$1:F850)+1))</f>
        <v>24</v>
      </c>
      <c r="G851" s="14">
        <f>IF(('S-Table'!$B851-$C$2)*('S-Table'!$B851-$D$2)=0,IF(('S-Table'!$C851-$C$3)*('S-Table'!$C851-$D$3)=0,'S-Table'!A851,0),0)</f>
        <v>95</v>
      </c>
      <c r="H851" s="14">
        <f>IF(('S-Table'!$B851-$C$2)*('S-Table'!$B851-$D$2)=0,IF(('S-Table'!$C851-$C$3)*('S-Table'!$C851-$D$3)=0,'S-Table'!B851,0),0)</f>
        <v>6.5</v>
      </c>
      <c r="I851" s="14">
        <f>IF(('S-Table'!$B851-$C$2)*('S-Table'!$B851-$D$2)=0,IF(('S-Table'!$C851-$C$3)*('S-Table'!$C851-$D$3)=0,'S-Table'!C851,0),0)</f>
        <v>100</v>
      </c>
      <c r="J851" s="14">
        <f>IF(('S-Table'!$B851-$C$2)*('S-Table'!$B851-$D$2)=0,IF(('S-Table'!$C851-$C$3)*('S-Table'!$C851-$D$3)=0,'S-Table'!D851,0),0)</f>
        <v>400.19</v>
      </c>
      <c r="K851" s="14">
        <f>IF(('S-Table'!$B851-$C$2)*('S-Table'!$B851-$D$2)=0,IF(('S-Table'!$C851-$C$3)*('S-Table'!$C851-$D$3)=0,'S-Table'!E851,0),0)</f>
        <v>215.9</v>
      </c>
    </row>
    <row r="852" spans="6:11" x14ac:dyDescent="0.2">
      <c r="F852" s="14">
        <f>IF(G852=0,IF(G851=0,F851,F851+1),IF(G851=0,MAX(F$1:F851),MAX(F$1:F851)+1))</f>
        <v>25</v>
      </c>
      <c r="G852" s="14">
        <f>IF(('S-Table'!$B852-$C$2)*('S-Table'!$B852-$D$2)=0,IF(('S-Table'!$C852-$C$3)*('S-Table'!$C852-$D$3)=0,'S-Table'!A852,0),0)</f>
        <v>0</v>
      </c>
      <c r="H852" s="14">
        <f>IF(('S-Table'!$B852-$C$2)*('S-Table'!$B852-$D$2)=0,IF(('S-Table'!$C852-$C$3)*('S-Table'!$C852-$D$3)=0,'S-Table'!B852,0),0)</f>
        <v>0</v>
      </c>
      <c r="I852" s="14">
        <f>IF(('S-Table'!$B852-$C$2)*('S-Table'!$B852-$D$2)=0,IF(('S-Table'!$C852-$C$3)*('S-Table'!$C852-$D$3)=0,'S-Table'!C852,0),0)</f>
        <v>0</v>
      </c>
      <c r="J852" s="14">
        <f>IF(('S-Table'!$B852-$C$2)*('S-Table'!$B852-$D$2)=0,IF(('S-Table'!$C852-$C$3)*('S-Table'!$C852-$D$3)=0,'S-Table'!D852,0),0)</f>
        <v>0</v>
      </c>
      <c r="K852" s="14">
        <f>IF(('S-Table'!$B852-$C$2)*('S-Table'!$B852-$D$2)=0,IF(('S-Table'!$C852-$C$3)*('S-Table'!$C852-$D$3)=0,'S-Table'!E852,0),0)</f>
        <v>0</v>
      </c>
    </row>
    <row r="853" spans="6:11" x14ac:dyDescent="0.2">
      <c r="F853" s="14">
        <f>IF(G853=0,IF(G852=0,F852,F852+1),IF(G852=0,MAX(F$1:F852),MAX(F$1:F852)+1))</f>
        <v>25</v>
      </c>
      <c r="G853" s="14">
        <f>IF(('S-Table'!$B853-$C$2)*('S-Table'!$B853-$D$2)=0,IF(('S-Table'!$C853-$C$3)*('S-Table'!$C853-$D$3)=0,'S-Table'!A853,0),0)</f>
        <v>0</v>
      </c>
      <c r="H853" s="14">
        <f>IF(('S-Table'!$B853-$C$2)*('S-Table'!$B853-$D$2)=0,IF(('S-Table'!$C853-$C$3)*('S-Table'!$C853-$D$3)=0,'S-Table'!B853,0),0)</f>
        <v>0</v>
      </c>
      <c r="I853" s="14">
        <f>IF(('S-Table'!$B853-$C$2)*('S-Table'!$B853-$D$2)=0,IF(('S-Table'!$C853-$C$3)*('S-Table'!$C853-$D$3)=0,'S-Table'!C853,0),0)</f>
        <v>0</v>
      </c>
      <c r="J853" s="14">
        <f>IF(('S-Table'!$B853-$C$2)*('S-Table'!$B853-$D$2)=0,IF(('S-Table'!$C853-$C$3)*('S-Table'!$C853-$D$3)=0,'S-Table'!D853,0),0)</f>
        <v>0</v>
      </c>
      <c r="K853" s="14">
        <f>IF(('S-Table'!$B853-$C$2)*('S-Table'!$B853-$D$2)=0,IF(('S-Table'!$C853-$C$3)*('S-Table'!$C853-$D$3)=0,'S-Table'!E853,0),0)</f>
        <v>0</v>
      </c>
    </row>
    <row r="854" spans="6:11" x14ac:dyDescent="0.2">
      <c r="F854" s="14">
        <f>IF(G854=0,IF(G853=0,F853,F853+1),IF(G853=0,MAX(F$1:F853),MAX(F$1:F853)+1))</f>
        <v>25</v>
      </c>
      <c r="G854" s="14">
        <f>IF(('S-Table'!$B854-$C$2)*('S-Table'!$B854-$D$2)=0,IF(('S-Table'!$C854-$C$3)*('S-Table'!$C854-$D$3)=0,'S-Table'!A854,0),0)</f>
        <v>0</v>
      </c>
      <c r="H854" s="14">
        <f>IF(('S-Table'!$B854-$C$2)*('S-Table'!$B854-$D$2)=0,IF(('S-Table'!$C854-$C$3)*('S-Table'!$C854-$D$3)=0,'S-Table'!B854,0),0)</f>
        <v>0</v>
      </c>
      <c r="I854" s="14">
        <f>IF(('S-Table'!$B854-$C$2)*('S-Table'!$B854-$D$2)=0,IF(('S-Table'!$C854-$C$3)*('S-Table'!$C854-$D$3)=0,'S-Table'!C854,0),0)</f>
        <v>0</v>
      </c>
      <c r="J854" s="14">
        <f>IF(('S-Table'!$B854-$C$2)*('S-Table'!$B854-$D$2)=0,IF(('S-Table'!$C854-$C$3)*('S-Table'!$C854-$D$3)=0,'S-Table'!D854,0),0)</f>
        <v>0</v>
      </c>
      <c r="K854" s="14">
        <f>IF(('S-Table'!$B854-$C$2)*('S-Table'!$B854-$D$2)=0,IF(('S-Table'!$C854-$C$3)*('S-Table'!$C854-$D$3)=0,'S-Table'!E854,0),0)</f>
        <v>0</v>
      </c>
    </row>
    <row r="855" spans="6:11" x14ac:dyDescent="0.2">
      <c r="F855" s="14">
        <f>IF(G855=0,IF(G854=0,F854,F854+1),IF(G854=0,MAX(F$1:F854),MAX(F$1:F854)+1))</f>
        <v>25</v>
      </c>
      <c r="G855" s="14">
        <f>IF(('S-Table'!$B855-$C$2)*('S-Table'!$B855-$D$2)=0,IF(('S-Table'!$C855-$C$3)*('S-Table'!$C855-$D$3)=0,'S-Table'!A855,0),0)</f>
        <v>0</v>
      </c>
      <c r="H855" s="14">
        <f>IF(('S-Table'!$B855-$C$2)*('S-Table'!$B855-$D$2)=0,IF(('S-Table'!$C855-$C$3)*('S-Table'!$C855-$D$3)=0,'S-Table'!B855,0),0)</f>
        <v>0</v>
      </c>
      <c r="I855" s="14">
        <f>IF(('S-Table'!$B855-$C$2)*('S-Table'!$B855-$D$2)=0,IF(('S-Table'!$C855-$C$3)*('S-Table'!$C855-$D$3)=0,'S-Table'!C855,0),0)</f>
        <v>0</v>
      </c>
      <c r="J855" s="14">
        <f>IF(('S-Table'!$B855-$C$2)*('S-Table'!$B855-$D$2)=0,IF(('S-Table'!$C855-$C$3)*('S-Table'!$C855-$D$3)=0,'S-Table'!D855,0),0)</f>
        <v>0</v>
      </c>
      <c r="K855" s="14">
        <f>IF(('S-Table'!$B855-$C$2)*('S-Table'!$B855-$D$2)=0,IF(('S-Table'!$C855-$C$3)*('S-Table'!$C855-$D$3)=0,'S-Table'!E855,0),0)</f>
        <v>0</v>
      </c>
    </row>
    <row r="856" spans="6:11" x14ac:dyDescent="0.2">
      <c r="F856" s="14">
        <f>IF(G856=0,IF(G855=0,F855,F855+1),IF(G855=0,MAX(F$1:F855),MAX(F$1:F855)+1))</f>
        <v>25</v>
      </c>
      <c r="G856" s="14">
        <f>IF(('S-Table'!$B856-$C$2)*('S-Table'!$B856-$D$2)=0,IF(('S-Table'!$C856-$C$3)*('S-Table'!$C856-$D$3)=0,'S-Table'!A856,0),0)</f>
        <v>0</v>
      </c>
      <c r="H856" s="14">
        <f>IF(('S-Table'!$B856-$C$2)*('S-Table'!$B856-$D$2)=0,IF(('S-Table'!$C856-$C$3)*('S-Table'!$C856-$D$3)=0,'S-Table'!B856,0),0)</f>
        <v>0</v>
      </c>
      <c r="I856" s="14">
        <f>IF(('S-Table'!$B856-$C$2)*('S-Table'!$B856-$D$2)=0,IF(('S-Table'!$C856-$C$3)*('S-Table'!$C856-$D$3)=0,'S-Table'!C856,0),0)</f>
        <v>0</v>
      </c>
      <c r="J856" s="14">
        <f>IF(('S-Table'!$B856-$C$2)*('S-Table'!$B856-$D$2)=0,IF(('S-Table'!$C856-$C$3)*('S-Table'!$C856-$D$3)=0,'S-Table'!D856,0),0)</f>
        <v>0</v>
      </c>
      <c r="K856" s="14">
        <f>IF(('S-Table'!$B856-$C$2)*('S-Table'!$B856-$D$2)=0,IF(('S-Table'!$C856-$C$3)*('S-Table'!$C856-$D$3)=0,'S-Table'!E856,0),0)</f>
        <v>0</v>
      </c>
    </row>
    <row r="857" spans="6:11" x14ac:dyDescent="0.2">
      <c r="F857" s="14">
        <f>IF(G857=0,IF(G856=0,F856,F856+1),IF(G856=0,MAX(F$1:F856),MAX(F$1:F856)+1))</f>
        <v>25</v>
      </c>
      <c r="G857" s="14">
        <f>IF(('S-Table'!$B857-$C$2)*('S-Table'!$B857-$D$2)=0,IF(('S-Table'!$C857-$C$3)*('S-Table'!$C857-$D$3)=0,'S-Table'!A857,0),0)</f>
        <v>0</v>
      </c>
      <c r="H857" s="14">
        <f>IF(('S-Table'!$B857-$C$2)*('S-Table'!$B857-$D$2)=0,IF(('S-Table'!$C857-$C$3)*('S-Table'!$C857-$D$3)=0,'S-Table'!B857,0),0)</f>
        <v>0</v>
      </c>
      <c r="I857" s="14">
        <f>IF(('S-Table'!$B857-$C$2)*('S-Table'!$B857-$D$2)=0,IF(('S-Table'!$C857-$C$3)*('S-Table'!$C857-$D$3)=0,'S-Table'!C857,0),0)</f>
        <v>0</v>
      </c>
      <c r="J857" s="14">
        <f>IF(('S-Table'!$B857-$C$2)*('S-Table'!$B857-$D$2)=0,IF(('S-Table'!$C857-$C$3)*('S-Table'!$C857-$D$3)=0,'S-Table'!D857,0),0)</f>
        <v>0</v>
      </c>
      <c r="K857" s="14">
        <f>IF(('S-Table'!$B857-$C$2)*('S-Table'!$B857-$D$2)=0,IF(('S-Table'!$C857-$C$3)*('S-Table'!$C857-$D$3)=0,'S-Table'!E857,0),0)</f>
        <v>0</v>
      </c>
    </row>
    <row r="858" spans="6:11" x14ac:dyDescent="0.2">
      <c r="F858" s="14">
        <f>IF(G858=0,IF(G857=0,F857,F857+1),IF(G857=0,MAX(F$1:F857),MAX(F$1:F857)+1))</f>
        <v>25</v>
      </c>
      <c r="G858" s="14">
        <f>IF(('S-Table'!$B858-$C$2)*('S-Table'!$B858-$D$2)=0,IF(('S-Table'!$C858-$C$3)*('S-Table'!$C858-$D$3)=0,'S-Table'!A858,0),0)</f>
        <v>0</v>
      </c>
      <c r="H858" s="14">
        <f>IF(('S-Table'!$B858-$C$2)*('S-Table'!$B858-$D$2)=0,IF(('S-Table'!$C858-$C$3)*('S-Table'!$C858-$D$3)=0,'S-Table'!B858,0),0)</f>
        <v>0</v>
      </c>
      <c r="I858" s="14">
        <f>IF(('S-Table'!$B858-$C$2)*('S-Table'!$B858-$D$2)=0,IF(('S-Table'!$C858-$C$3)*('S-Table'!$C858-$D$3)=0,'S-Table'!C858,0),0)</f>
        <v>0</v>
      </c>
      <c r="J858" s="14">
        <f>IF(('S-Table'!$B858-$C$2)*('S-Table'!$B858-$D$2)=0,IF(('S-Table'!$C858-$C$3)*('S-Table'!$C858-$D$3)=0,'S-Table'!D858,0),0)</f>
        <v>0</v>
      </c>
      <c r="K858" s="14">
        <f>IF(('S-Table'!$B858-$C$2)*('S-Table'!$B858-$D$2)=0,IF(('S-Table'!$C858-$C$3)*('S-Table'!$C858-$D$3)=0,'S-Table'!E858,0),0)</f>
        <v>0</v>
      </c>
    </row>
    <row r="859" spans="6:11" x14ac:dyDescent="0.2">
      <c r="F859" s="14">
        <f>IF(G859=0,IF(G858=0,F858,F858+1),IF(G858=0,MAX(F$1:F858),MAX(F$1:F858)+1))</f>
        <v>25</v>
      </c>
      <c r="G859" s="14">
        <f>IF(('S-Table'!$B859-$C$2)*('S-Table'!$B859-$D$2)=0,IF(('S-Table'!$C859-$C$3)*('S-Table'!$C859-$D$3)=0,'S-Table'!A859,0),0)</f>
        <v>0</v>
      </c>
      <c r="H859" s="14">
        <f>IF(('S-Table'!$B859-$C$2)*('S-Table'!$B859-$D$2)=0,IF(('S-Table'!$C859-$C$3)*('S-Table'!$C859-$D$3)=0,'S-Table'!B859,0),0)</f>
        <v>0</v>
      </c>
      <c r="I859" s="14">
        <f>IF(('S-Table'!$B859-$C$2)*('S-Table'!$B859-$D$2)=0,IF(('S-Table'!$C859-$C$3)*('S-Table'!$C859-$D$3)=0,'S-Table'!C859,0),0)</f>
        <v>0</v>
      </c>
      <c r="J859" s="14">
        <f>IF(('S-Table'!$B859-$C$2)*('S-Table'!$B859-$D$2)=0,IF(('S-Table'!$C859-$C$3)*('S-Table'!$C859-$D$3)=0,'S-Table'!D859,0),0)</f>
        <v>0</v>
      </c>
      <c r="K859" s="14">
        <f>IF(('S-Table'!$B859-$C$2)*('S-Table'!$B859-$D$2)=0,IF(('S-Table'!$C859-$C$3)*('S-Table'!$C859-$D$3)=0,'S-Table'!E859,0),0)</f>
        <v>0</v>
      </c>
    </row>
    <row r="860" spans="6:11" x14ac:dyDescent="0.2">
      <c r="F860" s="14">
        <f>IF(G860=0,IF(G859=0,F859,F859+1),IF(G859=0,MAX(F$1:F859),MAX(F$1:F859)+1))</f>
        <v>25</v>
      </c>
      <c r="G860" s="14">
        <f>IF(('S-Table'!$B860-$C$2)*('S-Table'!$B860-$D$2)=0,IF(('S-Table'!$C860-$C$3)*('S-Table'!$C860-$D$3)=0,'S-Table'!A860,0),0)</f>
        <v>0</v>
      </c>
      <c r="H860" s="14">
        <f>IF(('S-Table'!$B860-$C$2)*('S-Table'!$B860-$D$2)=0,IF(('S-Table'!$C860-$C$3)*('S-Table'!$C860-$D$3)=0,'S-Table'!B860,0),0)</f>
        <v>0</v>
      </c>
      <c r="I860" s="14">
        <f>IF(('S-Table'!$B860-$C$2)*('S-Table'!$B860-$D$2)=0,IF(('S-Table'!$C860-$C$3)*('S-Table'!$C860-$D$3)=0,'S-Table'!C860,0),0)</f>
        <v>0</v>
      </c>
      <c r="J860" s="14">
        <f>IF(('S-Table'!$B860-$C$2)*('S-Table'!$B860-$D$2)=0,IF(('S-Table'!$C860-$C$3)*('S-Table'!$C860-$D$3)=0,'S-Table'!D860,0),0)</f>
        <v>0</v>
      </c>
      <c r="K860" s="14">
        <f>IF(('S-Table'!$B860-$C$2)*('S-Table'!$B860-$D$2)=0,IF(('S-Table'!$C860-$C$3)*('S-Table'!$C860-$D$3)=0,'S-Table'!E860,0),0)</f>
        <v>0</v>
      </c>
    </row>
    <row r="861" spans="6:11" x14ac:dyDescent="0.2">
      <c r="F861" s="14">
        <f>IF(G861=0,IF(G860=0,F860,F860+1),IF(G860=0,MAX(F$1:F860),MAX(F$1:F860)+1))</f>
        <v>25</v>
      </c>
      <c r="G861" s="14">
        <f>IF(('S-Table'!$B861-$C$2)*('S-Table'!$B861-$D$2)=0,IF(('S-Table'!$C861-$C$3)*('S-Table'!$C861-$D$3)=0,'S-Table'!A861,0),0)</f>
        <v>0</v>
      </c>
      <c r="H861" s="14">
        <f>IF(('S-Table'!$B861-$C$2)*('S-Table'!$B861-$D$2)=0,IF(('S-Table'!$C861-$C$3)*('S-Table'!$C861-$D$3)=0,'S-Table'!B861,0),0)</f>
        <v>0</v>
      </c>
      <c r="I861" s="14">
        <f>IF(('S-Table'!$B861-$C$2)*('S-Table'!$B861-$D$2)=0,IF(('S-Table'!$C861-$C$3)*('S-Table'!$C861-$D$3)=0,'S-Table'!C861,0),0)</f>
        <v>0</v>
      </c>
      <c r="J861" s="14">
        <f>IF(('S-Table'!$B861-$C$2)*('S-Table'!$B861-$D$2)=0,IF(('S-Table'!$C861-$C$3)*('S-Table'!$C861-$D$3)=0,'S-Table'!D861,0),0)</f>
        <v>0</v>
      </c>
      <c r="K861" s="14">
        <f>IF(('S-Table'!$B861-$C$2)*('S-Table'!$B861-$D$2)=0,IF(('S-Table'!$C861-$C$3)*('S-Table'!$C861-$D$3)=0,'S-Table'!E861,0),0)</f>
        <v>0</v>
      </c>
    </row>
    <row r="862" spans="6:11" x14ac:dyDescent="0.2">
      <c r="F862" s="14">
        <f>IF(G862=0,IF(G861=0,F861,F861+1),IF(G861=0,MAX(F$1:F861),MAX(F$1:F861)+1))</f>
        <v>25</v>
      </c>
      <c r="G862" s="14">
        <f>IF(('S-Table'!$B862-$C$2)*('S-Table'!$B862-$D$2)=0,IF(('S-Table'!$C862-$C$3)*('S-Table'!$C862-$D$3)=0,'S-Table'!A862,0),0)</f>
        <v>0</v>
      </c>
      <c r="H862" s="14">
        <f>IF(('S-Table'!$B862-$C$2)*('S-Table'!$B862-$D$2)=0,IF(('S-Table'!$C862-$C$3)*('S-Table'!$C862-$D$3)=0,'S-Table'!B862,0),0)</f>
        <v>0</v>
      </c>
      <c r="I862" s="14">
        <f>IF(('S-Table'!$B862-$C$2)*('S-Table'!$B862-$D$2)=0,IF(('S-Table'!$C862-$C$3)*('S-Table'!$C862-$D$3)=0,'S-Table'!C862,0),0)</f>
        <v>0</v>
      </c>
      <c r="J862" s="14">
        <f>IF(('S-Table'!$B862-$C$2)*('S-Table'!$B862-$D$2)=0,IF(('S-Table'!$C862-$C$3)*('S-Table'!$C862-$D$3)=0,'S-Table'!D862,0),0)</f>
        <v>0</v>
      </c>
      <c r="K862" s="14">
        <f>IF(('S-Table'!$B862-$C$2)*('S-Table'!$B862-$D$2)=0,IF(('S-Table'!$C862-$C$3)*('S-Table'!$C862-$D$3)=0,'S-Table'!E862,0),0)</f>
        <v>0</v>
      </c>
    </row>
    <row r="863" spans="6:11" x14ac:dyDescent="0.2">
      <c r="F863" s="14">
        <f>IF(G863=0,IF(G862=0,F862,F862+1),IF(G862=0,MAX(F$1:F862),MAX(F$1:F862)+1))</f>
        <v>25</v>
      </c>
      <c r="G863" s="14">
        <f>IF(('S-Table'!$B863-$C$2)*('S-Table'!$B863-$D$2)=0,IF(('S-Table'!$C863-$C$3)*('S-Table'!$C863-$D$3)=0,'S-Table'!A863,0),0)</f>
        <v>0</v>
      </c>
      <c r="H863" s="14">
        <f>IF(('S-Table'!$B863-$C$2)*('S-Table'!$B863-$D$2)=0,IF(('S-Table'!$C863-$C$3)*('S-Table'!$C863-$D$3)=0,'S-Table'!B863,0),0)</f>
        <v>0</v>
      </c>
      <c r="I863" s="14">
        <f>IF(('S-Table'!$B863-$C$2)*('S-Table'!$B863-$D$2)=0,IF(('S-Table'!$C863-$C$3)*('S-Table'!$C863-$D$3)=0,'S-Table'!C863,0),0)</f>
        <v>0</v>
      </c>
      <c r="J863" s="14">
        <f>IF(('S-Table'!$B863-$C$2)*('S-Table'!$B863-$D$2)=0,IF(('S-Table'!$C863-$C$3)*('S-Table'!$C863-$D$3)=0,'S-Table'!D863,0),0)</f>
        <v>0</v>
      </c>
      <c r="K863" s="14">
        <f>IF(('S-Table'!$B863-$C$2)*('S-Table'!$B863-$D$2)=0,IF(('S-Table'!$C863-$C$3)*('S-Table'!$C863-$D$3)=0,'S-Table'!E863,0),0)</f>
        <v>0</v>
      </c>
    </row>
    <row r="864" spans="6:11" x14ac:dyDescent="0.2">
      <c r="F864" s="14">
        <f>IF(G864=0,IF(G863=0,F863,F863+1),IF(G863=0,MAX(F$1:F863),MAX(F$1:F863)+1))</f>
        <v>25</v>
      </c>
      <c r="G864" s="14">
        <f>IF(('S-Table'!$B864-$C$2)*('S-Table'!$B864-$D$2)=0,IF(('S-Table'!$C864-$C$3)*('S-Table'!$C864-$D$3)=0,'S-Table'!A864,0),0)</f>
        <v>0</v>
      </c>
      <c r="H864" s="14">
        <f>IF(('S-Table'!$B864-$C$2)*('S-Table'!$B864-$D$2)=0,IF(('S-Table'!$C864-$C$3)*('S-Table'!$C864-$D$3)=0,'S-Table'!B864,0),0)</f>
        <v>0</v>
      </c>
      <c r="I864" s="14">
        <f>IF(('S-Table'!$B864-$C$2)*('S-Table'!$B864-$D$2)=0,IF(('S-Table'!$C864-$C$3)*('S-Table'!$C864-$D$3)=0,'S-Table'!C864,0),0)</f>
        <v>0</v>
      </c>
      <c r="J864" s="14">
        <f>IF(('S-Table'!$B864-$C$2)*('S-Table'!$B864-$D$2)=0,IF(('S-Table'!$C864-$C$3)*('S-Table'!$C864-$D$3)=0,'S-Table'!D864,0),0)</f>
        <v>0</v>
      </c>
      <c r="K864" s="14">
        <f>IF(('S-Table'!$B864-$C$2)*('S-Table'!$B864-$D$2)=0,IF(('S-Table'!$C864-$C$3)*('S-Table'!$C864-$D$3)=0,'S-Table'!E864,0),0)</f>
        <v>0</v>
      </c>
    </row>
    <row r="865" spans="6:11" x14ac:dyDescent="0.2">
      <c r="F865" s="14">
        <f>IF(G865=0,IF(G864=0,F864,F864+1),IF(G864=0,MAX(F$1:F864),MAX(F$1:F864)+1))</f>
        <v>25</v>
      </c>
      <c r="G865" s="14">
        <f>IF(('S-Table'!$B865-$C$2)*('S-Table'!$B865-$D$2)=0,IF(('S-Table'!$C865-$C$3)*('S-Table'!$C865-$D$3)=0,'S-Table'!A865,0),0)</f>
        <v>0</v>
      </c>
      <c r="H865" s="14">
        <f>IF(('S-Table'!$B865-$C$2)*('S-Table'!$B865-$D$2)=0,IF(('S-Table'!$C865-$C$3)*('S-Table'!$C865-$D$3)=0,'S-Table'!B865,0),0)</f>
        <v>0</v>
      </c>
      <c r="I865" s="14">
        <f>IF(('S-Table'!$B865-$C$2)*('S-Table'!$B865-$D$2)=0,IF(('S-Table'!$C865-$C$3)*('S-Table'!$C865-$D$3)=0,'S-Table'!C865,0),0)</f>
        <v>0</v>
      </c>
      <c r="J865" s="14">
        <f>IF(('S-Table'!$B865-$C$2)*('S-Table'!$B865-$D$2)=0,IF(('S-Table'!$C865-$C$3)*('S-Table'!$C865-$D$3)=0,'S-Table'!D865,0),0)</f>
        <v>0</v>
      </c>
      <c r="K865" s="14">
        <f>IF(('S-Table'!$B865-$C$2)*('S-Table'!$B865-$D$2)=0,IF(('S-Table'!$C865-$C$3)*('S-Table'!$C865-$D$3)=0,'S-Table'!E865,0),0)</f>
        <v>0</v>
      </c>
    </row>
    <row r="866" spans="6:11" x14ac:dyDescent="0.2">
      <c r="F866" s="14">
        <f>IF(G866=0,IF(G865=0,F865,F865+1),IF(G865=0,MAX(F$1:F865),MAX(F$1:F865)+1))</f>
        <v>25</v>
      </c>
      <c r="G866" s="14">
        <f>IF(('S-Table'!$B866-$C$2)*('S-Table'!$B866-$D$2)=0,IF(('S-Table'!$C866-$C$3)*('S-Table'!$C866-$D$3)=0,'S-Table'!A866,0),0)</f>
        <v>0</v>
      </c>
      <c r="H866" s="14">
        <f>IF(('S-Table'!$B866-$C$2)*('S-Table'!$B866-$D$2)=0,IF(('S-Table'!$C866-$C$3)*('S-Table'!$C866-$D$3)=0,'S-Table'!B866,0),0)</f>
        <v>0</v>
      </c>
      <c r="I866" s="14">
        <f>IF(('S-Table'!$B866-$C$2)*('S-Table'!$B866-$D$2)=0,IF(('S-Table'!$C866-$C$3)*('S-Table'!$C866-$D$3)=0,'S-Table'!C866,0),0)</f>
        <v>0</v>
      </c>
      <c r="J866" s="14">
        <f>IF(('S-Table'!$B866-$C$2)*('S-Table'!$B866-$D$2)=0,IF(('S-Table'!$C866-$C$3)*('S-Table'!$C866-$D$3)=0,'S-Table'!D866,0),0)</f>
        <v>0</v>
      </c>
      <c r="K866" s="14">
        <f>IF(('S-Table'!$B866-$C$2)*('S-Table'!$B866-$D$2)=0,IF(('S-Table'!$C866-$C$3)*('S-Table'!$C866-$D$3)=0,'S-Table'!E866,0),0)</f>
        <v>0</v>
      </c>
    </row>
    <row r="867" spans="6:11" x14ac:dyDescent="0.2">
      <c r="F867" s="14">
        <f>IF(G867=0,IF(G866=0,F866,F866+1),IF(G866=0,MAX(F$1:F866),MAX(F$1:F866)+1))</f>
        <v>25</v>
      </c>
      <c r="G867" s="14">
        <f>IF(('S-Table'!$B867-$C$2)*('S-Table'!$B867-$D$2)=0,IF(('S-Table'!$C867-$C$3)*('S-Table'!$C867-$D$3)=0,'S-Table'!A867,0),0)</f>
        <v>0</v>
      </c>
      <c r="H867" s="14">
        <f>IF(('S-Table'!$B867-$C$2)*('S-Table'!$B867-$D$2)=0,IF(('S-Table'!$C867-$C$3)*('S-Table'!$C867-$D$3)=0,'S-Table'!B867,0),0)</f>
        <v>0</v>
      </c>
      <c r="I867" s="14">
        <f>IF(('S-Table'!$B867-$C$2)*('S-Table'!$B867-$D$2)=0,IF(('S-Table'!$C867-$C$3)*('S-Table'!$C867-$D$3)=0,'S-Table'!C867,0),0)</f>
        <v>0</v>
      </c>
      <c r="J867" s="14">
        <f>IF(('S-Table'!$B867-$C$2)*('S-Table'!$B867-$D$2)=0,IF(('S-Table'!$C867-$C$3)*('S-Table'!$C867-$D$3)=0,'S-Table'!D867,0),0)</f>
        <v>0</v>
      </c>
      <c r="K867" s="14">
        <f>IF(('S-Table'!$B867-$C$2)*('S-Table'!$B867-$D$2)=0,IF(('S-Table'!$C867-$C$3)*('S-Table'!$C867-$D$3)=0,'S-Table'!E867,0),0)</f>
        <v>0</v>
      </c>
    </row>
    <row r="868" spans="6:11" x14ac:dyDescent="0.2">
      <c r="F868" s="14">
        <f>IF(G868=0,IF(G867=0,F867,F867+1),IF(G867=0,MAX(F$1:F867),MAX(F$1:F867)+1))</f>
        <v>25</v>
      </c>
      <c r="G868" s="14">
        <f>IF(('S-Table'!$B868-$C$2)*('S-Table'!$B868-$D$2)=0,IF(('S-Table'!$C868-$C$3)*('S-Table'!$C868-$D$3)=0,'S-Table'!A868,0),0)</f>
        <v>0</v>
      </c>
      <c r="H868" s="14">
        <f>IF(('S-Table'!$B868-$C$2)*('S-Table'!$B868-$D$2)=0,IF(('S-Table'!$C868-$C$3)*('S-Table'!$C868-$D$3)=0,'S-Table'!B868,0),0)</f>
        <v>0</v>
      </c>
      <c r="I868" s="14">
        <f>IF(('S-Table'!$B868-$C$2)*('S-Table'!$B868-$D$2)=0,IF(('S-Table'!$C868-$C$3)*('S-Table'!$C868-$D$3)=0,'S-Table'!C868,0),0)</f>
        <v>0</v>
      </c>
      <c r="J868" s="14">
        <f>IF(('S-Table'!$B868-$C$2)*('S-Table'!$B868-$D$2)=0,IF(('S-Table'!$C868-$C$3)*('S-Table'!$C868-$D$3)=0,'S-Table'!D868,0),0)</f>
        <v>0</v>
      </c>
      <c r="K868" s="14">
        <f>IF(('S-Table'!$B868-$C$2)*('S-Table'!$B868-$D$2)=0,IF(('S-Table'!$C868-$C$3)*('S-Table'!$C868-$D$3)=0,'S-Table'!E868,0),0)</f>
        <v>0</v>
      </c>
    </row>
    <row r="869" spans="6:11" x14ac:dyDescent="0.2">
      <c r="F869" s="14">
        <f>IF(G869=0,IF(G868=0,F868,F868+1),IF(G868=0,MAX(F$1:F868),MAX(F$1:F868)+1))</f>
        <v>25</v>
      </c>
      <c r="G869" s="14">
        <f>IF(('S-Table'!$B869-$C$2)*('S-Table'!$B869-$D$2)=0,IF(('S-Table'!$C869-$C$3)*('S-Table'!$C869-$D$3)=0,'S-Table'!A869,0),0)</f>
        <v>0</v>
      </c>
      <c r="H869" s="14">
        <f>IF(('S-Table'!$B869-$C$2)*('S-Table'!$B869-$D$2)=0,IF(('S-Table'!$C869-$C$3)*('S-Table'!$C869-$D$3)=0,'S-Table'!B869,0),0)</f>
        <v>0</v>
      </c>
      <c r="I869" s="14">
        <f>IF(('S-Table'!$B869-$C$2)*('S-Table'!$B869-$D$2)=0,IF(('S-Table'!$C869-$C$3)*('S-Table'!$C869-$D$3)=0,'S-Table'!C869,0),0)</f>
        <v>0</v>
      </c>
      <c r="J869" s="14">
        <f>IF(('S-Table'!$B869-$C$2)*('S-Table'!$B869-$D$2)=0,IF(('S-Table'!$C869-$C$3)*('S-Table'!$C869-$D$3)=0,'S-Table'!D869,0),0)</f>
        <v>0</v>
      </c>
      <c r="K869" s="14">
        <f>IF(('S-Table'!$B869-$C$2)*('S-Table'!$B869-$D$2)=0,IF(('S-Table'!$C869-$C$3)*('S-Table'!$C869-$D$3)=0,'S-Table'!E869,0),0)</f>
        <v>0</v>
      </c>
    </row>
    <row r="870" spans="6:11" x14ac:dyDescent="0.2">
      <c r="F870" s="14">
        <f>IF(G870=0,IF(G869=0,F869,F869+1),IF(G869=0,MAX(F$1:F869),MAX(F$1:F869)+1))</f>
        <v>25</v>
      </c>
      <c r="G870" s="14">
        <f>IF(('S-Table'!$B870-$C$2)*('S-Table'!$B870-$D$2)=0,IF(('S-Table'!$C870-$C$3)*('S-Table'!$C870-$D$3)=0,'S-Table'!A870,0),0)</f>
        <v>0</v>
      </c>
      <c r="H870" s="14">
        <f>IF(('S-Table'!$B870-$C$2)*('S-Table'!$B870-$D$2)=0,IF(('S-Table'!$C870-$C$3)*('S-Table'!$C870-$D$3)=0,'S-Table'!B870,0),0)</f>
        <v>0</v>
      </c>
      <c r="I870" s="14">
        <f>IF(('S-Table'!$B870-$C$2)*('S-Table'!$B870-$D$2)=0,IF(('S-Table'!$C870-$C$3)*('S-Table'!$C870-$D$3)=0,'S-Table'!C870,0),0)</f>
        <v>0</v>
      </c>
      <c r="J870" s="14">
        <f>IF(('S-Table'!$B870-$C$2)*('S-Table'!$B870-$D$2)=0,IF(('S-Table'!$C870-$C$3)*('S-Table'!$C870-$D$3)=0,'S-Table'!D870,0),0)</f>
        <v>0</v>
      </c>
      <c r="K870" s="14">
        <f>IF(('S-Table'!$B870-$C$2)*('S-Table'!$B870-$D$2)=0,IF(('S-Table'!$C870-$C$3)*('S-Table'!$C870-$D$3)=0,'S-Table'!E870,0),0)</f>
        <v>0</v>
      </c>
    </row>
    <row r="871" spans="6:11" x14ac:dyDescent="0.2">
      <c r="F871" s="14">
        <f>IF(G871=0,IF(G870=0,F870,F870+1),IF(G870=0,MAX(F$1:F870),MAX(F$1:F870)+1))</f>
        <v>25</v>
      </c>
      <c r="G871" s="14">
        <f>IF(('S-Table'!$B871-$C$2)*('S-Table'!$B871-$D$2)=0,IF(('S-Table'!$C871-$C$3)*('S-Table'!$C871-$D$3)=0,'S-Table'!A871,0),0)</f>
        <v>0</v>
      </c>
      <c r="H871" s="14">
        <f>IF(('S-Table'!$B871-$C$2)*('S-Table'!$B871-$D$2)=0,IF(('S-Table'!$C871-$C$3)*('S-Table'!$C871-$D$3)=0,'S-Table'!B871,0),0)</f>
        <v>0</v>
      </c>
      <c r="I871" s="14">
        <f>IF(('S-Table'!$B871-$C$2)*('S-Table'!$B871-$D$2)=0,IF(('S-Table'!$C871-$C$3)*('S-Table'!$C871-$D$3)=0,'S-Table'!C871,0),0)</f>
        <v>0</v>
      </c>
      <c r="J871" s="14">
        <f>IF(('S-Table'!$B871-$C$2)*('S-Table'!$B871-$D$2)=0,IF(('S-Table'!$C871-$C$3)*('S-Table'!$C871-$D$3)=0,'S-Table'!D871,0),0)</f>
        <v>0</v>
      </c>
      <c r="K871" s="14">
        <f>IF(('S-Table'!$B871-$C$2)*('S-Table'!$B871-$D$2)=0,IF(('S-Table'!$C871-$C$3)*('S-Table'!$C871-$D$3)=0,'S-Table'!E871,0),0)</f>
        <v>0</v>
      </c>
    </row>
    <row r="872" spans="6:11" x14ac:dyDescent="0.2">
      <c r="F872" s="14">
        <f>IF(G872=0,IF(G871=0,F871,F871+1),IF(G871=0,MAX(F$1:F871),MAX(F$1:F871)+1))</f>
        <v>25</v>
      </c>
      <c r="G872" s="14">
        <f>IF(('S-Table'!$B872-$C$2)*('S-Table'!$B872-$D$2)=0,IF(('S-Table'!$C872-$C$3)*('S-Table'!$C872-$D$3)=0,'S-Table'!A872,0),0)</f>
        <v>0</v>
      </c>
      <c r="H872" s="14">
        <f>IF(('S-Table'!$B872-$C$2)*('S-Table'!$B872-$D$2)=0,IF(('S-Table'!$C872-$C$3)*('S-Table'!$C872-$D$3)=0,'S-Table'!B872,0),0)</f>
        <v>0</v>
      </c>
      <c r="I872" s="14">
        <f>IF(('S-Table'!$B872-$C$2)*('S-Table'!$B872-$D$2)=0,IF(('S-Table'!$C872-$C$3)*('S-Table'!$C872-$D$3)=0,'S-Table'!C872,0),0)</f>
        <v>0</v>
      </c>
      <c r="J872" s="14">
        <f>IF(('S-Table'!$B872-$C$2)*('S-Table'!$B872-$D$2)=0,IF(('S-Table'!$C872-$C$3)*('S-Table'!$C872-$D$3)=0,'S-Table'!D872,0),0)</f>
        <v>0</v>
      </c>
      <c r="K872" s="14">
        <f>IF(('S-Table'!$B872-$C$2)*('S-Table'!$B872-$D$2)=0,IF(('S-Table'!$C872-$C$3)*('S-Table'!$C872-$D$3)=0,'S-Table'!E872,0),0)</f>
        <v>0</v>
      </c>
    </row>
    <row r="873" spans="6:11" x14ac:dyDescent="0.2">
      <c r="F873" s="14">
        <f>IF(G873=0,IF(G872=0,F872,F872+1),IF(G872=0,MAX(F$1:F872),MAX(F$1:F872)+1))</f>
        <v>25</v>
      </c>
      <c r="G873" s="14">
        <f>IF(('S-Table'!$B873-$C$2)*('S-Table'!$B873-$D$2)=0,IF(('S-Table'!$C873-$C$3)*('S-Table'!$C873-$D$3)=0,'S-Table'!A873,0),0)</f>
        <v>0</v>
      </c>
      <c r="H873" s="14">
        <f>IF(('S-Table'!$B873-$C$2)*('S-Table'!$B873-$D$2)=0,IF(('S-Table'!$C873-$C$3)*('S-Table'!$C873-$D$3)=0,'S-Table'!B873,0),0)</f>
        <v>0</v>
      </c>
      <c r="I873" s="14">
        <f>IF(('S-Table'!$B873-$C$2)*('S-Table'!$B873-$D$2)=0,IF(('S-Table'!$C873-$C$3)*('S-Table'!$C873-$D$3)=0,'S-Table'!C873,0),0)</f>
        <v>0</v>
      </c>
      <c r="J873" s="14">
        <f>IF(('S-Table'!$B873-$C$2)*('S-Table'!$B873-$D$2)=0,IF(('S-Table'!$C873-$C$3)*('S-Table'!$C873-$D$3)=0,'S-Table'!D873,0),0)</f>
        <v>0</v>
      </c>
      <c r="K873" s="14">
        <f>IF(('S-Table'!$B873-$C$2)*('S-Table'!$B873-$D$2)=0,IF(('S-Table'!$C873-$C$3)*('S-Table'!$C873-$D$3)=0,'S-Table'!E873,0),0)</f>
        <v>0</v>
      </c>
    </row>
    <row r="874" spans="6:11" x14ac:dyDescent="0.2">
      <c r="F874" s="14">
        <f>IF(G874=0,IF(G873=0,F873,F873+1),IF(G873=0,MAX(F$1:F873),MAX(F$1:F873)+1))</f>
        <v>25</v>
      </c>
      <c r="G874" s="14">
        <f>IF(('S-Table'!$B874-$C$2)*('S-Table'!$B874-$D$2)=0,IF(('S-Table'!$C874-$C$3)*('S-Table'!$C874-$D$3)=0,'S-Table'!A874,0),0)</f>
        <v>0</v>
      </c>
      <c r="H874" s="14">
        <f>IF(('S-Table'!$B874-$C$2)*('S-Table'!$B874-$D$2)=0,IF(('S-Table'!$C874-$C$3)*('S-Table'!$C874-$D$3)=0,'S-Table'!B874,0),0)</f>
        <v>0</v>
      </c>
      <c r="I874" s="14">
        <f>IF(('S-Table'!$B874-$C$2)*('S-Table'!$B874-$D$2)=0,IF(('S-Table'!$C874-$C$3)*('S-Table'!$C874-$D$3)=0,'S-Table'!C874,0),0)</f>
        <v>0</v>
      </c>
      <c r="J874" s="14">
        <f>IF(('S-Table'!$B874-$C$2)*('S-Table'!$B874-$D$2)=0,IF(('S-Table'!$C874-$C$3)*('S-Table'!$C874-$D$3)=0,'S-Table'!D874,0),0)</f>
        <v>0</v>
      </c>
      <c r="K874" s="14">
        <f>IF(('S-Table'!$B874-$C$2)*('S-Table'!$B874-$D$2)=0,IF(('S-Table'!$C874-$C$3)*('S-Table'!$C874-$D$3)=0,'S-Table'!E874,0),0)</f>
        <v>0</v>
      </c>
    </row>
    <row r="875" spans="6:11" x14ac:dyDescent="0.2">
      <c r="F875" s="14">
        <f>IF(G875=0,IF(G874=0,F874,F874+1),IF(G874=0,MAX(F$1:F874),MAX(F$1:F874)+1))</f>
        <v>25</v>
      </c>
      <c r="G875" s="14">
        <f>IF(('S-Table'!$B875-$C$2)*('S-Table'!$B875-$D$2)=0,IF(('S-Table'!$C875-$C$3)*('S-Table'!$C875-$D$3)=0,'S-Table'!A875,0),0)</f>
        <v>0</v>
      </c>
      <c r="H875" s="14">
        <f>IF(('S-Table'!$B875-$C$2)*('S-Table'!$B875-$D$2)=0,IF(('S-Table'!$C875-$C$3)*('S-Table'!$C875-$D$3)=0,'S-Table'!B875,0),0)</f>
        <v>0</v>
      </c>
      <c r="I875" s="14">
        <f>IF(('S-Table'!$B875-$C$2)*('S-Table'!$B875-$D$2)=0,IF(('S-Table'!$C875-$C$3)*('S-Table'!$C875-$D$3)=0,'S-Table'!C875,0),0)</f>
        <v>0</v>
      </c>
      <c r="J875" s="14">
        <f>IF(('S-Table'!$B875-$C$2)*('S-Table'!$B875-$D$2)=0,IF(('S-Table'!$C875-$C$3)*('S-Table'!$C875-$D$3)=0,'S-Table'!D875,0),0)</f>
        <v>0</v>
      </c>
      <c r="K875" s="14">
        <f>IF(('S-Table'!$B875-$C$2)*('S-Table'!$B875-$D$2)=0,IF(('S-Table'!$C875-$C$3)*('S-Table'!$C875-$D$3)=0,'S-Table'!E875,0),0)</f>
        <v>0</v>
      </c>
    </row>
    <row r="876" spans="6:11" x14ac:dyDescent="0.2">
      <c r="F876" s="14">
        <f>IF(G876=0,IF(G875=0,F875,F875+1),IF(G875=0,MAX(F$1:F875),MAX(F$1:F875)+1))</f>
        <v>25</v>
      </c>
      <c r="G876" s="14">
        <f>IF(('S-Table'!$B876-$C$2)*('S-Table'!$B876-$D$2)=0,IF(('S-Table'!$C876-$C$3)*('S-Table'!$C876-$D$3)=0,'S-Table'!A876,0),0)</f>
        <v>0</v>
      </c>
      <c r="H876" s="14">
        <f>IF(('S-Table'!$B876-$C$2)*('S-Table'!$B876-$D$2)=0,IF(('S-Table'!$C876-$C$3)*('S-Table'!$C876-$D$3)=0,'S-Table'!B876,0),0)</f>
        <v>0</v>
      </c>
      <c r="I876" s="14">
        <f>IF(('S-Table'!$B876-$C$2)*('S-Table'!$B876-$D$2)=0,IF(('S-Table'!$C876-$C$3)*('S-Table'!$C876-$D$3)=0,'S-Table'!C876,0),0)</f>
        <v>0</v>
      </c>
      <c r="J876" s="14">
        <f>IF(('S-Table'!$B876-$C$2)*('S-Table'!$B876-$D$2)=0,IF(('S-Table'!$C876-$C$3)*('S-Table'!$C876-$D$3)=0,'S-Table'!D876,0),0)</f>
        <v>0</v>
      </c>
      <c r="K876" s="14">
        <f>IF(('S-Table'!$B876-$C$2)*('S-Table'!$B876-$D$2)=0,IF(('S-Table'!$C876-$C$3)*('S-Table'!$C876-$D$3)=0,'S-Table'!E876,0),0)</f>
        <v>0</v>
      </c>
    </row>
    <row r="877" spans="6:11" x14ac:dyDescent="0.2">
      <c r="F877" s="14">
        <f>IF(G877=0,IF(G876=0,F876,F876+1),IF(G876=0,MAX(F$1:F876),MAX(F$1:F876)+1))</f>
        <v>25</v>
      </c>
      <c r="G877" s="14">
        <f>IF(('S-Table'!$B877-$C$2)*('S-Table'!$B877-$D$2)=0,IF(('S-Table'!$C877-$C$3)*('S-Table'!$C877-$D$3)=0,'S-Table'!A877,0),0)</f>
        <v>0</v>
      </c>
      <c r="H877" s="14">
        <f>IF(('S-Table'!$B877-$C$2)*('S-Table'!$B877-$D$2)=0,IF(('S-Table'!$C877-$C$3)*('S-Table'!$C877-$D$3)=0,'S-Table'!B877,0),0)</f>
        <v>0</v>
      </c>
      <c r="I877" s="14">
        <f>IF(('S-Table'!$B877-$C$2)*('S-Table'!$B877-$D$2)=0,IF(('S-Table'!$C877-$C$3)*('S-Table'!$C877-$D$3)=0,'S-Table'!C877,0),0)</f>
        <v>0</v>
      </c>
      <c r="J877" s="14">
        <f>IF(('S-Table'!$B877-$C$2)*('S-Table'!$B877-$D$2)=0,IF(('S-Table'!$C877-$C$3)*('S-Table'!$C877-$D$3)=0,'S-Table'!D877,0),0)</f>
        <v>0</v>
      </c>
      <c r="K877" s="14">
        <f>IF(('S-Table'!$B877-$C$2)*('S-Table'!$B877-$D$2)=0,IF(('S-Table'!$C877-$C$3)*('S-Table'!$C877-$D$3)=0,'S-Table'!E877,0),0)</f>
        <v>0</v>
      </c>
    </row>
    <row r="878" spans="6:11" x14ac:dyDescent="0.2">
      <c r="F878" s="14">
        <f>IF(G878=0,IF(G877=0,F877,F877+1),IF(G877=0,MAX(F$1:F877),MAX(F$1:F877)+1))</f>
        <v>25</v>
      </c>
      <c r="G878" s="14">
        <f>IF(('S-Table'!$B878-$C$2)*('S-Table'!$B878-$D$2)=0,IF(('S-Table'!$C878-$C$3)*('S-Table'!$C878-$D$3)=0,'S-Table'!A878,0),0)</f>
        <v>0</v>
      </c>
      <c r="H878" s="14">
        <f>IF(('S-Table'!$B878-$C$2)*('S-Table'!$B878-$D$2)=0,IF(('S-Table'!$C878-$C$3)*('S-Table'!$C878-$D$3)=0,'S-Table'!B878,0),0)</f>
        <v>0</v>
      </c>
      <c r="I878" s="14">
        <f>IF(('S-Table'!$B878-$C$2)*('S-Table'!$B878-$D$2)=0,IF(('S-Table'!$C878-$C$3)*('S-Table'!$C878-$D$3)=0,'S-Table'!C878,0),0)</f>
        <v>0</v>
      </c>
      <c r="J878" s="14">
        <f>IF(('S-Table'!$B878-$C$2)*('S-Table'!$B878-$D$2)=0,IF(('S-Table'!$C878-$C$3)*('S-Table'!$C878-$D$3)=0,'S-Table'!D878,0),0)</f>
        <v>0</v>
      </c>
      <c r="K878" s="14">
        <f>IF(('S-Table'!$B878-$C$2)*('S-Table'!$B878-$D$2)=0,IF(('S-Table'!$C878-$C$3)*('S-Table'!$C878-$D$3)=0,'S-Table'!E878,0),0)</f>
        <v>0</v>
      </c>
    </row>
    <row r="879" spans="6:11" x14ac:dyDescent="0.2">
      <c r="F879" s="14">
        <f>IF(G879=0,IF(G878=0,F878,F878+1),IF(G878=0,MAX(F$1:F878),MAX(F$1:F878)+1))</f>
        <v>25</v>
      </c>
      <c r="G879" s="14">
        <f>IF(('S-Table'!$B879-$C$2)*('S-Table'!$B879-$D$2)=0,IF(('S-Table'!$C879-$C$3)*('S-Table'!$C879-$D$3)=0,'S-Table'!A879,0),0)</f>
        <v>0</v>
      </c>
      <c r="H879" s="14">
        <f>IF(('S-Table'!$B879-$C$2)*('S-Table'!$B879-$D$2)=0,IF(('S-Table'!$C879-$C$3)*('S-Table'!$C879-$D$3)=0,'S-Table'!B879,0),0)</f>
        <v>0</v>
      </c>
      <c r="I879" s="14">
        <f>IF(('S-Table'!$B879-$C$2)*('S-Table'!$B879-$D$2)=0,IF(('S-Table'!$C879-$C$3)*('S-Table'!$C879-$D$3)=0,'S-Table'!C879,0),0)</f>
        <v>0</v>
      </c>
      <c r="J879" s="14">
        <f>IF(('S-Table'!$B879-$C$2)*('S-Table'!$B879-$D$2)=0,IF(('S-Table'!$C879-$C$3)*('S-Table'!$C879-$D$3)=0,'S-Table'!D879,0),0)</f>
        <v>0</v>
      </c>
      <c r="K879" s="14">
        <f>IF(('S-Table'!$B879-$C$2)*('S-Table'!$B879-$D$2)=0,IF(('S-Table'!$C879-$C$3)*('S-Table'!$C879-$D$3)=0,'S-Table'!E879,0),0)</f>
        <v>0</v>
      </c>
    </row>
    <row r="880" spans="6:11" x14ac:dyDescent="0.2">
      <c r="F880" s="14">
        <f>IF(G880=0,IF(G879=0,F879,F879+1),IF(G879=0,MAX(F$1:F879),MAX(F$1:F879)+1))</f>
        <v>25</v>
      </c>
      <c r="G880" s="14">
        <f>IF(('S-Table'!$B880-$C$2)*('S-Table'!$B880-$D$2)=0,IF(('S-Table'!$C880-$C$3)*('S-Table'!$C880-$D$3)=0,'S-Table'!A880,0),0)</f>
        <v>0</v>
      </c>
      <c r="H880" s="14">
        <f>IF(('S-Table'!$B880-$C$2)*('S-Table'!$B880-$D$2)=0,IF(('S-Table'!$C880-$C$3)*('S-Table'!$C880-$D$3)=0,'S-Table'!B880,0),0)</f>
        <v>0</v>
      </c>
      <c r="I880" s="14">
        <f>IF(('S-Table'!$B880-$C$2)*('S-Table'!$B880-$D$2)=0,IF(('S-Table'!$C880-$C$3)*('S-Table'!$C880-$D$3)=0,'S-Table'!C880,0),0)</f>
        <v>0</v>
      </c>
      <c r="J880" s="14">
        <f>IF(('S-Table'!$B880-$C$2)*('S-Table'!$B880-$D$2)=0,IF(('S-Table'!$C880-$C$3)*('S-Table'!$C880-$D$3)=0,'S-Table'!D880,0),0)</f>
        <v>0</v>
      </c>
      <c r="K880" s="14">
        <f>IF(('S-Table'!$B880-$C$2)*('S-Table'!$B880-$D$2)=0,IF(('S-Table'!$C880-$C$3)*('S-Table'!$C880-$D$3)=0,'S-Table'!E880,0),0)</f>
        <v>0</v>
      </c>
    </row>
    <row r="881" spans="6:11" x14ac:dyDescent="0.2">
      <c r="F881" s="14">
        <f>IF(G881=0,IF(G880=0,F880,F880+1),IF(G880=0,MAX(F$1:F880),MAX(F$1:F880)+1))</f>
        <v>25</v>
      </c>
      <c r="G881" s="14">
        <f>IF(('S-Table'!$B881-$C$2)*('S-Table'!$B881-$D$2)=0,IF(('S-Table'!$C881-$C$3)*('S-Table'!$C881-$D$3)=0,'S-Table'!A881,0),0)</f>
        <v>0</v>
      </c>
      <c r="H881" s="14">
        <f>IF(('S-Table'!$B881-$C$2)*('S-Table'!$B881-$D$2)=0,IF(('S-Table'!$C881-$C$3)*('S-Table'!$C881-$D$3)=0,'S-Table'!B881,0),0)</f>
        <v>0</v>
      </c>
      <c r="I881" s="14">
        <f>IF(('S-Table'!$B881-$C$2)*('S-Table'!$B881-$D$2)=0,IF(('S-Table'!$C881-$C$3)*('S-Table'!$C881-$D$3)=0,'S-Table'!C881,0),0)</f>
        <v>0</v>
      </c>
      <c r="J881" s="14">
        <f>IF(('S-Table'!$B881-$C$2)*('S-Table'!$B881-$D$2)=0,IF(('S-Table'!$C881-$C$3)*('S-Table'!$C881-$D$3)=0,'S-Table'!D881,0),0)</f>
        <v>0</v>
      </c>
      <c r="K881" s="14">
        <f>IF(('S-Table'!$B881-$C$2)*('S-Table'!$B881-$D$2)=0,IF(('S-Table'!$C881-$C$3)*('S-Table'!$C881-$D$3)=0,'S-Table'!E881,0),0)</f>
        <v>0</v>
      </c>
    </row>
    <row r="882" spans="6:11" x14ac:dyDescent="0.2">
      <c r="F882" s="14">
        <f>IF(G882=0,IF(G881=0,F881,F881+1),IF(G881=0,MAX(F$1:F881),MAX(F$1:F881)+1))</f>
        <v>25</v>
      </c>
      <c r="G882" s="14">
        <f>IF(('S-Table'!$B882-$C$2)*('S-Table'!$B882-$D$2)=0,IF(('S-Table'!$C882-$C$3)*('S-Table'!$C882-$D$3)=0,'S-Table'!A882,0),0)</f>
        <v>0</v>
      </c>
      <c r="H882" s="14">
        <f>IF(('S-Table'!$B882-$C$2)*('S-Table'!$B882-$D$2)=0,IF(('S-Table'!$C882-$C$3)*('S-Table'!$C882-$D$3)=0,'S-Table'!B882,0),0)</f>
        <v>0</v>
      </c>
      <c r="I882" s="14">
        <f>IF(('S-Table'!$B882-$C$2)*('S-Table'!$B882-$D$2)=0,IF(('S-Table'!$C882-$C$3)*('S-Table'!$C882-$D$3)=0,'S-Table'!C882,0),0)</f>
        <v>0</v>
      </c>
      <c r="J882" s="14">
        <f>IF(('S-Table'!$B882-$C$2)*('S-Table'!$B882-$D$2)=0,IF(('S-Table'!$C882-$C$3)*('S-Table'!$C882-$D$3)=0,'S-Table'!D882,0),0)</f>
        <v>0</v>
      </c>
      <c r="K882" s="14">
        <f>IF(('S-Table'!$B882-$C$2)*('S-Table'!$B882-$D$2)=0,IF(('S-Table'!$C882-$C$3)*('S-Table'!$C882-$D$3)=0,'S-Table'!E882,0),0)</f>
        <v>0</v>
      </c>
    </row>
    <row r="883" spans="6:11" x14ac:dyDescent="0.2">
      <c r="F883" s="14">
        <f>IF(G883=0,IF(G882=0,F882,F882+1),IF(G882=0,MAX(F$1:F882),MAX(F$1:F882)+1))</f>
        <v>25</v>
      </c>
      <c r="G883" s="14">
        <f>IF(('S-Table'!$B883-$C$2)*('S-Table'!$B883-$D$2)=0,IF(('S-Table'!$C883-$C$3)*('S-Table'!$C883-$D$3)=0,'S-Table'!A883,0),0)</f>
        <v>0</v>
      </c>
      <c r="H883" s="14">
        <f>IF(('S-Table'!$B883-$C$2)*('S-Table'!$B883-$D$2)=0,IF(('S-Table'!$C883-$C$3)*('S-Table'!$C883-$D$3)=0,'S-Table'!B883,0),0)</f>
        <v>0</v>
      </c>
      <c r="I883" s="14">
        <f>IF(('S-Table'!$B883-$C$2)*('S-Table'!$B883-$D$2)=0,IF(('S-Table'!$C883-$C$3)*('S-Table'!$C883-$D$3)=0,'S-Table'!C883,0),0)</f>
        <v>0</v>
      </c>
      <c r="J883" s="14">
        <f>IF(('S-Table'!$B883-$C$2)*('S-Table'!$B883-$D$2)=0,IF(('S-Table'!$C883-$C$3)*('S-Table'!$C883-$D$3)=0,'S-Table'!D883,0),0)</f>
        <v>0</v>
      </c>
      <c r="K883" s="14">
        <f>IF(('S-Table'!$B883-$C$2)*('S-Table'!$B883-$D$2)=0,IF(('S-Table'!$C883-$C$3)*('S-Table'!$C883-$D$3)=0,'S-Table'!E883,0),0)</f>
        <v>0</v>
      </c>
    </row>
    <row r="884" spans="6:11" x14ac:dyDescent="0.2">
      <c r="F884" s="72">
        <f>IF(G884=0,IF(G883=0,F883,F883+1),IF(G883=0,MAX(F$1:F883),MAX(F$1:F883)+1))</f>
        <v>25</v>
      </c>
      <c r="G884" s="72">
        <f>IF(('S-Table'!$B884-$C$2)*('S-Table'!$B884-$D$2)=0,IF(('S-Table'!$C884-$C$3)*('S-Table'!$C884-$D$3)=0,'S-Table'!A884,0),0)</f>
        <v>0</v>
      </c>
      <c r="H884" s="72">
        <f>IF(('S-Table'!$B884-$C$2)*('S-Table'!$B884-$D$2)=0,IF(('S-Table'!$C884-$C$3)*('S-Table'!$C884-$D$3)=0,'S-Table'!B884,0),0)</f>
        <v>0</v>
      </c>
      <c r="I884" s="72">
        <f>IF(('S-Table'!$B884-$C$2)*('S-Table'!$B884-$D$2)=0,IF(('S-Table'!$C884-$C$3)*('S-Table'!$C884-$D$3)=0,'S-Table'!C884,0),0)</f>
        <v>0</v>
      </c>
      <c r="J884" s="72">
        <f>IF(('S-Table'!$B884-$C$2)*('S-Table'!$B884-$D$2)=0,IF(('S-Table'!$C884-$C$3)*('S-Table'!$C884-$D$3)=0,'S-Table'!D884,0),0)</f>
        <v>0</v>
      </c>
      <c r="K884" s="72">
        <f>IF(('S-Table'!$B884-$C$2)*('S-Table'!$B884-$D$2)=0,IF(('S-Table'!$C884-$C$3)*('S-Table'!$C884-$D$3)=0,'S-Table'!E884,0),0)</f>
        <v>0</v>
      </c>
    </row>
    <row r="885" spans="6:11" x14ac:dyDescent="0.2">
      <c r="F885" s="72">
        <f>IF(G885=0,IF(G884=0,F884,F884+1),IF(G884=0,MAX(F$1:F884),MAX(F$1:F884)+1))</f>
        <v>25</v>
      </c>
      <c r="G885" s="72">
        <f>IF(('S-Table'!$B885-$C$2)*('S-Table'!$B885-$D$2)=0,IF(('S-Table'!$C885-$C$3)*('S-Table'!$C885-$D$3)=0,'S-Table'!A885,0),0)</f>
        <v>0</v>
      </c>
      <c r="H885" s="72">
        <f>IF(('S-Table'!$B885-$C$2)*('S-Table'!$B885-$D$2)=0,IF(('S-Table'!$C885-$C$3)*('S-Table'!$C885-$D$3)=0,'S-Table'!B885,0),0)</f>
        <v>0</v>
      </c>
      <c r="I885" s="72">
        <f>IF(('S-Table'!$B885-$C$2)*('S-Table'!$B885-$D$2)=0,IF(('S-Table'!$C885-$C$3)*('S-Table'!$C885-$D$3)=0,'S-Table'!C885,0),0)</f>
        <v>0</v>
      </c>
      <c r="J885" s="72">
        <f>IF(('S-Table'!$B885-$C$2)*('S-Table'!$B885-$D$2)=0,IF(('S-Table'!$C885-$C$3)*('S-Table'!$C885-$D$3)=0,'S-Table'!D885,0),0)</f>
        <v>0</v>
      </c>
      <c r="K885" s="72">
        <f>IF(('S-Table'!$B885-$C$2)*('S-Table'!$B885-$D$2)=0,IF(('S-Table'!$C885-$C$3)*('S-Table'!$C885-$D$3)=0,'S-Table'!E885,0),0)</f>
        <v>0</v>
      </c>
    </row>
    <row r="886" spans="6:11" x14ac:dyDescent="0.2">
      <c r="F886" s="72">
        <f>IF(G886=0,IF(G885=0,F885,F885+1),IF(G885=0,MAX(F$1:F885),MAX(F$1:F885)+1))</f>
        <v>25</v>
      </c>
      <c r="G886" s="72">
        <f>IF(('S-Table'!$B886-$C$2)*('S-Table'!$B886-$D$2)=0,IF(('S-Table'!$C886-$C$3)*('S-Table'!$C886-$D$3)=0,'S-Table'!A886,0),0)</f>
        <v>0</v>
      </c>
      <c r="H886" s="72">
        <f>IF(('S-Table'!$B886-$C$2)*('S-Table'!$B886-$D$2)=0,IF(('S-Table'!$C886-$C$3)*('S-Table'!$C886-$D$3)=0,'S-Table'!B886,0),0)</f>
        <v>0</v>
      </c>
      <c r="I886" s="72">
        <f>IF(('S-Table'!$B886-$C$2)*('S-Table'!$B886-$D$2)=0,IF(('S-Table'!$C886-$C$3)*('S-Table'!$C886-$D$3)=0,'S-Table'!C886,0),0)</f>
        <v>0</v>
      </c>
      <c r="J886" s="72">
        <f>IF(('S-Table'!$B886-$C$2)*('S-Table'!$B886-$D$2)=0,IF(('S-Table'!$C886-$C$3)*('S-Table'!$C886-$D$3)=0,'S-Table'!D886,0),0)</f>
        <v>0</v>
      </c>
      <c r="K886" s="72">
        <f>IF(('S-Table'!$B886-$C$2)*('S-Table'!$B886-$D$2)=0,IF(('S-Table'!$C886-$C$3)*('S-Table'!$C886-$D$3)=0,'S-Table'!E886,0),0)</f>
        <v>0</v>
      </c>
    </row>
    <row r="887" spans="6:11" x14ac:dyDescent="0.2">
      <c r="F887" s="72">
        <f>IF(G887=0,IF(G886=0,F886,F886+1),IF(G886=0,MAX(F$1:F886),MAX(F$1:F886)+1))</f>
        <v>25</v>
      </c>
      <c r="G887" s="72">
        <f>IF(('S-Table'!$B887-$C$2)*('S-Table'!$B887-$D$2)=0,IF(('S-Table'!$C887-$C$3)*('S-Table'!$C887-$D$3)=0,'S-Table'!A887,0),0)</f>
        <v>0</v>
      </c>
      <c r="H887" s="72">
        <f>IF(('S-Table'!$B887-$C$2)*('S-Table'!$B887-$D$2)=0,IF(('S-Table'!$C887-$C$3)*('S-Table'!$C887-$D$3)=0,'S-Table'!B887,0),0)</f>
        <v>0</v>
      </c>
      <c r="I887" s="72">
        <f>IF(('S-Table'!$B887-$C$2)*('S-Table'!$B887-$D$2)=0,IF(('S-Table'!$C887-$C$3)*('S-Table'!$C887-$D$3)=0,'S-Table'!C887,0),0)</f>
        <v>0</v>
      </c>
      <c r="J887" s="72">
        <f>IF(('S-Table'!$B887-$C$2)*('S-Table'!$B887-$D$2)=0,IF(('S-Table'!$C887-$C$3)*('S-Table'!$C887-$D$3)=0,'S-Table'!D887,0),0)</f>
        <v>0</v>
      </c>
      <c r="K887" s="72">
        <f>IF(('S-Table'!$B887-$C$2)*('S-Table'!$B887-$D$2)=0,IF(('S-Table'!$C887-$C$3)*('S-Table'!$C887-$D$3)=0,'S-Table'!E887,0),0)</f>
        <v>0</v>
      </c>
    </row>
    <row r="888" spans="6:11" x14ac:dyDescent="0.2">
      <c r="F888" s="72">
        <f>IF(G888=0,IF(G887=0,F887,F887+1),IF(G887=0,MAX(F$1:F887),MAX(F$1:F887)+1))</f>
        <v>25</v>
      </c>
      <c r="G888" s="72">
        <f>IF(('S-Table'!$B888-$C$2)*('S-Table'!$B888-$D$2)=0,IF(('S-Table'!$C888-$C$3)*('S-Table'!$C888-$D$3)=0,'S-Table'!A888,0),0)</f>
        <v>0</v>
      </c>
      <c r="H888" s="72">
        <f>IF(('S-Table'!$B888-$C$2)*('S-Table'!$B888-$D$2)=0,IF(('S-Table'!$C888-$C$3)*('S-Table'!$C888-$D$3)=0,'S-Table'!B888,0),0)</f>
        <v>0</v>
      </c>
      <c r="I888" s="72">
        <f>IF(('S-Table'!$B888-$C$2)*('S-Table'!$B888-$D$2)=0,IF(('S-Table'!$C888-$C$3)*('S-Table'!$C888-$D$3)=0,'S-Table'!C888,0),0)</f>
        <v>0</v>
      </c>
      <c r="J888" s="72">
        <f>IF(('S-Table'!$B888-$C$2)*('S-Table'!$B888-$D$2)=0,IF(('S-Table'!$C888-$C$3)*('S-Table'!$C888-$D$3)=0,'S-Table'!D888,0),0)</f>
        <v>0</v>
      </c>
      <c r="K888" s="72">
        <f>IF(('S-Table'!$B888-$C$2)*('S-Table'!$B888-$D$2)=0,IF(('S-Table'!$C888-$C$3)*('S-Table'!$C888-$D$3)=0,'S-Table'!E888,0),0)</f>
        <v>0</v>
      </c>
    </row>
    <row r="889" spans="6:11" x14ac:dyDescent="0.2">
      <c r="F889" s="72">
        <f>IF(G889=0,IF(G888=0,F888,F888+1),IF(G888=0,MAX(F$1:F888),MAX(F$1:F888)+1))</f>
        <v>25</v>
      </c>
      <c r="G889" s="72">
        <f>IF(('S-Table'!$B889-$C$2)*('S-Table'!$B889-$D$2)=0,IF(('S-Table'!$C889-$C$3)*('S-Table'!$C889-$D$3)=0,'S-Table'!A889,0),0)</f>
        <v>0</v>
      </c>
      <c r="H889" s="72">
        <f>IF(('S-Table'!$B889-$C$2)*('S-Table'!$B889-$D$2)=0,IF(('S-Table'!$C889-$C$3)*('S-Table'!$C889-$D$3)=0,'S-Table'!B889,0),0)</f>
        <v>0</v>
      </c>
      <c r="I889" s="72">
        <f>IF(('S-Table'!$B889-$C$2)*('S-Table'!$B889-$D$2)=0,IF(('S-Table'!$C889-$C$3)*('S-Table'!$C889-$D$3)=0,'S-Table'!C889,0),0)</f>
        <v>0</v>
      </c>
      <c r="J889" s="72">
        <f>IF(('S-Table'!$B889-$C$2)*('S-Table'!$B889-$D$2)=0,IF(('S-Table'!$C889-$C$3)*('S-Table'!$C889-$D$3)=0,'S-Table'!D889,0),0)</f>
        <v>0</v>
      </c>
      <c r="K889" s="72">
        <f>IF(('S-Table'!$B889-$C$2)*('S-Table'!$B889-$D$2)=0,IF(('S-Table'!$C889-$C$3)*('S-Table'!$C889-$D$3)=0,'S-Table'!E889,0),0)</f>
        <v>0</v>
      </c>
    </row>
    <row r="890" spans="6:11" x14ac:dyDescent="0.2">
      <c r="F890" s="72">
        <f>IF(G890=0,IF(G889=0,F889,F889+1),IF(G889=0,MAX(F$1:F889),MAX(F$1:F889)+1))</f>
        <v>25</v>
      </c>
      <c r="G890" s="72">
        <f>IF(('S-Table'!$B890-$C$2)*('S-Table'!$B890-$D$2)=0,IF(('S-Table'!$C890-$C$3)*('S-Table'!$C890-$D$3)=0,'S-Table'!A890,0),0)</f>
        <v>0</v>
      </c>
      <c r="H890" s="72">
        <f>IF(('S-Table'!$B890-$C$2)*('S-Table'!$B890-$D$2)=0,IF(('S-Table'!$C890-$C$3)*('S-Table'!$C890-$D$3)=0,'S-Table'!B890,0),0)</f>
        <v>0</v>
      </c>
      <c r="I890" s="72">
        <f>IF(('S-Table'!$B890-$C$2)*('S-Table'!$B890-$D$2)=0,IF(('S-Table'!$C890-$C$3)*('S-Table'!$C890-$D$3)=0,'S-Table'!C890,0),0)</f>
        <v>0</v>
      </c>
      <c r="J890" s="72">
        <f>IF(('S-Table'!$B890-$C$2)*('S-Table'!$B890-$D$2)=0,IF(('S-Table'!$C890-$C$3)*('S-Table'!$C890-$D$3)=0,'S-Table'!D890,0),0)</f>
        <v>0</v>
      </c>
      <c r="K890" s="72">
        <f>IF(('S-Table'!$B890-$C$2)*('S-Table'!$B890-$D$2)=0,IF(('S-Table'!$C890-$C$3)*('S-Table'!$C890-$D$3)=0,'S-Table'!E890,0),0)</f>
        <v>0</v>
      </c>
    </row>
    <row r="891" spans="6:11" x14ac:dyDescent="0.2">
      <c r="F891" s="72">
        <f>IF(G891=0,IF(G890=0,F890,F890+1),IF(G890=0,MAX(F$1:F890),MAX(F$1:F890)+1))</f>
        <v>25</v>
      </c>
      <c r="G891" s="72">
        <f>IF(('S-Table'!$B891-$C$2)*('S-Table'!$B891-$D$2)=0,IF(('S-Table'!$C891-$C$3)*('S-Table'!$C891-$D$3)=0,'S-Table'!A891,0),0)</f>
        <v>0</v>
      </c>
      <c r="H891" s="72">
        <f>IF(('S-Table'!$B891-$C$2)*('S-Table'!$B891-$D$2)=0,IF(('S-Table'!$C891-$C$3)*('S-Table'!$C891-$D$3)=0,'S-Table'!B891,0),0)</f>
        <v>0</v>
      </c>
      <c r="I891" s="72">
        <f>IF(('S-Table'!$B891-$C$2)*('S-Table'!$B891-$D$2)=0,IF(('S-Table'!$C891-$C$3)*('S-Table'!$C891-$D$3)=0,'S-Table'!C891,0),0)</f>
        <v>0</v>
      </c>
      <c r="J891" s="72">
        <f>IF(('S-Table'!$B891-$C$2)*('S-Table'!$B891-$D$2)=0,IF(('S-Table'!$C891-$C$3)*('S-Table'!$C891-$D$3)=0,'S-Table'!D891,0),0)</f>
        <v>0</v>
      </c>
      <c r="K891" s="72">
        <f>IF(('S-Table'!$B891-$C$2)*('S-Table'!$B891-$D$2)=0,IF(('S-Table'!$C891-$C$3)*('S-Table'!$C891-$D$3)=0,'S-Table'!E891,0),0)</f>
        <v>0</v>
      </c>
    </row>
    <row r="892" spans="6:11" x14ac:dyDescent="0.2">
      <c r="F892" s="72">
        <f>IF(G892=0,IF(G891=0,F891,F891+1),IF(G891=0,MAX(F$1:F891),MAX(F$1:F891)+1))</f>
        <v>25</v>
      </c>
      <c r="G892" s="72">
        <f>IF(('S-Table'!$B892-$C$2)*('S-Table'!$B892-$D$2)=0,IF(('S-Table'!$C892-$C$3)*('S-Table'!$C892-$D$3)=0,'S-Table'!A892,0),0)</f>
        <v>0</v>
      </c>
      <c r="H892" s="72">
        <f>IF(('S-Table'!$B892-$C$2)*('S-Table'!$B892-$D$2)=0,IF(('S-Table'!$C892-$C$3)*('S-Table'!$C892-$D$3)=0,'S-Table'!B892,0),0)</f>
        <v>0</v>
      </c>
      <c r="I892" s="72">
        <f>IF(('S-Table'!$B892-$C$2)*('S-Table'!$B892-$D$2)=0,IF(('S-Table'!$C892-$C$3)*('S-Table'!$C892-$D$3)=0,'S-Table'!C892,0),0)</f>
        <v>0</v>
      </c>
      <c r="J892" s="72">
        <f>IF(('S-Table'!$B892-$C$2)*('S-Table'!$B892-$D$2)=0,IF(('S-Table'!$C892-$C$3)*('S-Table'!$C892-$D$3)=0,'S-Table'!D892,0),0)</f>
        <v>0</v>
      </c>
      <c r="K892" s="72">
        <f>IF(('S-Table'!$B892-$C$2)*('S-Table'!$B892-$D$2)=0,IF(('S-Table'!$C892-$C$3)*('S-Table'!$C892-$D$3)=0,'S-Table'!E892,0),0)</f>
        <v>0</v>
      </c>
    </row>
    <row r="893" spans="6:11" x14ac:dyDescent="0.2">
      <c r="F893" s="72">
        <f>IF(G893=0,IF(G892=0,F892,F892+1),IF(G892=0,MAX(F$1:F892),MAX(F$1:F892)+1))</f>
        <v>25</v>
      </c>
      <c r="G893" s="72">
        <f>IF(('S-Table'!$B893-$C$2)*('S-Table'!$B893-$D$2)=0,IF(('S-Table'!$C893-$C$3)*('S-Table'!$C893-$D$3)=0,'S-Table'!A893,0),0)</f>
        <v>0</v>
      </c>
      <c r="H893" s="72">
        <f>IF(('S-Table'!$B893-$C$2)*('S-Table'!$B893-$D$2)=0,IF(('S-Table'!$C893-$C$3)*('S-Table'!$C893-$D$3)=0,'S-Table'!B893,0),0)</f>
        <v>0</v>
      </c>
      <c r="I893" s="72">
        <f>IF(('S-Table'!$B893-$C$2)*('S-Table'!$B893-$D$2)=0,IF(('S-Table'!$C893-$C$3)*('S-Table'!$C893-$D$3)=0,'S-Table'!C893,0),0)</f>
        <v>0</v>
      </c>
      <c r="J893" s="72">
        <f>IF(('S-Table'!$B893-$C$2)*('S-Table'!$B893-$D$2)=0,IF(('S-Table'!$C893-$C$3)*('S-Table'!$C893-$D$3)=0,'S-Table'!D893,0),0)</f>
        <v>0</v>
      </c>
      <c r="K893" s="72">
        <f>IF(('S-Table'!$B893-$C$2)*('S-Table'!$B893-$D$2)=0,IF(('S-Table'!$C893-$C$3)*('S-Table'!$C893-$D$3)=0,'S-Table'!E893,0),0)</f>
        <v>0</v>
      </c>
    </row>
    <row r="894" spans="6:11" x14ac:dyDescent="0.2">
      <c r="F894" s="72">
        <f>IF(G894=0,IF(G893=0,F893,F893+1),IF(G893=0,MAX(F$1:F893),MAX(F$1:F893)+1))</f>
        <v>25</v>
      </c>
      <c r="G894" s="72">
        <f>IF(('S-Table'!$B894-$C$2)*('S-Table'!$B894-$D$2)=0,IF(('S-Table'!$C894-$C$3)*('S-Table'!$C894-$D$3)=0,'S-Table'!A894,0),0)</f>
        <v>0</v>
      </c>
      <c r="H894" s="72">
        <f>IF(('S-Table'!$B894-$C$2)*('S-Table'!$B894-$D$2)=0,IF(('S-Table'!$C894-$C$3)*('S-Table'!$C894-$D$3)=0,'S-Table'!B894,0),0)</f>
        <v>0</v>
      </c>
      <c r="I894" s="72">
        <f>IF(('S-Table'!$B894-$C$2)*('S-Table'!$B894-$D$2)=0,IF(('S-Table'!$C894-$C$3)*('S-Table'!$C894-$D$3)=0,'S-Table'!C894,0),0)</f>
        <v>0</v>
      </c>
      <c r="J894" s="72">
        <f>IF(('S-Table'!$B894-$C$2)*('S-Table'!$B894-$D$2)=0,IF(('S-Table'!$C894-$C$3)*('S-Table'!$C894-$D$3)=0,'S-Table'!D894,0),0)</f>
        <v>0</v>
      </c>
      <c r="K894" s="72">
        <f>IF(('S-Table'!$B894-$C$2)*('S-Table'!$B894-$D$2)=0,IF(('S-Table'!$C894-$C$3)*('S-Table'!$C894-$D$3)=0,'S-Table'!E894,0),0)</f>
        <v>0</v>
      </c>
    </row>
    <row r="895" spans="6:11" x14ac:dyDescent="0.2">
      <c r="F895" s="72">
        <f>IF(G895=0,IF(G894=0,F894,F894+1),IF(G894=0,MAX(F$1:F894),MAX(F$1:F894)+1))</f>
        <v>25</v>
      </c>
      <c r="G895" s="72">
        <f>IF(('S-Table'!$B895-$C$2)*('S-Table'!$B895-$D$2)=0,IF(('S-Table'!$C895-$C$3)*('S-Table'!$C895-$D$3)=0,'S-Table'!A895,0),0)</f>
        <v>0</v>
      </c>
      <c r="H895" s="72">
        <f>IF(('S-Table'!$B895-$C$2)*('S-Table'!$B895-$D$2)=0,IF(('S-Table'!$C895-$C$3)*('S-Table'!$C895-$D$3)=0,'S-Table'!B895,0),0)</f>
        <v>0</v>
      </c>
      <c r="I895" s="72">
        <f>IF(('S-Table'!$B895-$C$2)*('S-Table'!$B895-$D$2)=0,IF(('S-Table'!$C895-$C$3)*('S-Table'!$C895-$D$3)=0,'S-Table'!C895,0),0)</f>
        <v>0</v>
      </c>
      <c r="J895" s="72">
        <f>IF(('S-Table'!$B895-$C$2)*('S-Table'!$B895-$D$2)=0,IF(('S-Table'!$C895-$C$3)*('S-Table'!$C895-$D$3)=0,'S-Table'!D895,0),0)</f>
        <v>0</v>
      </c>
      <c r="K895" s="72">
        <f>IF(('S-Table'!$B895-$C$2)*('S-Table'!$B895-$D$2)=0,IF(('S-Table'!$C895-$C$3)*('S-Table'!$C895-$D$3)=0,'S-Table'!E895,0),0)</f>
        <v>0</v>
      </c>
    </row>
    <row r="896" spans="6:11" x14ac:dyDescent="0.2">
      <c r="F896" s="72">
        <f>IF(G896=0,IF(G895=0,F895,F895+1),IF(G895=0,MAX(F$1:F895),MAX(F$1:F895)+1))</f>
        <v>25</v>
      </c>
      <c r="G896" s="72">
        <f>IF(('S-Table'!$B896-$C$2)*('S-Table'!$B896-$D$2)=0,IF(('S-Table'!$C896-$C$3)*('S-Table'!$C896-$D$3)=0,'S-Table'!A896,0),0)</f>
        <v>0</v>
      </c>
      <c r="H896" s="72">
        <f>IF(('S-Table'!$B896-$C$2)*('S-Table'!$B896-$D$2)=0,IF(('S-Table'!$C896-$C$3)*('S-Table'!$C896-$D$3)=0,'S-Table'!B896,0),0)</f>
        <v>0</v>
      </c>
      <c r="I896" s="72">
        <f>IF(('S-Table'!$B896-$C$2)*('S-Table'!$B896-$D$2)=0,IF(('S-Table'!$C896-$C$3)*('S-Table'!$C896-$D$3)=0,'S-Table'!C896,0),0)</f>
        <v>0</v>
      </c>
      <c r="J896" s="72">
        <f>IF(('S-Table'!$B896-$C$2)*('S-Table'!$B896-$D$2)=0,IF(('S-Table'!$C896-$C$3)*('S-Table'!$C896-$D$3)=0,'S-Table'!D896,0),0)</f>
        <v>0</v>
      </c>
      <c r="K896" s="72">
        <f>IF(('S-Table'!$B896-$C$2)*('S-Table'!$B896-$D$2)=0,IF(('S-Table'!$C896-$C$3)*('S-Table'!$C896-$D$3)=0,'S-Table'!E896,0),0)</f>
        <v>0</v>
      </c>
    </row>
    <row r="897" spans="6:11" x14ac:dyDescent="0.2">
      <c r="F897" s="72">
        <f>IF(G897=0,IF(G896=0,F896,F896+1),IF(G896=0,MAX(F$1:F896),MAX(F$1:F896)+1))</f>
        <v>25</v>
      </c>
      <c r="G897" s="72">
        <f>IF(('S-Table'!$B897-$C$2)*('S-Table'!$B897-$D$2)=0,IF(('S-Table'!$C897-$C$3)*('S-Table'!$C897-$D$3)=0,'S-Table'!A897,0),0)</f>
        <v>0</v>
      </c>
      <c r="H897" s="72">
        <f>IF(('S-Table'!$B897-$C$2)*('S-Table'!$B897-$D$2)=0,IF(('S-Table'!$C897-$C$3)*('S-Table'!$C897-$D$3)=0,'S-Table'!B897,0),0)</f>
        <v>0</v>
      </c>
      <c r="I897" s="72">
        <f>IF(('S-Table'!$B897-$C$2)*('S-Table'!$B897-$D$2)=0,IF(('S-Table'!$C897-$C$3)*('S-Table'!$C897-$D$3)=0,'S-Table'!C897,0),0)</f>
        <v>0</v>
      </c>
      <c r="J897" s="72">
        <f>IF(('S-Table'!$B897-$C$2)*('S-Table'!$B897-$D$2)=0,IF(('S-Table'!$C897-$C$3)*('S-Table'!$C897-$D$3)=0,'S-Table'!D897,0),0)</f>
        <v>0</v>
      </c>
      <c r="K897" s="72">
        <f>IF(('S-Table'!$B897-$C$2)*('S-Table'!$B897-$D$2)=0,IF(('S-Table'!$C897-$C$3)*('S-Table'!$C897-$D$3)=0,'S-Table'!E897,0),0)</f>
        <v>0</v>
      </c>
    </row>
    <row r="898" spans="6:11" x14ac:dyDescent="0.2">
      <c r="F898" s="72">
        <f>IF(G898=0,IF(G897=0,F897,F897+1),IF(G897=0,MAX(F$1:F897),MAX(F$1:F897)+1))</f>
        <v>25</v>
      </c>
      <c r="G898" s="72">
        <f>IF(('S-Table'!$B898-$C$2)*('S-Table'!$B898-$D$2)=0,IF(('S-Table'!$C898-$C$3)*('S-Table'!$C898-$D$3)=0,'S-Table'!A898,0),0)</f>
        <v>0</v>
      </c>
      <c r="H898" s="72">
        <f>IF(('S-Table'!$B898-$C$2)*('S-Table'!$B898-$D$2)=0,IF(('S-Table'!$C898-$C$3)*('S-Table'!$C898-$D$3)=0,'S-Table'!B898,0),0)</f>
        <v>0</v>
      </c>
      <c r="I898" s="72">
        <f>IF(('S-Table'!$B898-$C$2)*('S-Table'!$B898-$D$2)=0,IF(('S-Table'!$C898-$C$3)*('S-Table'!$C898-$D$3)=0,'S-Table'!C898,0),0)</f>
        <v>0</v>
      </c>
      <c r="J898" s="72">
        <f>IF(('S-Table'!$B898-$C$2)*('S-Table'!$B898-$D$2)=0,IF(('S-Table'!$C898-$C$3)*('S-Table'!$C898-$D$3)=0,'S-Table'!D898,0),0)</f>
        <v>0</v>
      </c>
      <c r="K898" s="72">
        <f>IF(('S-Table'!$B898-$C$2)*('S-Table'!$B898-$D$2)=0,IF(('S-Table'!$C898-$C$3)*('S-Table'!$C898-$D$3)=0,'S-Table'!E898,0),0)</f>
        <v>0</v>
      </c>
    </row>
    <row r="899" spans="6:11" x14ac:dyDescent="0.2">
      <c r="F899" s="72">
        <f>IF(G899=0,IF(G898=0,F898,F898+1),IF(G898=0,MAX(F$1:F898),MAX(F$1:F898)+1))</f>
        <v>25</v>
      </c>
      <c r="G899" s="72">
        <f>IF(('S-Table'!$B899-$C$2)*('S-Table'!$B899-$D$2)=0,IF(('S-Table'!$C899-$C$3)*('S-Table'!$C899-$D$3)=0,'S-Table'!A899,0),0)</f>
        <v>0</v>
      </c>
      <c r="H899" s="72">
        <f>IF(('S-Table'!$B899-$C$2)*('S-Table'!$B899-$D$2)=0,IF(('S-Table'!$C899-$C$3)*('S-Table'!$C899-$D$3)=0,'S-Table'!B899,0),0)</f>
        <v>0</v>
      </c>
      <c r="I899" s="72">
        <f>IF(('S-Table'!$B899-$C$2)*('S-Table'!$B899-$D$2)=0,IF(('S-Table'!$C899-$C$3)*('S-Table'!$C899-$D$3)=0,'S-Table'!C899,0),0)</f>
        <v>0</v>
      </c>
      <c r="J899" s="72">
        <f>IF(('S-Table'!$B899-$C$2)*('S-Table'!$B899-$D$2)=0,IF(('S-Table'!$C899-$C$3)*('S-Table'!$C899-$D$3)=0,'S-Table'!D899,0),0)</f>
        <v>0</v>
      </c>
      <c r="K899" s="72">
        <f>IF(('S-Table'!$B899-$C$2)*('S-Table'!$B899-$D$2)=0,IF(('S-Table'!$C899-$C$3)*('S-Table'!$C899-$D$3)=0,'S-Table'!E899,0),0)</f>
        <v>0</v>
      </c>
    </row>
    <row r="900" spans="6:11" x14ac:dyDescent="0.2">
      <c r="F900" s="72">
        <f>IF(G900=0,IF(G899=0,F899,F899+1),IF(G899=0,MAX(F$1:F899),MAX(F$1:F899)+1))</f>
        <v>25</v>
      </c>
      <c r="G900" s="72">
        <f>IF(('S-Table'!$B900-$C$2)*('S-Table'!$B900-$D$2)=0,IF(('S-Table'!$C900-$C$3)*('S-Table'!$C900-$D$3)=0,'S-Table'!A900,0),0)</f>
        <v>0</v>
      </c>
      <c r="H900" s="72">
        <f>IF(('S-Table'!$B900-$C$2)*('S-Table'!$B900-$D$2)=0,IF(('S-Table'!$C900-$C$3)*('S-Table'!$C900-$D$3)=0,'S-Table'!B900,0),0)</f>
        <v>0</v>
      </c>
      <c r="I900" s="72">
        <f>IF(('S-Table'!$B900-$C$2)*('S-Table'!$B900-$D$2)=0,IF(('S-Table'!$C900-$C$3)*('S-Table'!$C900-$D$3)=0,'S-Table'!C900,0),0)</f>
        <v>0</v>
      </c>
      <c r="J900" s="72">
        <f>IF(('S-Table'!$B900-$C$2)*('S-Table'!$B900-$D$2)=0,IF(('S-Table'!$C900-$C$3)*('S-Table'!$C900-$D$3)=0,'S-Table'!D900,0),0)</f>
        <v>0</v>
      </c>
      <c r="K900" s="72">
        <f>IF(('S-Table'!$B900-$C$2)*('S-Table'!$B900-$D$2)=0,IF(('S-Table'!$C900-$C$3)*('S-Table'!$C900-$D$3)=0,'S-Table'!E900,0),0)</f>
        <v>0</v>
      </c>
    </row>
    <row r="901" spans="6:11" x14ac:dyDescent="0.2">
      <c r="F901" s="72">
        <f>IF(G901=0,IF(G900=0,F900,F900+1),IF(G900=0,MAX(F$1:F900),MAX(F$1:F900)+1))</f>
        <v>25</v>
      </c>
      <c r="G901" s="72">
        <f>IF(('S-Table'!$B901-$C$2)*('S-Table'!$B901-$D$2)=0,IF(('S-Table'!$C901-$C$3)*('S-Table'!$C901-$D$3)=0,'S-Table'!A901,0),0)</f>
        <v>0</v>
      </c>
      <c r="H901" s="72">
        <f>IF(('S-Table'!$B901-$C$2)*('S-Table'!$B901-$D$2)=0,IF(('S-Table'!$C901-$C$3)*('S-Table'!$C901-$D$3)=0,'S-Table'!B901,0),0)</f>
        <v>0</v>
      </c>
      <c r="I901" s="72">
        <f>IF(('S-Table'!$B901-$C$2)*('S-Table'!$B901-$D$2)=0,IF(('S-Table'!$C901-$C$3)*('S-Table'!$C901-$D$3)=0,'S-Table'!C901,0),0)</f>
        <v>0</v>
      </c>
      <c r="J901" s="72">
        <f>IF(('S-Table'!$B901-$C$2)*('S-Table'!$B901-$D$2)=0,IF(('S-Table'!$C901-$C$3)*('S-Table'!$C901-$D$3)=0,'S-Table'!D901,0),0)</f>
        <v>0</v>
      </c>
      <c r="K901" s="72">
        <f>IF(('S-Table'!$B901-$C$2)*('S-Table'!$B901-$D$2)=0,IF(('S-Table'!$C901-$C$3)*('S-Table'!$C901-$D$3)=0,'S-Table'!E901,0),0)</f>
        <v>0</v>
      </c>
    </row>
    <row r="902" spans="6:11" x14ac:dyDescent="0.2">
      <c r="F902" s="72">
        <f>IF(G902=0,IF(G901=0,F901,F901+1),IF(G901=0,MAX(F$1:F901),MAX(F$1:F901)+1))</f>
        <v>25</v>
      </c>
      <c r="G902" s="72">
        <f>IF(('S-Table'!$B902-$C$2)*('S-Table'!$B902-$D$2)=0,IF(('S-Table'!$C902-$C$3)*('S-Table'!$C902-$D$3)=0,'S-Table'!A902,0),0)</f>
        <v>0</v>
      </c>
      <c r="H902" s="72">
        <f>IF(('S-Table'!$B902-$C$2)*('S-Table'!$B902-$D$2)=0,IF(('S-Table'!$C902-$C$3)*('S-Table'!$C902-$D$3)=0,'S-Table'!B902,0),0)</f>
        <v>0</v>
      </c>
      <c r="I902" s="72">
        <f>IF(('S-Table'!$B902-$C$2)*('S-Table'!$B902-$D$2)=0,IF(('S-Table'!$C902-$C$3)*('S-Table'!$C902-$D$3)=0,'S-Table'!C902,0),0)</f>
        <v>0</v>
      </c>
      <c r="J902" s="72">
        <f>IF(('S-Table'!$B902-$C$2)*('S-Table'!$B902-$D$2)=0,IF(('S-Table'!$C902-$C$3)*('S-Table'!$C902-$D$3)=0,'S-Table'!D902,0),0)</f>
        <v>0</v>
      </c>
      <c r="K902" s="72">
        <f>IF(('S-Table'!$B902-$C$2)*('S-Table'!$B902-$D$2)=0,IF(('S-Table'!$C902-$C$3)*('S-Table'!$C902-$D$3)=0,'S-Table'!E902,0),0)</f>
        <v>0</v>
      </c>
    </row>
    <row r="903" spans="6:11" x14ac:dyDescent="0.2">
      <c r="F903" s="72">
        <f>IF(G903=0,IF(G902=0,F902,F902+1),IF(G902=0,MAX(F$1:F902),MAX(F$1:F902)+1))</f>
        <v>25</v>
      </c>
      <c r="G903" s="72">
        <f>IF(('S-Table'!$B903-$C$2)*('S-Table'!$B903-$D$2)=0,IF(('S-Table'!$C903-$C$3)*('S-Table'!$C903-$D$3)=0,'S-Table'!A903,0),0)</f>
        <v>0</v>
      </c>
      <c r="H903" s="72">
        <f>IF(('S-Table'!$B903-$C$2)*('S-Table'!$B903-$D$2)=0,IF(('S-Table'!$C903-$C$3)*('S-Table'!$C903-$D$3)=0,'S-Table'!B903,0),0)</f>
        <v>0</v>
      </c>
      <c r="I903" s="72">
        <f>IF(('S-Table'!$B903-$C$2)*('S-Table'!$B903-$D$2)=0,IF(('S-Table'!$C903-$C$3)*('S-Table'!$C903-$D$3)=0,'S-Table'!C903,0),0)</f>
        <v>0</v>
      </c>
      <c r="J903" s="72">
        <f>IF(('S-Table'!$B903-$C$2)*('S-Table'!$B903-$D$2)=0,IF(('S-Table'!$C903-$C$3)*('S-Table'!$C903-$D$3)=0,'S-Table'!D903,0),0)</f>
        <v>0</v>
      </c>
      <c r="K903" s="72">
        <f>IF(('S-Table'!$B903-$C$2)*('S-Table'!$B903-$D$2)=0,IF(('S-Table'!$C903-$C$3)*('S-Table'!$C903-$D$3)=0,'S-Table'!E903,0),0)</f>
        <v>0</v>
      </c>
    </row>
    <row r="904" spans="6:11" x14ac:dyDescent="0.2">
      <c r="F904" s="72">
        <f>IF(G904=0,IF(G903=0,F903,F903+1),IF(G903=0,MAX(F$1:F903),MAX(F$1:F903)+1))</f>
        <v>25</v>
      </c>
      <c r="G904" s="72">
        <f>IF(('S-Table'!$B904-$C$2)*('S-Table'!$B904-$D$2)=0,IF(('S-Table'!$C904-$C$3)*('S-Table'!$C904-$D$3)=0,'S-Table'!A904,0),0)</f>
        <v>0</v>
      </c>
      <c r="H904" s="72">
        <f>IF(('S-Table'!$B904-$C$2)*('S-Table'!$B904-$D$2)=0,IF(('S-Table'!$C904-$C$3)*('S-Table'!$C904-$D$3)=0,'S-Table'!B904,0),0)</f>
        <v>0</v>
      </c>
      <c r="I904" s="72">
        <f>IF(('S-Table'!$B904-$C$2)*('S-Table'!$B904-$D$2)=0,IF(('S-Table'!$C904-$C$3)*('S-Table'!$C904-$D$3)=0,'S-Table'!C904,0),0)</f>
        <v>0</v>
      </c>
      <c r="J904" s="72">
        <f>IF(('S-Table'!$B904-$C$2)*('S-Table'!$B904-$D$2)=0,IF(('S-Table'!$C904-$C$3)*('S-Table'!$C904-$D$3)=0,'S-Table'!D904,0),0)</f>
        <v>0</v>
      </c>
      <c r="K904" s="72">
        <f>IF(('S-Table'!$B904-$C$2)*('S-Table'!$B904-$D$2)=0,IF(('S-Table'!$C904-$C$3)*('S-Table'!$C904-$D$3)=0,'S-Table'!E904,0),0)</f>
        <v>0</v>
      </c>
    </row>
    <row r="905" spans="6:11" x14ac:dyDescent="0.2">
      <c r="F905" s="72">
        <f>IF(G905=0,IF(G904=0,F904,F904+1),IF(G904=0,MAX(F$1:F904),MAX(F$1:F904)+1))</f>
        <v>25</v>
      </c>
      <c r="G905" s="72">
        <f>IF(('S-Table'!$B905-$C$2)*('S-Table'!$B905-$D$2)=0,IF(('S-Table'!$C905-$C$3)*('S-Table'!$C905-$D$3)=0,'S-Table'!A905,0),0)</f>
        <v>0</v>
      </c>
      <c r="H905" s="72">
        <f>IF(('S-Table'!$B905-$C$2)*('S-Table'!$B905-$D$2)=0,IF(('S-Table'!$C905-$C$3)*('S-Table'!$C905-$D$3)=0,'S-Table'!B905,0),0)</f>
        <v>0</v>
      </c>
      <c r="I905" s="72">
        <f>IF(('S-Table'!$B905-$C$2)*('S-Table'!$B905-$D$2)=0,IF(('S-Table'!$C905-$C$3)*('S-Table'!$C905-$D$3)=0,'S-Table'!C905,0),0)</f>
        <v>0</v>
      </c>
      <c r="J905" s="72">
        <f>IF(('S-Table'!$B905-$C$2)*('S-Table'!$B905-$D$2)=0,IF(('S-Table'!$C905-$C$3)*('S-Table'!$C905-$D$3)=0,'S-Table'!D905,0),0)</f>
        <v>0</v>
      </c>
      <c r="K905" s="72">
        <f>IF(('S-Table'!$B905-$C$2)*('S-Table'!$B905-$D$2)=0,IF(('S-Table'!$C905-$C$3)*('S-Table'!$C905-$D$3)=0,'S-Table'!E905,0),0)</f>
        <v>0</v>
      </c>
    </row>
    <row r="906" spans="6:11" x14ac:dyDescent="0.2">
      <c r="F906" s="72">
        <f>IF(G906=0,IF(G905=0,F905,F905+1),IF(G905=0,MAX(F$1:F905),MAX(F$1:F905)+1))</f>
        <v>25</v>
      </c>
      <c r="G906" s="72">
        <f>IF(('S-Table'!$B906-$C$2)*('S-Table'!$B906-$D$2)=0,IF(('S-Table'!$C906-$C$3)*('S-Table'!$C906-$D$3)=0,'S-Table'!A906,0),0)</f>
        <v>0</v>
      </c>
      <c r="H906" s="72">
        <f>IF(('S-Table'!$B906-$C$2)*('S-Table'!$B906-$D$2)=0,IF(('S-Table'!$C906-$C$3)*('S-Table'!$C906-$D$3)=0,'S-Table'!B906,0),0)</f>
        <v>0</v>
      </c>
      <c r="I906" s="72">
        <f>IF(('S-Table'!$B906-$C$2)*('S-Table'!$B906-$D$2)=0,IF(('S-Table'!$C906-$C$3)*('S-Table'!$C906-$D$3)=0,'S-Table'!C906,0),0)</f>
        <v>0</v>
      </c>
      <c r="J906" s="72">
        <f>IF(('S-Table'!$B906-$C$2)*('S-Table'!$B906-$D$2)=0,IF(('S-Table'!$C906-$C$3)*('S-Table'!$C906-$D$3)=0,'S-Table'!D906,0),0)</f>
        <v>0</v>
      </c>
      <c r="K906" s="72">
        <f>IF(('S-Table'!$B906-$C$2)*('S-Table'!$B906-$D$2)=0,IF(('S-Table'!$C906-$C$3)*('S-Table'!$C906-$D$3)=0,'S-Table'!E906,0),0)</f>
        <v>0</v>
      </c>
    </row>
    <row r="907" spans="6:11" x14ac:dyDescent="0.2">
      <c r="F907" s="72">
        <f>IF(G907=0,IF(G906=0,F906,F906+1),IF(G906=0,MAX(F$1:F906),MAX(F$1:F906)+1))</f>
        <v>25</v>
      </c>
      <c r="G907" s="72">
        <f>IF(('S-Table'!$B907-$C$2)*('S-Table'!$B907-$D$2)=0,IF(('S-Table'!$C907-$C$3)*('S-Table'!$C907-$D$3)=0,'S-Table'!A907,0),0)</f>
        <v>0</v>
      </c>
      <c r="H907" s="72">
        <f>IF(('S-Table'!$B907-$C$2)*('S-Table'!$B907-$D$2)=0,IF(('S-Table'!$C907-$C$3)*('S-Table'!$C907-$D$3)=0,'S-Table'!B907,0),0)</f>
        <v>0</v>
      </c>
      <c r="I907" s="72">
        <f>IF(('S-Table'!$B907-$C$2)*('S-Table'!$B907-$D$2)=0,IF(('S-Table'!$C907-$C$3)*('S-Table'!$C907-$D$3)=0,'S-Table'!C907,0),0)</f>
        <v>0</v>
      </c>
      <c r="J907" s="72">
        <f>IF(('S-Table'!$B907-$C$2)*('S-Table'!$B907-$D$2)=0,IF(('S-Table'!$C907-$C$3)*('S-Table'!$C907-$D$3)=0,'S-Table'!D907,0),0)</f>
        <v>0</v>
      </c>
      <c r="K907" s="72">
        <f>IF(('S-Table'!$B907-$C$2)*('S-Table'!$B907-$D$2)=0,IF(('S-Table'!$C907-$C$3)*('S-Table'!$C907-$D$3)=0,'S-Table'!E907,0),0)</f>
        <v>0</v>
      </c>
    </row>
    <row r="908" spans="6:11" x14ac:dyDescent="0.2">
      <c r="F908" s="72">
        <f>IF(G908=0,IF(G907=0,F907,F907+1),IF(G907=0,MAX(F$1:F907),MAX(F$1:F907)+1))</f>
        <v>25</v>
      </c>
      <c r="G908" s="72">
        <f>IF(('S-Table'!$B908-$C$2)*('S-Table'!$B908-$D$2)=0,IF(('S-Table'!$C908-$C$3)*('S-Table'!$C908-$D$3)=0,'S-Table'!A908,0),0)</f>
        <v>0</v>
      </c>
      <c r="H908" s="72">
        <f>IF(('S-Table'!$B908-$C$2)*('S-Table'!$B908-$D$2)=0,IF(('S-Table'!$C908-$C$3)*('S-Table'!$C908-$D$3)=0,'S-Table'!B908,0),0)</f>
        <v>0</v>
      </c>
      <c r="I908" s="72">
        <f>IF(('S-Table'!$B908-$C$2)*('S-Table'!$B908-$D$2)=0,IF(('S-Table'!$C908-$C$3)*('S-Table'!$C908-$D$3)=0,'S-Table'!C908,0),0)</f>
        <v>0</v>
      </c>
      <c r="J908" s="72">
        <f>IF(('S-Table'!$B908-$C$2)*('S-Table'!$B908-$D$2)=0,IF(('S-Table'!$C908-$C$3)*('S-Table'!$C908-$D$3)=0,'S-Table'!D908,0),0)</f>
        <v>0</v>
      </c>
      <c r="K908" s="72">
        <f>IF(('S-Table'!$B908-$C$2)*('S-Table'!$B908-$D$2)=0,IF(('S-Table'!$C908-$C$3)*('S-Table'!$C908-$D$3)=0,'S-Table'!E908,0),0)</f>
        <v>0</v>
      </c>
    </row>
    <row r="909" spans="6:11" x14ac:dyDescent="0.2">
      <c r="F909" s="72">
        <f>IF(G909=0,IF(G908=0,F908,F908+1),IF(G908=0,MAX(F$1:F908),MAX(F$1:F908)+1))</f>
        <v>25</v>
      </c>
      <c r="G909" s="72">
        <f>IF(('S-Table'!$B909-$C$2)*('S-Table'!$B909-$D$2)=0,IF(('S-Table'!$C909-$C$3)*('S-Table'!$C909-$D$3)=0,'S-Table'!A909,0),0)</f>
        <v>0</v>
      </c>
      <c r="H909" s="72">
        <f>IF(('S-Table'!$B909-$C$2)*('S-Table'!$B909-$D$2)=0,IF(('S-Table'!$C909-$C$3)*('S-Table'!$C909-$D$3)=0,'S-Table'!B909,0),0)</f>
        <v>0</v>
      </c>
      <c r="I909" s="72">
        <f>IF(('S-Table'!$B909-$C$2)*('S-Table'!$B909-$D$2)=0,IF(('S-Table'!$C909-$C$3)*('S-Table'!$C909-$D$3)=0,'S-Table'!C909,0),0)</f>
        <v>0</v>
      </c>
      <c r="J909" s="72">
        <f>IF(('S-Table'!$B909-$C$2)*('S-Table'!$B909-$D$2)=0,IF(('S-Table'!$C909-$C$3)*('S-Table'!$C909-$D$3)=0,'S-Table'!D909,0),0)</f>
        <v>0</v>
      </c>
      <c r="K909" s="72">
        <f>IF(('S-Table'!$B909-$C$2)*('S-Table'!$B909-$D$2)=0,IF(('S-Table'!$C909-$C$3)*('S-Table'!$C909-$D$3)=0,'S-Table'!E909,0),0)</f>
        <v>0</v>
      </c>
    </row>
    <row r="910" spans="6:11" x14ac:dyDescent="0.2">
      <c r="F910" s="72">
        <f>IF(G910=0,IF(G909=0,F909,F909+1),IF(G909=0,MAX(F$1:F909),MAX(F$1:F909)+1))</f>
        <v>25</v>
      </c>
      <c r="G910" s="72">
        <f>IF(('S-Table'!$B910-$C$2)*('S-Table'!$B910-$D$2)=0,IF(('S-Table'!$C910-$C$3)*('S-Table'!$C910-$D$3)=0,'S-Table'!A910,0),0)</f>
        <v>0</v>
      </c>
      <c r="H910" s="72">
        <f>IF(('S-Table'!$B910-$C$2)*('S-Table'!$B910-$D$2)=0,IF(('S-Table'!$C910-$C$3)*('S-Table'!$C910-$D$3)=0,'S-Table'!B910,0),0)</f>
        <v>0</v>
      </c>
      <c r="I910" s="72">
        <f>IF(('S-Table'!$B910-$C$2)*('S-Table'!$B910-$D$2)=0,IF(('S-Table'!$C910-$C$3)*('S-Table'!$C910-$D$3)=0,'S-Table'!C910,0),0)</f>
        <v>0</v>
      </c>
      <c r="J910" s="72">
        <f>IF(('S-Table'!$B910-$C$2)*('S-Table'!$B910-$D$2)=0,IF(('S-Table'!$C910-$C$3)*('S-Table'!$C910-$D$3)=0,'S-Table'!D910,0),0)</f>
        <v>0</v>
      </c>
      <c r="K910" s="72">
        <f>IF(('S-Table'!$B910-$C$2)*('S-Table'!$B910-$D$2)=0,IF(('S-Table'!$C910-$C$3)*('S-Table'!$C910-$D$3)=0,'S-Table'!E910,0),0)</f>
        <v>0</v>
      </c>
    </row>
    <row r="911" spans="6:11" x14ac:dyDescent="0.2">
      <c r="F911" s="72">
        <f>IF(G911=0,IF(G910=0,F910,F910+1),IF(G910=0,MAX(F$1:F910),MAX(F$1:F910)+1))</f>
        <v>25</v>
      </c>
      <c r="G911" s="72">
        <f>IF(('S-Table'!$B911-$C$2)*('S-Table'!$B911-$D$2)=0,IF(('S-Table'!$C911-$C$3)*('S-Table'!$C911-$D$3)=0,'S-Table'!A911,0),0)</f>
        <v>0</v>
      </c>
      <c r="H911" s="72">
        <f>IF(('S-Table'!$B911-$C$2)*('S-Table'!$B911-$D$2)=0,IF(('S-Table'!$C911-$C$3)*('S-Table'!$C911-$D$3)=0,'S-Table'!B911,0),0)</f>
        <v>0</v>
      </c>
      <c r="I911" s="72">
        <f>IF(('S-Table'!$B911-$C$2)*('S-Table'!$B911-$D$2)=0,IF(('S-Table'!$C911-$C$3)*('S-Table'!$C911-$D$3)=0,'S-Table'!C911,0),0)</f>
        <v>0</v>
      </c>
      <c r="J911" s="72">
        <f>IF(('S-Table'!$B911-$C$2)*('S-Table'!$B911-$D$2)=0,IF(('S-Table'!$C911-$C$3)*('S-Table'!$C911-$D$3)=0,'S-Table'!D911,0),0)</f>
        <v>0</v>
      </c>
      <c r="K911" s="72">
        <f>IF(('S-Table'!$B911-$C$2)*('S-Table'!$B911-$D$2)=0,IF(('S-Table'!$C911-$C$3)*('S-Table'!$C911-$D$3)=0,'S-Table'!E911,0),0)</f>
        <v>0</v>
      </c>
    </row>
    <row r="912" spans="6:11" x14ac:dyDescent="0.2">
      <c r="F912" s="72">
        <f>IF(G912=0,IF(G911=0,F911,F911+1),IF(G911=0,MAX(F$1:F911),MAX(F$1:F911)+1))</f>
        <v>25</v>
      </c>
      <c r="G912" s="72">
        <f>IF(('S-Table'!$B912-$C$2)*('S-Table'!$B912-$D$2)=0,IF(('S-Table'!$C912-$C$3)*('S-Table'!$C912-$D$3)=0,'S-Table'!A912,0),0)</f>
        <v>0</v>
      </c>
      <c r="H912" s="72">
        <f>IF(('S-Table'!$B912-$C$2)*('S-Table'!$B912-$D$2)=0,IF(('S-Table'!$C912-$C$3)*('S-Table'!$C912-$D$3)=0,'S-Table'!B912,0),0)</f>
        <v>0</v>
      </c>
      <c r="I912" s="72">
        <f>IF(('S-Table'!$B912-$C$2)*('S-Table'!$B912-$D$2)=0,IF(('S-Table'!$C912-$C$3)*('S-Table'!$C912-$D$3)=0,'S-Table'!C912,0),0)</f>
        <v>0</v>
      </c>
      <c r="J912" s="72">
        <f>IF(('S-Table'!$B912-$C$2)*('S-Table'!$B912-$D$2)=0,IF(('S-Table'!$C912-$C$3)*('S-Table'!$C912-$D$3)=0,'S-Table'!D912,0),0)</f>
        <v>0</v>
      </c>
      <c r="K912" s="72">
        <f>IF(('S-Table'!$B912-$C$2)*('S-Table'!$B912-$D$2)=0,IF(('S-Table'!$C912-$C$3)*('S-Table'!$C912-$D$3)=0,'S-Table'!E912,0),0)</f>
        <v>0</v>
      </c>
    </row>
    <row r="913" spans="6:11" x14ac:dyDescent="0.2">
      <c r="F913" s="72">
        <f>IF(G913=0,IF(G912=0,F912,F912+1),IF(G912=0,MAX(F$1:F912),MAX(F$1:F912)+1))</f>
        <v>25</v>
      </c>
      <c r="G913" s="72">
        <f>IF(('S-Table'!$B913-$C$2)*('S-Table'!$B913-$D$2)=0,IF(('S-Table'!$C913-$C$3)*('S-Table'!$C913-$D$3)=0,'S-Table'!A913,0),0)</f>
        <v>0</v>
      </c>
      <c r="H913" s="72">
        <f>IF(('S-Table'!$B913-$C$2)*('S-Table'!$B913-$D$2)=0,IF(('S-Table'!$C913-$C$3)*('S-Table'!$C913-$D$3)=0,'S-Table'!B913,0),0)</f>
        <v>0</v>
      </c>
      <c r="I913" s="72">
        <f>IF(('S-Table'!$B913-$C$2)*('S-Table'!$B913-$D$2)=0,IF(('S-Table'!$C913-$C$3)*('S-Table'!$C913-$D$3)=0,'S-Table'!C913,0),0)</f>
        <v>0</v>
      </c>
      <c r="J913" s="72">
        <f>IF(('S-Table'!$B913-$C$2)*('S-Table'!$B913-$D$2)=0,IF(('S-Table'!$C913-$C$3)*('S-Table'!$C913-$D$3)=0,'S-Table'!D913,0),0)</f>
        <v>0</v>
      </c>
      <c r="K913" s="72">
        <f>IF(('S-Table'!$B913-$C$2)*('S-Table'!$B913-$D$2)=0,IF(('S-Table'!$C913-$C$3)*('S-Table'!$C913-$D$3)=0,'S-Table'!E913,0),0)</f>
        <v>0</v>
      </c>
    </row>
    <row r="914" spans="6:11" x14ac:dyDescent="0.2">
      <c r="F914" s="72">
        <f>IF(G914=0,IF(G913=0,F913,F913+1),IF(G913=0,MAX(F$1:F913),MAX(F$1:F913)+1))</f>
        <v>25</v>
      </c>
      <c r="G914" s="72">
        <f>IF(('S-Table'!$B914-$C$2)*('S-Table'!$B914-$D$2)=0,IF(('S-Table'!$C914-$C$3)*('S-Table'!$C914-$D$3)=0,'S-Table'!A914,0),0)</f>
        <v>0</v>
      </c>
      <c r="H914" s="72">
        <f>IF(('S-Table'!$B914-$C$2)*('S-Table'!$B914-$D$2)=0,IF(('S-Table'!$C914-$C$3)*('S-Table'!$C914-$D$3)=0,'S-Table'!B914,0),0)</f>
        <v>0</v>
      </c>
      <c r="I914" s="72">
        <f>IF(('S-Table'!$B914-$C$2)*('S-Table'!$B914-$D$2)=0,IF(('S-Table'!$C914-$C$3)*('S-Table'!$C914-$D$3)=0,'S-Table'!C914,0),0)</f>
        <v>0</v>
      </c>
      <c r="J914" s="72">
        <f>IF(('S-Table'!$B914-$C$2)*('S-Table'!$B914-$D$2)=0,IF(('S-Table'!$C914-$C$3)*('S-Table'!$C914-$D$3)=0,'S-Table'!D914,0),0)</f>
        <v>0</v>
      </c>
      <c r="K914" s="72">
        <f>IF(('S-Table'!$B914-$C$2)*('S-Table'!$B914-$D$2)=0,IF(('S-Table'!$C914-$C$3)*('S-Table'!$C914-$D$3)=0,'S-Table'!E914,0),0)</f>
        <v>0</v>
      </c>
    </row>
    <row r="915" spans="6:11" x14ac:dyDescent="0.2">
      <c r="F915" s="72">
        <f>IF(G915=0,IF(G914=0,F914,F914+1),IF(G914=0,MAX(F$1:F914),MAX(F$1:F914)+1))</f>
        <v>25</v>
      </c>
      <c r="G915" s="72">
        <f>IF(('S-Table'!$B915-$C$2)*('S-Table'!$B915-$D$2)=0,IF(('S-Table'!$C915-$C$3)*('S-Table'!$C915-$D$3)=0,'S-Table'!A915,0),0)</f>
        <v>0</v>
      </c>
      <c r="H915" s="72">
        <f>IF(('S-Table'!$B915-$C$2)*('S-Table'!$B915-$D$2)=0,IF(('S-Table'!$C915-$C$3)*('S-Table'!$C915-$D$3)=0,'S-Table'!B915,0),0)</f>
        <v>0</v>
      </c>
      <c r="I915" s="72">
        <f>IF(('S-Table'!$B915-$C$2)*('S-Table'!$B915-$D$2)=0,IF(('S-Table'!$C915-$C$3)*('S-Table'!$C915-$D$3)=0,'S-Table'!C915,0),0)</f>
        <v>0</v>
      </c>
      <c r="J915" s="72">
        <f>IF(('S-Table'!$B915-$C$2)*('S-Table'!$B915-$D$2)=0,IF(('S-Table'!$C915-$C$3)*('S-Table'!$C915-$D$3)=0,'S-Table'!D915,0),0)</f>
        <v>0</v>
      </c>
      <c r="K915" s="72">
        <f>IF(('S-Table'!$B915-$C$2)*('S-Table'!$B915-$D$2)=0,IF(('S-Table'!$C915-$C$3)*('S-Table'!$C915-$D$3)=0,'S-Table'!E915,0),0)</f>
        <v>0</v>
      </c>
    </row>
    <row r="916" spans="6:11" x14ac:dyDescent="0.2">
      <c r="F916" s="72">
        <f>IF(G916=0,IF(G915=0,F915,F915+1),IF(G915=0,MAX(F$1:F915),MAX(F$1:F915)+1))</f>
        <v>25</v>
      </c>
      <c r="G916" s="72">
        <f>IF(('S-Table'!$B916-$C$2)*('S-Table'!$B916-$D$2)=0,IF(('S-Table'!$C916-$C$3)*('S-Table'!$C916-$D$3)=0,'S-Table'!A916,0),0)</f>
        <v>0</v>
      </c>
      <c r="H916" s="72">
        <f>IF(('S-Table'!$B916-$C$2)*('S-Table'!$B916-$D$2)=0,IF(('S-Table'!$C916-$C$3)*('S-Table'!$C916-$D$3)=0,'S-Table'!B916,0),0)</f>
        <v>0</v>
      </c>
      <c r="I916" s="72">
        <f>IF(('S-Table'!$B916-$C$2)*('S-Table'!$B916-$D$2)=0,IF(('S-Table'!$C916-$C$3)*('S-Table'!$C916-$D$3)=0,'S-Table'!C916,0),0)</f>
        <v>0</v>
      </c>
      <c r="J916" s="72">
        <f>IF(('S-Table'!$B916-$C$2)*('S-Table'!$B916-$D$2)=0,IF(('S-Table'!$C916-$C$3)*('S-Table'!$C916-$D$3)=0,'S-Table'!D916,0),0)</f>
        <v>0</v>
      </c>
      <c r="K916" s="72">
        <f>IF(('S-Table'!$B916-$C$2)*('S-Table'!$B916-$D$2)=0,IF(('S-Table'!$C916-$C$3)*('S-Table'!$C916-$D$3)=0,'S-Table'!E916,0),0)</f>
        <v>0</v>
      </c>
    </row>
    <row r="917" spans="6:11" x14ac:dyDescent="0.2">
      <c r="F917" s="72">
        <f>IF(G917=0,IF(G916=0,F916,F916+1),IF(G916=0,MAX(F$1:F916),MAX(F$1:F916)+1))</f>
        <v>25</v>
      </c>
      <c r="G917" s="72">
        <f>IF(('S-Table'!$B917-$C$2)*('S-Table'!$B917-$D$2)=0,IF(('S-Table'!$C917-$C$3)*('S-Table'!$C917-$D$3)=0,'S-Table'!A917,0),0)</f>
        <v>0</v>
      </c>
      <c r="H917" s="72">
        <f>IF(('S-Table'!$B917-$C$2)*('S-Table'!$B917-$D$2)=0,IF(('S-Table'!$C917-$C$3)*('S-Table'!$C917-$D$3)=0,'S-Table'!B917,0),0)</f>
        <v>0</v>
      </c>
      <c r="I917" s="72">
        <f>IF(('S-Table'!$B917-$C$2)*('S-Table'!$B917-$D$2)=0,IF(('S-Table'!$C917-$C$3)*('S-Table'!$C917-$D$3)=0,'S-Table'!C917,0),0)</f>
        <v>0</v>
      </c>
      <c r="J917" s="72">
        <f>IF(('S-Table'!$B917-$C$2)*('S-Table'!$B917-$D$2)=0,IF(('S-Table'!$C917-$C$3)*('S-Table'!$C917-$D$3)=0,'S-Table'!D917,0),0)</f>
        <v>0</v>
      </c>
      <c r="K917" s="72">
        <f>IF(('S-Table'!$B917-$C$2)*('S-Table'!$B917-$D$2)=0,IF(('S-Table'!$C917-$C$3)*('S-Table'!$C917-$D$3)=0,'S-Table'!E917,0),0)</f>
        <v>0</v>
      </c>
    </row>
    <row r="918" spans="6:11" x14ac:dyDescent="0.2">
      <c r="F918" s="72">
        <f>IF(G918=0,IF(G917=0,F917,F917+1),IF(G917=0,MAX(F$1:F917),MAX(F$1:F917)+1))</f>
        <v>25</v>
      </c>
      <c r="G918" s="72">
        <f>IF(('S-Table'!$B918-$C$2)*('S-Table'!$B918-$D$2)=0,IF(('S-Table'!$C918-$C$3)*('S-Table'!$C918-$D$3)=0,'S-Table'!A918,0),0)</f>
        <v>0</v>
      </c>
      <c r="H918" s="72">
        <f>IF(('S-Table'!$B918-$C$2)*('S-Table'!$B918-$D$2)=0,IF(('S-Table'!$C918-$C$3)*('S-Table'!$C918-$D$3)=0,'S-Table'!B918,0),0)</f>
        <v>0</v>
      </c>
      <c r="I918" s="72">
        <f>IF(('S-Table'!$B918-$C$2)*('S-Table'!$B918-$D$2)=0,IF(('S-Table'!$C918-$C$3)*('S-Table'!$C918-$D$3)=0,'S-Table'!C918,0),0)</f>
        <v>0</v>
      </c>
      <c r="J918" s="72">
        <f>IF(('S-Table'!$B918-$C$2)*('S-Table'!$B918-$D$2)=0,IF(('S-Table'!$C918-$C$3)*('S-Table'!$C918-$D$3)=0,'S-Table'!D918,0),0)</f>
        <v>0</v>
      </c>
      <c r="K918" s="72">
        <f>IF(('S-Table'!$B918-$C$2)*('S-Table'!$B918-$D$2)=0,IF(('S-Table'!$C918-$C$3)*('S-Table'!$C918-$D$3)=0,'S-Table'!E918,0),0)</f>
        <v>0</v>
      </c>
    </row>
    <row r="919" spans="6:11" x14ac:dyDescent="0.2">
      <c r="F919" s="72">
        <f>IF(G919=0,IF(G918=0,F918,F918+1),IF(G918=0,MAX(F$1:F918),MAX(F$1:F918)+1))</f>
        <v>25</v>
      </c>
      <c r="G919" s="72">
        <f>IF(('S-Table'!$B919-$C$2)*('S-Table'!$B919-$D$2)=0,IF(('S-Table'!$C919-$C$3)*('S-Table'!$C919-$D$3)=0,'S-Table'!A919,0),0)</f>
        <v>0</v>
      </c>
      <c r="H919" s="72">
        <f>IF(('S-Table'!$B919-$C$2)*('S-Table'!$B919-$D$2)=0,IF(('S-Table'!$C919-$C$3)*('S-Table'!$C919-$D$3)=0,'S-Table'!B919,0),0)</f>
        <v>0</v>
      </c>
      <c r="I919" s="72">
        <f>IF(('S-Table'!$B919-$C$2)*('S-Table'!$B919-$D$2)=0,IF(('S-Table'!$C919-$C$3)*('S-Table'!$C919-$D$3)=0,'S-Table'!C919,0),0)</f>
        <v>0</v>
      </c>
      <c r="J919" s="72">
        <f>IF(('S-Table'!$B919-$C$2)*('S-Table'!$B919-$D$2)=0,IF(('S-Table'!$C919-$C$3)*('S-Table'!$C919-$D$3)=0,'S-Table'!D919,0),0)</f>
        <v>0</v>
      </c>
      <c r="K919" s="72">
        <f>IF(('S-Table'!$B919-$C$2)*('S-Table'!$B919-$D$2)=0,IF(('S-Table'!$C919-$C$3)*('S-Table'!$C919-$D$3)=0,'S-Table'!E919,0),0)</f>
        <v>0</v>
      </c>
    </row>
    <row r="920" spans="6:11" x14ac:dyDescent="0.2">
      <c r="F920" s="72">
        <f>IF(G920=0,IF(G919=0,F919,F919+1),IF(G919=0,MAX(F$1:F919),MAX(F$1:F919)+1))</f>
        <v>25</v>
      </c>
      <c r="G920" s="72">
        <f>IF(('S-Table'!$B920-$C$2)*('S-Table'!$B920-$D$2)=0,IF(('S-Table'!$C920-$C$3)*('S-Table'!$C920-$D$3)=0,'S-Table'!A920,0),0)</f>
        <v>0</v>
      </c>
      <c r="H920" s="72">
        <f>IF(('S-Table'!$B920-$C$2)*('S-Table'!$B920-$D$2)=0,IF(('S-Table'!$C920-$C$3)*('S-Table'!$C920-$D$3)=0,'S-Table'!B920,0),0)</f>
        <v>0</v>
      </c>
      <c r="I920" s="72">
        <f>IF(('S-Table'!$B920-$C$2)*('S-Table'!$B920-$D$2)=0,IF(('S-Table'!$C920-$C$3)*('S-Table'!$C920-$D$3)=0,'S-Table'!C920,0),0)</f>
        <v>0</v>
      </c>
      <c r="J920" s="72">
        <f>IF(('S-Table'!$B920-$C$2)*('S-Table'!$B920-$D$2)=0,IF(('S-Table'!$C920-$C$3)*('S-Table'!$C920-$D$3)=0,'S-Table'!D920,0),0)</f>
        <v>0</v>
      </c>
      <c r="K920" s="72">
        <f>IF(('S-Table'!$B920-$C$2)*('S-Table'!$B920-$D$2)=0,IF(('S-Table'!$C920-$C$3)*('S-Table'!$C920-$D$3)=0,'S-Table'!E920,0),0)</f>
        <v>0</v>
      </c>
    </row>
    <row r="921" spans="6:11" x14ac:dyDescent="0.2">
      <c r="F921" s="72">
        <f>IF(G921=0,IF(G920=0,F920,F920+1),IF(G920=0,MAX(F$1:F920),MAX(F$1:F920)+1))</f>
        <v>25</v>
      </c>
      <c r="G921" s="72">
        <f>IF(('S-Table'!$B921-$C$2)*('S-Table'!$B921-$D$2)=0,IF(('S-Table'!$C921-$C$3)*('S-Table'!$C921-$D$3)=0,'S-Table'!A921,0),0)</f>
        <v>0</v>
      </c>
      <c r="H921" s="72">
        <f>IF(('S-Table'!$B921-$C$2)*('S-Table'!$B921-$D$2)=0,IF(('S-Table'!$C921-$C$3)*('S-Table'!$C921-$D$3)=0,'S-Table'!B921,0),0)</f>
        <v>0</v>
      </c>
      <c r="I921" s="72">
        <f>IF(('S-Table'!$B921-$C$2)*('S-Table'!$B921-$D$2)=0,IF(('S-Table'!$C921-$C$3)*('S-Table'!$C921-$D$3)=0,'S-Table'!C921,0),0)</f>
        <v>0</v>
      </c>
      <c r="J921" s="72">
        <f>IF(('S-Table'!$B921-$C$2)*('S-Table'!$B921-$D$2)=0,IF(('S-Table'!$C921-$C$3)*('S-Table'!$C921-$D$3)=0,'S-Table'!D921,0),0)</f>
        <v>0</v>
      </c>
      <c r="K921" s="72">
        <f>IF(('S-Table'!$B921-$C$2)*('S-Table'!$B921-$D$2)=0,IF(('S-Table'!$C921-$C$3)*('S-Table'!$C921-$D$3)=0,'S-Table'!E921,0),0)</f>
        <v>0</v>
      </c>
    </row>
    <row r="922" spans="6:11" x14ac:dyDescent="0.2">
      <c r="F922" s="72">
        <f>IF(G922=0,IF(G921=0,F921,F921+1),IF(G921=0,MAX(F$1:F921),MAX(F$1:F921)+1))</f>
        <v>25</v>
      </c>
      <c r="G922" s="72">
        <f>IF(('S-Table'!$B922-$C$2)*('S-Table'!$B922-$D$2)=0,IF(('S-Table'!$C922-$C$3)*('S-Table'!$C922-$D$3)=0,'S-Table'!A922,0),0)</f>
        <v>0</v>
      </c>
      <c r="H922" s="72">
        <f>IF(('S-Table'!$B922-$C$2)*('S-Table'!$B922-$D$2)=0,IF(('S-Table'!$C922-$C$3)*('S-Table'!$C922-$D$3)=0,'S-Table'!B922,0),0)</f>
        <v>0</v>
      </c>
      <c r="I922" s="72">
        <f>IF(('S-Table'!$B922-$C$2)*('S-Table'!$B922-$D$2)=0,IF(('S-Table'!$C922-$C$3)*('S-Table'!$C922-$D$3)=0,'S-Table'!C922,0),0)</f>
        <v>0</v>
      </c>
      <c r="J922" s="72">
        <f>IF(('S-Table'!$B922-$C$2)*('S-Table'!$B922-$D$2)=0,IF(('S-Table'!$C922-$C$3)*('S-Table'!$C922-$D$3)=0,'S-Table'!D922,0),0)</f>
        <v>0</v>
      </c>
      <c r="K922" s="72">
        <f>IF(('S-Table'!$B922-$C$2)*('S-Table'!$B922-$D$2)=0,IF(('S-Table'!$C922-$C$3)*('S-Table'!$C922-$D$3)=0,'S-Table'!E922,0),0)</f>
        <v>0</v>
      </c>
    </row>
    <row r="923" spans="6:11" x14ac:dyDescent="0.2">
      <c r="F923" s="72">
        <f>IF(G923=0,IF(G922=0,F922,F922+1),IF(G922=0,MAX(F$1:F922),MAX(F$1:F922)+1))</f>
        <v>25</v>
      </c>
      <c r="G923" s="72">
        <f>IF(('S-Table'!$B923-$C$2)*('S-Table'!$B923-$D$2)=0,IF(('S-Table'!$C923-$C$3)*('S-Table'!$C923-$D$3)=0,'S-Table'!A923,0),0)</f>
        <v>0</v>
      </c>
      <c r="H923" s="72">
        <f>IF(('S-Table'!$B923-$C$2)*('S-Table'!$B923-$D$2)=0,IF(('S-Table'!$C923-$C$3)*('S-Table'!$C923-$D$3)=0,'S-Table'!B923,0),0)</f>
        <v>0</v>
      </c>
      <c r="I923" s="72">
        <f>IF(('S-Table'!$B923-$C$2)*('S-Table'!$B923-$D$2)=0,IF(('S-Table'!$C923-$C$3)*('S-Table'!$C923-$D$3)=0,'S-Table'!C923,0),0)</f>
        <v>0</v>
      </c>
      <c r="J923" s="72">
        <f>IF(('S-Table'!$B923-$C$2)*('S-Table'!$B923-$D$2)=0,IF(('S-Table'!$C923-$C$3)*('S-Table'!$C923-$D$3)=0,'S-Table'!D923,0),0)</f>
        <v>0</v>
      </c>
      <c r="K923" s="72">
        <f>IF(('S-Table'!$B923-$C$2)*('S-Table'!$B923-$D$2)=0,IF(('S-Table'!$C923-$C$3)*('S-Table'!$C923-$D$3)=0,'S-Table'!E923,0),0)</f>
        <v>0</v>
      </c>
    </row>
    <row r="924" spans="6:11" x14ac:dyDescent="0.2">
      <c r="F924" s="72">
        <f>IF(G924=0,IF(G923=0,F923,F923+1),IF(G923=0,MAX(F$1:F923),MAX(F$1:F923)+1))</f>
        <v>25</v>
      </c>
      <c r="G924" s="72">
        <f>IF(('S-Table'!$B924-$C$2)*('S-Table'!$B924-$D$2)=0,IF(('S-Table'!$C924-$C$3)*('S-Table'!$C924-$D$3)=0,'S-Table'!A924,0),0)</f>
        <v>0</v>
      </c>
      <c r="H924" s="72">
        <f>IF(('S-Table'!$B924-$C$2)*('S-Table'!$B924-$D$2)=0,IF(('S-Table'!$C924-$C$3)*('S-Table'!$C924-$D$3)=0,'S-Table'!B924,0),0)</f>
        <v>0</v>
      </c>
      <c r="I924" s="72">
        <f>IF(('S-Table'!$B924-$C$2)*('S-Table'!$B924-$D$2)=0,IF(('S-Table'!$C924-$C$3)*('S-Table'!$C924-$D$3)=0,'S-Table'!C924,0),0)</f>
        <v>0</v>
      </c>
      <c r="J924" s="72">
        <f>IF(('S-Table'!$B924-$C$2)*('S-Table'!$B924-$D$2)=0,IF(('S-Table'!$C924-$C$3)*('S-Table'!$C924-$D$3)=0,'S-Table'!D924,0),0)</f>
        <v>0</v>
      </c>
      <c r="K924" s="72">
        <f>IF(('S-Table'!$B924-$C$2)*('S-Table'!$B924-$D$2)=0,IF(('S-Table'!$C924-$C$3)*('S-Table'!$C924-$D$3)=0,'S-Table'!E924,0),0)</f>
        <v>0</v>
      </c>
    </row>
    <row r="925" spans="6:11" x14ac:dyDescent="0.2">
      <c r="F925" s="72">
        <f>IF(G925=0,IF(G924=0,F924,F924+1),IF(G924=0,MAX(F$1:F924),MAX(F$1:F924)+1))</f>
        <v>25</v>
      </c>
      <c r="G925" s="72">
        <f>IF(('S-Table'!$B925-$C$2)*('S-Table'!$B925-$D$2)=0,IF(('S-Table'!$C925-$C$3)*('S-Table'!$C925-$D$3)=0,'S-Table'!A925,0),0)</f>
        <v>0</v>
      </c>
      <c r="H925" s="72">
        <f>IF(('S-Table'!$B925-$C$2)*('S-Table'!$B925-$D$2)=0,IF(('S-Table'!$C925-$C$3)*('S-Table'!$C925-$D$3)=0,'S-Table'!B925,0),0)</f>
        <v>0</v>
      </c>
      <c r="I925" s="72">
        <f>IF(('S-Table'!$B925-$C$2)*('S-Table'!$B925-$D$2)=0,IF(('S-Table'!$C925-$C$3)*('S-Table'!$C925-$D$3)=0,'S-Table'!C925,0),0)</f>
        <v>0</v>
      </c>
      <c r="J925" s="72">
        <f>IF(('S-Table'!$B925-$C$2)*('S-Table'!$B925-$D$2)=0,IF(('S-Table'!$C925-$C$3)*('S-Table'!$C925-$D$3)=0,'S-Table'!D925,0),0)</f>
        <v>0</v>
      </c>
      <c r="K925" s="72">
        <f>IF(('S-Table'!$B925-$C$2)*('S-Table'!$B925-$D$2)=0,IF(('S-Table'!$C925-$C$3)*('S-Table'!$C925-$D$3)=0,'S-Table'!E925,0),0)</f>
        <v>0</v>
      </c>
    </row>
    <row r="926" spans="6:11" x14ac:dyDescent="0.2">
      <c r="F926" s="72">
        <f>IF(G926=0,IF(G925=0,F925,F925+1),IF(G925=0,MAX(F$1:F925),MAX(F$1:F925)+1))</f>
        <v>25</v>
      </c>
      <c r="G926" s="72">
        <f>IF(('S-Table'!$B926-$C$2)*('S-Table'!$B926-$D$2)=0,IF(('S-Table'!$C926-$C$3)*('S-Table'!$C926-$D$3)=0,'S-Table'!A926,0),0)</f>
        <v>0</v>
      </c>
      <c r="H926" s="72">
        <f>IF(('S-Table'!$B926-$C$2)*('S-Table'!$B926-$D$2)=0,IF(('S-Table'!$C926-$C$3)*('S-Table'!$C926-$D$3)=0,'S-Table'!B926,0),0)</f>
        <v>0</v>
      </c>
      <c r="I926" s="72">
        <f>IF(('S-Table'!$B926-$C$2)*('S-Table'!$B926-$D$2)=0,IF(('S-Table'!$C926-$C$3)*('S-Table'!$C926-$D$3)=0,'S-Table'!C926,0),0)</f>
        <v>0</v>
      </c>
      <c r="J926" s="72">
        <f>IF(('S-Table'!$B926-$C$2)*('S-Table'!$B926-$D$2)=0,IF(('S-Table'!$C926-$C$3)*('S-Table'!$C926-$D$3)=0,'S-Table'!D926,0),0)</f>
        <v>0</v>
      </c>
      <c r="K926" s="72">
        <f>IF(('S-Table'!$B926-$C$2)*('S-Table'!$B926-$D$2)=0,IF(('S-Table'!$C926-$C$3)*('S-Table'!$C926-$D$3)=0,'S-Table'!E926,0),0)</f>
        <v>0</v>
      </c>
    </row>
    <row r="927" spans="6:11" x14ac:dyDescent="0.2">
      <c r="F927" s="72">
        <f>IF(G927=0,IF(G926=0,F926,F926+1),IF(G926=0,MAX(F$1:F926),MAX(F$1:F926)+1))</f>
        <v>25</v>
      </c>
      <c r="G927" s="72">
        <f>IF(('S-Table'!$B927-$C$2)*('S-Table'!$B927-$D$2)=0,IF(('S-Table'!$C927-$C$3)*('S-Table'!$C927-$D$3)=0,'S-Table'!A927,0),0)</f>
        <v>0</v>
      </c>
      <c r="H927" s="72">
        <f>IF(('S-Table'!$B927-$C$2)*('S-Table'!$B927-$D$2)=0,IF(('S-Table'!$C927-$C$3)*('S-Table'!$C927-$D$3)=0,'S-Table'!B927,0),0)</f>
        <v>0</v>
      </c>
      <c r="I927" s="72">
        <f>IF(('S-Table'!$B927-$C$2)*('S-Table'!$B927-$D$2)=0,IF(('S-Table'!$C927-$C$3)*('S-Table'!$C927-$D$3)=0,'S-Table'!C927,0),0)</f>
        <v>0</v>
      </c>
      <c r="J927" s="72">
        <f>IF(('S-Table'!$B927-$C$2)*('S-Table'!$B927-$D$2)=0,IF(('S-Table'!$C927-$C$3)*('S-Table'!$C927-$D$3)=0,'S-Table'!D927,0),0)</f>
        <v>0</v>
      </c>
      <c r="K927" s="72">
        <f>IF(('S-Table'!$B927-$C$2)*('S-Table'!$B927-$D$2)=0,IF(('S-Table'!$C927-$C$3)*('S-Table'!$C927-$D$3)=0,'S-Table'!E927,0),0)</f>
        <v>0</v>
      </c>
    </row>
    <row r="928" spans="6:11" x14ac:dyDescent="0.2">
      <c r="F928" s="72">
        <f>IF(G928=0,IF(G927=0,F927,F927+1),IF(G927=0,MAX(F$1:F927),MAX(F$1:F927)+1))</f>
        <v>25</v>
      </c>
      <c r="G928" s="72">
        <f>IF(('S-Table'!$B928-$C$2)*('S-Table'!$B928-$D$2)=0,IF(('S-Table'!$C928-$C$3)*('S-Table'!$C928-$D$3)=0,'S-Table'!A928,0),0)</f>
        <v>0</v>
      </c>
      <c r="H928" s="72">
        <f>IF(('S-Table'!$B928-$C$2)*('S-Table'!$B928-$D$2)=0,IF(('S-Table'!$C928-$C$3)*('S-Table'!$C928-$D$3)=0,'S-Table'!B928,0),0)</f>
        <v>0</v>
      </c>
      <c r="I928" s="72">
        <f>IF(('S-Table'!$B928-$C$2)*('S-Table'!$B928-$D$2)=0,IF(('S-Table'!$C928-$C$3)*('S-Table'!$C928-$D$3)=0,'S-Table'!C928,0),0)</f>
        <v>0</v>
      </c>
      <c r="J928" s="72">
        <f>IF(('S-Table'!$B928-$C$2)*('S-Table'!$B928-$D$2)=0,IF(('S-Table'!$C928-$C$3)*('S-Table'!$C928-$D$3)=0,'S-Table'!D928,0),0)</f>
        <v>0</v>
      </c>
      <c r="K928" s="72">
        <f>IF(('S-Table'!$B928-$C$2)*('S-Table'!$B928-$D$2)=0,IF(('S-Table'!$C928-$C$3)*('S-Table'!$C928-$D$3)=0,'S-Table'!E928,0),0)</f>
        <v>0</v>
      </c>
    </row>
    <row r="929" spans="6:11" x14ac:dyDescent="0.2">
      <c r="F929" s="72">
        <f>IF(G929=0,IF(G928=0,F928,F928+1),IF(G928=0,MAX(F$1:F928),MAX(F$1:F928)+1))</f>
        <v>25</v>
      </c>
      <c r="G929" s="72">
        <f>IF(('S-Table'!$B929-$C$2)*('S-Table'!$B929-$D$2)=0,IF(('S-Table'!$C929-$C$3)*('S-Table'!$C929-$D$3)=0,'S-Table'!A929,0),0)</f>
        <v>0</v>
      </c>
      <c r="H929" s="72">
        <f>IF(('S-Table'!$B929-$C$2)*('S-Table'!$B929-$D$2)=0,IF(('S-Table'!$C929-$C$3)*('S-Table'!$C929-$D$3)=0,'S-Table'!B929,0),0)</f>
        <v>0</v>
      </c>
      <c r="I929" s="72">
        <f>IF(('S-Table'!$B929-$C$2)*('S-Table'!$B929-$D$2)=0,IF(('S-Table'!$C929-$C$3)*('S-Table'!$C929-$D$3)=0,'S-Table'!C929,0),0)</f>
        <v>0</v>
      </c>
      <c r="J929" s="72">
        <f>IF(('S-Table'!$B929-$C$2)*('S-Table'!$B929-$D$2)=0,IF(('S-Table'!$C929-$C$3)*('S-Table'!$C929-$D$3)=0,'S-Table'!D929,0),0)</f>
        <v>0</v>
      </c>
      <c r="K929" s="72">
        <f>IF(('S-Table'!$B929-$C$2)*('S-Table'!$B929-$D$2)=0,IF(('S-Table'!$C929-$C$3)*('S-Table'!$C929-$D$3)=0,'S-Table'!E929,0),0)</f>
        <v>0</v>
      </c>
    </row>
    <row r="930" spans="6:11" x14ac:dyDescent="0.2">
      <c r="F930" s="72">
        <f>IF(G930=0,IF(G929=0,F929,F929+1),IF(G929=0,MAX(F$1:F929),MAX(F$1:F929)+1))</f>
        <v>25</v>
      </c>
      <c r="G930" s="72">
        <f>IF(('S-Table'!$B930-$C$2)*('S-Table'!$B930-$D$2)=0,IF(('S-Table'!$C930-$C$3)*('S-Table'!$C930-$D$3)=0,'S-Table'!A930,0),0)</f>
        <v>0</v>
      </c>
      <c r="H930" s="72">
        <f>IF(('S-Table'!$B930-$C$2)*('S-Table'!$B930-$D$2)=0,IF(('S-Table'!$C930-$C$3)*('S-Table'!$C930-$D$3)=0,'S-Table'!B930,0),0)</f>
        <v>0</v>
      </c>
      <c r="I930" s="72">
        <f>IF(('S-Table'!$B930-$C$2)*('S-Table'!$B930-$D$2)=0,IF(('S-Table'!$C930-$C$3)*('S-Table'!$C930-$D$3)=0,'S-Table'!C930,0),0)</f>
        <v>0</v>
      </c>
      <c r="J930" s="72">
        <f>IF(('S-Table'!$B930-$C$2)*('S-Table'!$B930-$D$2)=0,IF(('S-Table'!$C930-$C$3)*('S-Table'!$C930-$D$3)=0,'S-Table'!D930,0),0)</f>
        <v>0</v>
      </c>
      <c r="K930" s="72">
        <f>IF(('S-Table'!$B930-$C$2)*('S-Table'!$B930-$D$2)=0,IF(('S-Table'!$C930-$C$3)*('S-Table'!$C930-$D$3)=0,'S-Table'!E930,0),0)</f>
        <v>0</v>
      </c>
    </row>
    <row r="931" spans="6:11" x14ac:dyDescent="0.2">
      <c r="F931" s="72">
        <f>IF(G931=0,IF(G930=0,F930,F930+1),IF(G930=0,MAX(F$1:F930),MAX(F$1:F930)+1))</f>
        <v>25</v>
      </c>
      <c r="G931" s="72">
        <f>IF(('S-Table'!$B931-$C$2)*('S-Table'!$B931-$D$2)=0,IF(('S-Table'!$C931-$C$3)*('S-Table'!$C931-$D$3)=0,'S-Table'!A931,0),0)</f>
        <v>0</v>
      </c>
      <c r="H931" s="72">
        <f>IF(('S-Table'!$B931-$C$2)*('S-Table'!$B931-$D$2)=0,IF(('S-Table'!$C931-$C$3)*('S-Table'!$C931-$D$3)=0,'S-Table'!B931,0),0)</f>
        <v>0</v>
      </c>
      <c r="I931" s="72">
        <f>IF(('S-Table'!$B931-$C$2)*('S-Table'!$B931-$D$2)=0,IF(('S-Table'!$C931-$C$3)*('S-Table'!$C931-$D$3)=0,'S-Table'!C931,0),0)</f>
        <v>0</v>
      </c>
      <c r="J931" s="72">
        <f>IF(('S-Table'!$B931-$C$2)*('S-Table'!$B931-$D$2)=0,IF(('S-Table'!$C931-$C$3)*('S-Table'!$C931-$D$3)=0,'S-Table'!D931,0),0)</f>
        <v>0</v>
      </c>
      <c r="K931" s="72">
        <f>IF(('S-Table'!$B931-$C$2)*('S-Table'!$B931-$D$2)=0,IF(('S-Table'!$C931-$C$3)*('S-Table'!$C931-$D$3)=0,'S-Table'!E931,0),0)</f>
        <v>0</v>
      </c>
    </row>
    <row r="932" spans="6:11" x14ac:dyDescent="0.2">
      <c r="F932" s="72">
        <f>IF(G932=0,IF(G931=0,F931,F931+1),IF(G931=0,MAX(F$1:F931),MAX(F$1:F931)+1))</f>
        <v>25</v>
      </c>
      <c r="G932" s="72">
        <f>IF(('S-Table'!$B932-$C$2)*('S-Table'!$B932-$D$2)=0,IF(('S-Table'!$C932-$C$3)*('S-Table'!$C932-$D$3)=0,'S-Table'!A932,0),0)</f>
        <v>0</v>
      </c>
      <c r="H932" s="72">
        <f>IF(('S-Table'!$B932-$C$2)*('S-Table'!$B932-$D$2)=0,IF(('S-Table'!$C932-$C$3)*('S-Table'!$C932-$D$3)=0,'S-Table'!B932,0),0)</f>
        <v>0</v>
      </c>
      <c r="I932" s="72">
        <f>IF(('S-Table'!$B932-$C$2)*('S-Table'!$B932-$D$2)=0,IF(('S-Table'!$C932-$C$3)*('S-Table'!$C932-$D$3)=0,'S-Table'!C932,0),0)</f>
        <v>0</v>
      </c>
      <c r="J932" s="72">
        <f>IF(('S-Table'!$B932-$C$2)*('S-Table'!$B932-$D$2)=0,IF(('S-Table'!$C932-$C$3)*('S-Table'!$C932-$D$3)=0,'S-Table'!D932,0),0)</f>
        <v>0</v>
      </c>
      <c r="K932" s="72">
        <f>IF(('S-Table'!$B932-$C$2)*('S-Table'!$B932-$D$2)=0,IF(('S-Table'!$C932-$C$3)*('S-Table'!$C932-$D$3)=0,'S-Table'!E932,0),0)</f>
        <v>0</v>
      </c>
    </row>
    <row r="933" spans="6:11" x14ac:dyDescent="0.2">
      <c r="F933" s="72">
        <f>IF(G933=0,IF(G932=0,F932,F932+1),IF(G932=0,MAX(F$1:F932),MAX(F$1:F932)+1))</f>
        <v>25</v>
      </c>
      <c r="G933" s="72">
        <f>IF(('S-Table'!$B933-$C$2)*('S-Table'!$B933-$D$2)=0,IF(('S-Table'!$C933-$C$3)*('S-Table'!$C933-$D$3)=0,'S-Table'!A933,0),0)</f>
        <v>0</v>
      </c>
      <c r="H933" s="72">
        <f>IF(('S-Table'!$B933-$C$2)*('S-Table'!$B933-$D$2)=0,IF(('S-Table'!$C933-$C$3)*('S-Table'!$C933-$D$3)=0,'S-Table'!B933,0),0)</f>
        <v>0</v>
      </c>
      <c r="I933" s="72">
        <f>IF(('S-Table'!$B933-$C$2)*('S-Table'!$B933-$D$2)=0,IF(('S-Table'!$C933-$C$3)*('S-Table'!$C933-$D$3)=0,'S-Table'!C933,0),0)</f>
        <v>0</v>
      </c>
      <c r="J933" s="72">
        <f>IF(('S-Table'!$B933-$C$2)*('S-Table'!$B933-$D$2)=0,IF(('S-Table'!$C933-$C$3)*('S-Table'!$C933-$D$3)=0,'S-Table'!D933,0),0)</f>
        <v>0</v>
      </c>
      <c r="K933" s="72">
        <f>IF(('S-Table'!$B933-$C$2)*('S-Table'!$B933-$D$2)=0,IF(('S-Table'!$C933-$C$3)*('S-Table'!$C933-$D$3)=0,'S-Table'!E933,0),0)</f>
        <v>0</v>
      </c>
    </row>
    <row r="934" spans="6:11" x14ac:dyDescent="0.2">
      <c r="F934" s="72">
        <f>IF(G934=0,IF(G933=0,F933,F933+1),IF(G933=0,MAX(F$1:F933),MAX(F$1:F933)+1))</f>
        <v>25</v>
      </c>
      <c r="G934" s="72">
        <f>IF(('S-Table'!$B934-$C$2)*('S-Table'!$B934-$D$2)=0,IF(('S-Table'!$C934-$C$3)*('S-Table'!$C934-$D$3)=0,'S-Table'!A934,0),0)</f>
        <v>0</v>
      </c>
      <c r="H934" s="72">
        <f>IF(('S-Table'!$B934-$C$2)*('S-Table'!$B934-$D$2)=0,IF(('S-Table'!$C934-$C$3)*('S-Table'!$C934-$D$3)=0,'S-Table'!B934,0),0)</f>
        <v>0</v>
      </c>
      <c r="I934" s="72">
        <f>IF(('S-Table'!$B934-$C$2)*('S-Table'!$B934-$D$2)=0,IF(('S-Table'!$C934-$C$3)*('S-Table'!$C934-$D$3)=0,'S-Table'!C934,0),0)</f>
        <v>0</v>
      </c>
      <c r="J934" s="72">
        <f>IF(('S-Table'!$B934-$C$2)*('S-Table'!$B934-$D$2)=0,IF(('S-Table'!$C934-$C$3)*('S-Table'!$C934-$D$3)=0,'S-Table'!D934,0),0)</f>
        <v>0</v>
      </c>
      <c r="K934" s="72">
        <f>IF(('S-Table'!$B934-$C$2)*('S-Table'!$B934-$D$2)=0,IF(('S-Table'!$C934-$C$3)*('S-Table'!$C934-$D$3)=0,'S-Table'!E934,0),0)</f>
        <v>0</v>
      </c>
    </row>
    <row r="935" spans="6:11" x14ac:dyDescent="0.2">
      <c r="F935" s="72">
        <f>IF(G935=0,IF(G934=0,F934,F934+1),IF(G934=0,MAX(F$1:F934),MAX(F$1:F934)+1))</f>
        <v>25</v>
      </c>
      <c r="G935" s="72">
        <f>IF(('S-Table'!$B935-$C$2)*('S-Table'!$B935-$D$2)=0,IF(('S-Table'!$C935-$C$3)*('S-Table'!$C935-$D$3)=0,'S-Table'!A935,0),0)</f>
        <v>0</v>
      </c>
      <c r="H935" s="72">
        <f>IF(('S-Table'!$B935-$C$2)*('S-Table'!$B935-$D$2)=0,IF(('S-Table'!$C935-$C$3)*('S-Table'!$C935-$D$3)=0,'S-Table'!B935,0),0)</f>
        <v>0</v>
      </c>
      <c r="I935" s="72">
        <f>IF(('S-Table'!$B935-$C$2)*('S-Table'!$B935-$D$2)=0,IF(('S-Table'!$C935-$C$3)*('S-Table'!$C935-$D$3)=0,'S-Table'!C935,0),0)</f>
        <v>0</v>
      </c>
      <c r="J935" s="72">
        <f>IF(('S-Table'!$B935-$C$2)*('S-Table'!$B935-$D$2)=0,IF(('S-Table'!$C935-$C$3)*('S-Table'!$C935-$D$3)=0,'S-Table'!D935,0),0)</f>
        <v>0</v>
      </c>
      <c r="K935" s="72">
        <f>IF(('S-Table'!$B935-$C$2)*('S-Table'!$B935-$D$2)=0,IF(('S-Table'!$C935-$C$3)*('S-Table'!$C935-$D$3)=0,'S-Table'!E935,0),0)</f>
        <v>0</v>
      </c>
    </row>
    <row r="936" spans="6:11" x14ac:dyDescent="0.2">
      <c r="F936" s="72">
        <f>IF(G936=0,IF(G935=0,F935,F935+1),IF(G935=0,MAX(F$1:F935),MAX(F$1:F935)+1))</f>
        <v>25</v>
      </c>
      <c r="G936" s="72">
        <f>IF(('S-Table'!$B936-$C$2)*('S-Table'!$B936-$D$2)=0,IF(('S-Table'!$C936-$C$3)*('S-Table'!$C936-$D$3)=0,'S-Table'!A936,0),0)</f>
        <v>0</v>
      </c>
      <c r="H936" s="72">
        <f>IF(('S-Table'!$B936-$C$2)*('S-Table'!$B936-$D$2)=0,IF(('S-Table'!$C936-$C$3)*('S-Table'!$C936-$D$3)=0,'S-Table'!B936,0),0)</f>
        <v>0</v>
      </c>
      <c r="I936" s="72">
        <f>IF(('S-Table'!$B936-$C$2)*('S-Table'!$B936-$D$2)=0,IF(('S-Table'!$C936-$C$3)*('S-Table'!$C936-$D$3)=0,'S-Table'!C936,0),0)</f>
        <v>0</v>
      </c>
      <c r="J936" s="72">
        <f>IF(('S-Table'!$B936-$C$2)*('S-Table'!$B936-$D$2)=0,IF(('S-Table'!$C936-$C$3)*('S-Table'!$C936-$D$3)=0,'S-Table'!D936,0),0)</f>
        <v>0</v>
      </c>
      <c r="K936" s="72">
        <f>IF(('S-Table'!$B936-$C$2)*('S-Table'!$B936-$D$2)=0,IF(('S-Table'!$C936-$C$3)*('S-Table'!$C936-$D$3)=0,'S-Table'!E936,0),0)</f>
        <v>0</v>
      </c>
    </row>
    <row r="937" spans="6:11" x14ac:dyDescent="0.2">
      <c r="F937" s="72">
        <f>IF(G937=0,IF(G936=0,F936,F936+1),IF(G936=0,MAX(F$1:F936),MAX(F$1:F936)+1))</f>
        <v>25</v>
      </c>
      <c r="G937" s="72">
        <f>IF(('S-Table'!$B937-$C$2)*('S-Table'!$B937-$D$2)=0,IF(('S-Table'!$C937-$C$3)*('S-Table'!$C937-$D$3)=0,'S-Table'!A937,0),0)</f>
        <v>0</v>
      </c>
      <c r="H937" s="72">
        <f>IF(('S-Table'!$B937-$C$2)*('S-Table'!$B937-$D$2)=0,IF(('S-Table'!$C937-$C$3)*('S-Table'!$C937-$D$3)=0,'S-Table'!B937,0),0)</f>
        <v>0</v>
      </c>
      <c r="I937" s="72">
        <f>IF(('S-Table'!$B937-$C$2)*('S-Table'!$B937-$D$2)=0,IF(('S-Table'!$C937-$C$3)*('S-Table'!$C937-$D$3)=0,'S-Table'!C937,0),0)</f>
        <v>0</v>
      </c>
      <c r="J937" s="72">
        <f>IF(('S-Table'!$B937-$C$2)*('S-Table'!$B937-$D$2)=0,IF(('S-Table'!$C937-$C$3)*('S-Table'!$C937-$D$3)=0,'S-Table'!D937,0),0)</f>
        <v>0</v>
      </c>
      <c r="K937" s="72">
        <f>IF(('S-Table'!$B937-$C$2)*('S-Table'!$B937-$D$2)=0,IF(('S-Table'!$C937-$C$3)*('S-Table'!$C937-$D$3)=0,'S-Table'!E937,0),0)</f>
        <v>0</v>
      </c>
    </row>
    <row r="938" spans="6:11" x14ac:dyDescent="0.2">
      <c r="F938" s="72">
        <f>IF(G938=0,IF(G937=0,F937,F937+1),IF(G937=0,MAX(F$1:F937),MAX(F$1:F937)+1))</f>
        <v>25</v>
      </c>
      <c r="G938" s="72">
        <f>IF(('S-Table'!$B938-$C$2)*('S-Table'!$B938-$D$2)=0,IF(('S-Table'!$C938-$C$3)*('S-Table'!$C938-$D$3)=0,'S-Table'!A938,0),0)</f>
        <v>0</v>
      </c>
      <c r="H938" s="72">
        <f>IF(('S-Table'!$B938-$C$2)*('S-Table'!$B938-$D$2)=0,IF(('S-Table'!$C938-$C$3)*('S-Table'!$C938-$D$3)=0,'S-Table'!B938,0),0)</f>
        <v>0</v>
      </c>
      <c r="I938" s="72">
        <f>IF(('S-Table'!$B938-$C$2)*('S-Table'!$B938-$D$2)=0,IF(('S-Table'!$C938-$C$3)*('S-Table'!$C938-$D$3)=0,'S-Table'!C938,0),0)</f>
        <v>0</v>
      </c>
      <c r="J938" s="72">
        <f>IF(('S-Table'!$B938-$C$2)*('S-Table'!$B938-$D$2)=0,IF(('S-Table'!$C938-$C$3)*('S-Table'!$C938-$D$3)=0,'S-Table'!D938,0),0)</f>
        <v>0</v>
      </c>
      <c r="K938" s="72">
        <f>IF(('S-Table'!$B938-$C$2)*('S-Table'!$B938-$D$2)=0,IF(('S-Table'!$C938-$C$3)*('S-Table'!$C938-$D$3)=0,'S-Table'!E938,0),0)</f>
        <v>0</v>
      </c>
    </row>
    <row r="939" spans="6:11" x14ac:dyDescent="0.2">
      <c r="F939" s="72">
        <f>IF(G939=0,IF(G938=0,F938,F938+1),IF(G938=0,MAX(F$1:F938),MAX(F$1:F938)+1))</f>
        <v>25</v>
      </c>
      <c r="G939" s="72">
        <f>IF(('S-Table'!$B939-$C$2)*('S-Table'!$B939-$D$2)=0,IF(('S-Table'!$C939-$C$3)*('S-Table'!$C939-$D$3)=0,'S-Table'!A939,0),0)</f>
        <v>0</v>
      </c>
      <c r="H939" s="72">
        <f>IF(('S-Table'!$B939-$C$2)*('S-Table'!$B939-$D$2)=0,IF(('S-Table'!$C939-$C$3)*('S-Table'!$C939-$D$3)=0,'S-Table'!B939,0),0)</f>
        <v>0</v>
      </c>
      <c r="I939" s="72">
        <f>IF(('S-Table'!$B939-$C$2)*('S-Table'!$B939-$D$2)=0,IF(('S-Table'!$C939-$C$3)*('S-Table'!$C939-$D$3)=0,'S-Table'!C939,0),0)</f>
        <v>0</v>
      </c>
      <c r="J939" s="72">
        <f>IF(('S-Table'!$B939-$C$2)*('S-Table'!$B939-$D$2)=0,IF(('S-Table'!$C939-$C$3)*('S-Table'!$C939-$D$3)=0,'S-Table'!D939,0),0)</f>
        <v>0</v>
      </c>
      <c r="K939" s="72">
        <f>IF(('S-Table'!$B939-$C$2)*('S-Table'!$B939-$D$2)=0,IF(('S-Table'!$C939-$C$3)*('S-Table'!$C939-$D$3)=0,'S-Table'!E939,0),0)</f>
        <v>0</v>
      </c>
    </row>
    <row r="940" spans="6:11" x14ac:dyDescent="0.2">
      <c r="F940" s="72">
        <f>IF(G940=0,IF(G939=0,F939,F939+1),IF(G939=0,MAX(F$1:F939),MAX(F$1:F939)+1))</f>
        <v>25</v>
      </c>
      <c r="G940" s="72">
        <f>IF(('S-Table'!$B940-$C$2)*('S-Table'!$B940-$D$2)=0,IF(('S-Table'!$C940-$C$3)*('S-Table'!$C940-$D$3)=0,'S-Table'!A940,0),0)</f>
        <v>0</v>
      </c>
      <c r="H940" s="72">
        <f>IF(('S-Table'!$B940-$C$2)*('S-Table'!$B940-$D$2)=0,IF(('S-Table'!$C940-$C$3)*('S-Table'!$C940-$D$3)=0,'S-Table'!B940,0),0)</f>
        <v>0</v>
      </c>
      <c r="I940" s="72">
        <f>IF(('S-Table'!$B940-$C$2)*('S-Table'!$B940-$D$2)=0,IF(('S-Table'!$C940-$C$3)*('S-Table'!$C940-$D$3)=0,'S-Table'!C940,0),0)</f>
        <v>0</v>
      </c>
      <c r="J940" s="72">
        <f>IF(('S-Table'!$B940-$C$2)*('S-Table'!$B940-$D$2)=0,IF(('S-Table'!$C940-$C$3)*('S-Table'!$C940-$D$3)=0,'S-Table'!D940,0),0)</f>
        <v>0</v>
      </c>
      <c r="K940" s="72">
        <f>IF(('S-Table'!$B940-$C$2)*('S-Table'!$B940-$D$2)=0,IF(('S-Table'!$C940-$C$3)*('S-Table'!$C940-$D$3)=0,'S-Table'!E940,0),0)</f>
        <v>0</v>
      </c>
    </row>
    <row r="941" spans="6:11" x14ac:dyDescent="0.2">
      <c r="F941" s="72">
        <f>IF(G941=0,IF(G940=0,F940,F940+1),IF(G940=0,MAX(F$1:F940),MAX(F$1:F940)+1))</f>
        <v>25</v>
      </c>
      <c r="G941" s="72">
        <f>IF(('S-Table'!$B941-$C$2)*('S-Table'!$B941-$D$2)=0,IF(('S-Table'!$C941-$C$3)*('S-Table'!$C941-$D$3)=0,'S-Table'!A941,0),0)</f>
        <v>0</v>
      </c>
      <c r="H941" s="72">
        <f>IF(('S-Table'!$B941-$C$2)*('S-Table'!$B941-$D$2)=0,IF(('S-Table'!$C941-$C$3)*('S-Table'!$C941-$D$3)=0,'S-Table'!B941,0),0)</f>
        <v>0</v>
      </c>
      <c r="I941" s="72">
        <f>IF(('S-Table'!$B941-$C$2)*('S-Table'!$B941-$D$2)=0,IF(('S-Table'!$C941-$C$3)*('S-Table'!$C941-$D$3)=0,'S-Table'!C941,0),0)</f>
        <v>0</v>
      </c>
      <c r="J941" s="72">
        <f>IF(('S-Table'!$B941-$C$2)*('S-Table'!$B941-$D$2)=0,IF(('S-Table'!$C941-$C$3)*('S-Table'!$C941-$D$3)=0,'S-Table'!D941,0),0)</f>
        <v>0</v>
      </c>
      <c r="K941" s="72">
        <f>IF(('S-Table'!$B941-$C$2)*('S-Table'!$B941-$D$2)=0,IF(('S-Table'!$C941-$C$3)*('S-Table'!$C941-$D$3)=0,'S-Table'!E941,0),0)</f>
        <v>0</v>
      </c>
    </row>
    <row r="942" spans="6:11" x14ac:dyDescent="0.2">
      <c r="F942" s="72">
        <f>IF(G942=0,IF(G941=0,F941,F941+1),IF(G941=0,MAX(F$1:F941),MAX(F$1:F941)+1))</f>
        <v>25</v>
      </c>
      <c r="G942" s="72">
        <f>IF(('S-Table'!$B942-$C$2)*('S-Table'!$B942-$D$2)=0,IF(('S-Table'!$C942-$C$3)*('S-Table'!$C942-$D$3)=0,'S-Table'!A942,0),0)</f>
        <v>0</v>
      </c>
      <c r="H942" s="72">
        <f>IF(('S-Table'!$B942-$C$2)*('S-Table'!$B942-$D$2)=0,IF(('S-Table'!$C942-$C$3)*('S-Table'!$C942-$D$3)=0,'S-Table'!B942,0),0)</f>
        <v>0</v>
      </c>
      <c r="I942" s="72">
        <f>IF(('S-Table'!$B942-$C$2)*('S-Table'!$B942-$D$2)=0,IF(('S-Table'!$C942-$C$3)*('S-Table'!$C942-$D$3)=0,'S-Table'!C942,0),0)</f>
        <v>0</v>
      </c>
      <c r="J942" s="72">
        <f>IF(('S-Table'!$B942-$C$2)*('S-Table'!$B942-$D$2)=0,IF(('S-Table'!$C942-$C$3)*('S-Table'!$C942-$D$3)=0,'S-Table'!D942,0),0)</f>
        <v>0</v>
      </c>
      <c r="K942" s="72">
        <f>IF(('S-Table'!$B942-$C$2)*('S-Table'!$B942-$D$2)=0,IF(('S-Table'!$C942-$C$3)*('S-Table'!$C942-$D$3)=0,'S-Table'!E942,0),0)</f>
        <v>0</v>
      </c>
    </row>
    <row r="943" spans="6:11" x14ac:dyDescent="0.2">
      <c r="F943" s="72">
        <f>IF(G943=0,IF(G942=0,F942,F942+1),IF(G942=0,MAX(F$1:F942),MAX(F$1:F942)+1))</f>
        <v>25</v>
      </c>
      <c r="G943" s="72">
        <f>IF(('S-Table'!$B943-$C$2)*('S-Table'!$B943-$D$2)=0,IF(('S-Table'!$C943-$C$3)*('S-Table'!$C943-$D$3)=0,'S-Table'!A943,0),0)</f>
        <v>0</v>
      </c>
      <c r="H943" s="72">
        <f>IF(('S-Table'!$B943-$C$2)*('S-Table'!$B943-$D$2)=0,IF(('S-Table'!$C943-$C$3)*('S-Table'!$C943-$D$3)=0,'S-Table'!B943,0),0)</f>
        <v>0</v>
      </c>
      <c r="I943" s="72">
        <f>IF(('S-Table'!$B943-$C$2)*('S-Table'!$B943-$D$2)=0,IF(('S-Table'!$C943-$C$3)*('S-Table'!$C943-$D$3)=0,'S-Table'!C943,0),0)</f>
        <v>0</v>
      </c>
      <c r="J943" s="72">
        <f>IF(('S-Table'!$B943-$C$2)*('S-Table'!$B943-$D$2)=0,IF(('S-Table'!$C943-$C$3)*('S-Table'!$C943-$D$3)=0,'S-Table'!D943,0),0)</f>
        <v>0</v>
      </c>
      <c r="K943" s="72">
        <f>IF(('S-Table'!$B943-$C$2)*('S-Table'!$B943-$D$2)=0,IF(('S-Table'!$C943-$C$3)*('S-Table'!$C943-$D$3)=0,'S-Table'!E943,0),0)</f>
        <v>0</v>
      </c>
    </row>
    <row r="944" spans="6:11" x14ac:dyDescent="0.2">
      <c r="F944" s="72">
        <f>IF(G944=0,IF(G943=0,F943,F943+1),IF(G943=0,MAX(F$1:F943),MAX(F$1:F943)+1))</f>
        <v>25</v>
      </c>
      <c r="G944" s="72">
        <f>IF(('S-Table'!$B944-$C$2)*('S-Table'!$B944-$D$2)=0,IF(('S-Table'!$C944-$C$3)*('S-Table'!$C944-$D$3)=0,'S-Table'!A944,0),0)</f>
        <v>0</v>
      </c>
      <c r="H944" s="72">
        <f>IF(('S-Table'!$B944-$C$2)*('S-Table'!$B944-$D$2)=0,IF(('S-Table'!$C944-$C$3)*('S-Table'!$C944-$D$3)=0,'S-Table'!B944,0),0)</f>
        <v>0</v>
      </c>
      <c r="I944" s="72">
        <f>IF(('S-Table'!$B944-$C$2)*('S-Table'!$B944-$D$2)=0,IF(('S-Table'!$C944-$C$3)*('S-Table'!$C944-$D$3)=0,'S-Table'!C944,0),0)</f>
        <v>0</v>
      </c>
      <c r="J944" s="72">
        <f>IF(('S-Table'!$B944-$C$2)*('S-Table'!$B944-$D$2)=0,IF(('S-Table'!$C944-$C$3)*('S-Table'!$C944-$D$3)=0,'S-Table'!D944,0),0)</f>
        <v>0</v>
      </c>
      <c r="K944" s="72">
        <f>IF(('S-Table'!$B944-$C$2)*('S-Table'!$B944-$D$2)=0,IF(('S-Table'!$C944-$C$3)*('S-Table'!$C944-$D$3)=0,'S-Table'!E944,0),0)</f>
        <v>0</v>
      </c>
    </row>
    <row r="945" spans="6:11" x14ac:dyDescent="0.2">
      <c r="F945" s="72">
        <f>IF(G945=0,IF(G944=0,F944,F944+1),IF(G944=0,MAX(F$1:F944),MAX(F$1:F944)+1))</f>
        <v>25</v>
      </c>
      <c r="G945" s="72">
        <f>IF(('S-Table'!$B945-$C$2)*('S-Table'!$B945-$D$2)=0,IF(('S-Table'!$C945-$C$3)*('S-Table'!$C945-$D$3)=0,'S-Table'!A945,0),0)</f>
        <v>0</v>
      </c>
      <c r="H945" s="72">
        <f>IF(('S-Table'!$B945-$C$2)*('S-Table'!$B945-$D$2)=0,IF(('S-Table'!$C945-$C$3)*('S-Table'!$C945-$D$3)=0,'S-Table'!B945,0),0)</f>
        <v>0</v>
      </c>
      <c r="I945" s="72">
        <f>IF(('S-Table'!$B945-$C$2)*('S-Table'!$B945-$D$2)=0,IF(('S-Table'!$C945-$C$3)*('S-Table'!$C945-$D$3)=0,'S-Table'!C945,0),0)</f>
        <v>0</v>
      </c>
      <c r="J945" s="72">
        <f>IF(('S-Table'!$B945-$C$2)*('S-Table'!$B945-$D$2)=0,IF(('S-Table'!$C945-$C$3)*('S-Table'!$C945-$D$3)=0,'S-Table'!D945,0),0)</f>
        <v>0</v>
      </c>
      <c r="K945" s="72">
        <f>IF(('S-Table'!$B945-$C$2)*('S-Table'!$B945-$D$2)=0,IF(('S-Table'!$C945-$C$3)*('S-Table'!$C945-$D$3)=0,'S-Table'!E945,0),0)</f>
        <v>0</v>
      </c>
    </row>
    <row r="946" spans="6:11" x14ac:dyDescent="0.2">
      <c r="F946" s="72">
        <f>IF(G946=0,IF(G945=0,F945,F945+1),IF(G945=0,MAX(F$1:F945),MAX(F$1:F945)+1))</f>
        <v>25</v>
      </c>
      <c r="G946" s="72">
        <f>IF(('S-Table'!$B946-$C$2)*('S-Table'!$B946-$D$2)=0,IF(('S-Table'!$C946-$C$3)*('S-Table'!$C946-$D$3)=0,'S-Table'!A946,0),0)</f>
        <v>0</v>
      </c>
      <c r="H946" s="72">
        <f>IF(('S-Table'!$B946-$C$2)*('S-Table'!$B946-$D$2)=0,IF(('S-Table'!$C946-$C$3)*('S-Table'!$C946-$D$3)=0,'S-Table'!B946,0),0)</f>
        <v>0</v>
      </c>
      <c r="I946" s="72">
        <f>IF(('S-Table'!$B946-$C$2)*('S-Table'!$B946-$D$2)=0,IF(('S-Table'!$C946-$C$3)*('S-Table'!$C946-$D$3)=0,'S-Table'!C946,0),0)</f>
        <v>0</v>
      </c>
      <c r="J946" s="72">
        <f>IF(('S-Table'!$B946-$C$2)*('S-Table'!$B946-$D$2)=0,IF(('S-Table'!$C946-$C$3)*('S-Table'!$C946-$D$3)=0,'S-Table'!D946,0),0)</f>
        <v>0</v>
      </c>
      <c r="K946" s="72">
        <f>IF(('S-Table'!$B946-$C$2)*('S-Table'!$B946-$D$2)=0,IF(('S-Table'!$C946-$C$3)*('S-Table'!$C946-$D$3)=0,'S-Table'!E946,0),0)</f>
        <v>0</v>
      </c>
    </row>
    <row r="947" spans="6:11" x14ac:dyDescent="0.2">
      <c r="F947" s="72">
        <f>IF(G947=0,IF(G946=0,F946,F946+1),IF(G946=0,MAX(F$1:F946),MAX(F$1:F946)+1))</f>
        <v>25</v>
      </c>
      <c r="G947" s="72">
        <f>IF(('S-Table'!$B947-$C$2)*('S-Table'!$B947-$D$2)=0,IF(('S-Table'!$C947-$C$3)*('S-Table'!$C947-$D$3)=0,'S-Table'!A947,0),0)</f>
        <v>0</v>
      </c>
      <c r="H947" s="72">
        <f>IF(('S-Table'!$B947-$C$2)*('S-Table'!$B947-$D$2)=0,IF(('S-Table'!$C947-$C$3)*('S-Table'!$C947-$D$3)=0,'S-Table'!B947,0),0)</f>
        <v>0</v>
      </c>
      <c r="I947" s="72">
        <f>IF(('S-Table'!$B947-$C$2)*('S-Table'!$B947-$D$2)=0,IF(('S-Table'!$C947-$C$3)*('S-Table'!$C947-$D$3)=0,'S-Table'!C947,0),0)</f>
        <v>0</v>
      </c>
      <c r="J947" s="72">
        <f>IF(('S-Table'!$B947-$C$2)*('S-Table'!$B947-$D$2)=0,IF(('S-Table'!$C947-$C$3)*('S-Table'!$C947-$D$3)=0,'S-Table'!D947,0),0)</f>
        <v>0</v>
      </c>
      <c r="K947" s="72">
        <f>IF(('S-Table'!$B947-$C$2)*('S-Table'!$B947-$D$2)=0,IF(('S-Table'!$C947-$C$3)*('S-Table'!$C947-$D$3)=0,'S-Table'!E947,0),0)</f>
        <v>0</v>
      </c>
    </row>
    <row r="948" spans="6:11" x14ac:dyDescent="0.2">
      <c r="F948" s="72">
        <f>IF(G948=0,IF(G947=0,F947,F947+1),IF(G947=0,MAX(F$1:F947),MAX(F$1:F947)+1))</f>
        <v>25</v>
      </c>
      <c r="G948" s="72">
        <f>IF(('S-Table'!$B948-$C$2)*('S-Table'!$B948-$D$2)=0,IF(('S-Table'!$C948-$C$3)*('S-Table'!$C948-$D$3)=0,'S-Table'!A948,0),0)</f>
        <v>0</v>
      </c>
      <c r="H948" s="72">
        <f>IF(('S-Table'!$B948-$C$2)*('S-Table'!$B948-$D$2)=0,IF(('S-Table'!$C948-$C$3)*('S-Table'!$C948-$D$3)=0,'S-Table'!B948,0),0)</f>
        <v>0</v>
      </c>
      <c r="I948" s="72">
        <f>IF(('S-Table'!$B948-$C$2)*('S-Table'!$B948-$D$2)=0,IF(('S-Table'!$C948-$C$3)*('S-Table'!$C948-$D$3)=0,'S-Table'!C948,0),0)</f>
        <v>0</v>
      </c>
      <c r="J948" s="72">
        <f>IF(('S-Table'!$B948-$C$2)*('S-Table'!$B948-$D$2)=0,IF(('S-Table'!$C948-$C$3)*('S-Table'!$C948-$D$3)=0,'S-Table'!D948,0),0)</f>
        <v>0</v>
      </c>
      <c r="K948" s="72">
        <f>IF(('S-Table'!$B948-$C$2)*('S-Table'!$B948-$D$2)=0,IF(('S-Table'!$C948-$C$3)*('S-Table'!$C948-$D$3)=0,'S-Table'!E948,0),0)</f>
        <v>0</v>
      </c>
    </row>
    <row r="949" spans="6:11" x14ac:dyDescent="0.2">
      <c r="F949" s="72">
        <f>IF(G949=0,IF(G948=0,F948,F948+1),IF(G948=0,MAX(F$1:F948),MAX(F$1:F948)+1))</f>
        <v>25</v>
      </c>
      <c r="G949" s="72">
        <f>IF(('S-Table'!$B949-$C$2)*('S-Table'!$B949-$D$2)=0,IF(('S-Table'!$C949-$C$3)*('S-Table'!$C949-$D$3)=0,'S-Table'!A949,0),0)</f>
        <v>0</v>
      </c>
      <c r="H949" s="72">
        <f>IF(('S-Table'!$B949-$C$2)*('S-Table'!$B949-$D$2)=0,IF(('S-Table'!$C949-$C$3)*('S-Table'!$C949-$D$3)=0,'S-Table'!B949,0),0)</f>
        <v>0</v>
      </c>
      <c r="I949" s="72">
        <f>IF(('S-Table'!$B949-$C$2)*('S-Table'!$B949-$D$2)=0,IF(('S-Table'!$C949-$C$3)*('S-Table'!$C949-$D$3)=0,'S-Table'!C949,0),0)</f>
        <v>0</v>
      </c>
      <c r="J949" s="72">
        <f>IF(('S-Table'!$B949-$C$2)*('S-Table'!$B949-$D$2)=0,IF(('S-Table'!$C949-$C$3)*('S-Table'!$C949-$D$3)=0,'S-Table'!D949,0),0)</f>
        <v>0</v>
      </c>
      <c r="K949" s="72">
        <f>IF(('S-Table'!$B949-$C$2)*('S-Table'!$B949-$D$2)=0,IF(('S-Table'!$C949-$C$3)*('S-Table'!$C949-$D$3)=0,'S-Table'!E949,0),0)</f>
        <v>0</v>
      </c>
    </row>
    <row r="950" spans="6:11" x14ac:dyDescent="0.2">
      <c r="F950" s="72">
        <f>IF(G950=0,IF(G949=0,F949,F949+1),IF(G949=0,MAX(F$1:F949),MAX(F$1:F949)+1))</f>
        <v>25</v>
      </c>
      <c r="G950" s="72">
        <f>IF(('S-Table'!$B950-$C$2)*('S-Table'!$B950-$D$2)=0,IF(('S-Table'!$C950-$C$3)*('S-Table'!$C950-$D$3)=0,'S-Table'!A950,0),0)</f>
        <v>0</v>
      </c>
      <c r="H950" s="72">
        <f>IF(('S-Table'!$B950-$C$2)*('S-Table'!$B950-$D$2)=0,IF(('S-Table'!$C950-$C$3)*('S-Table'!$C950-$D$3)=0,'S-Table'!B950,0),0)</f>
        <v>0</v>
      </c>
      <c r="I950" s="72">
        <f>IF(('S-Table'!$B950-$C$2)*('S-Table'!$B950-$D$2)=0,IF(('S-Table'!$C950-$C$3)*('S-Table'!$C950-$D$3)=0,'S-Table'!C950,0),0)</f>
        <v>0</v>
      </c>
      <c r="J950" s="72">
        <f>IF(('S-Table'!$B950-$C$2)*('S-Table'!$B950-$D$2)=0,IF(('S-Table'!$C950-$C$3)*('S-Table'!$C950-$D$3)=0,'S-Table'!D950,0),0)</f>
        <v>0</v>
      </c>
      <c r="K950" s="72">
        <f>IF(('S-Table'!$B950-$C$2)*('S-Table'!$B950-$D$2)=0,IF(('S-Table'!$C950-$C$3)*('S-Table'!$C950-$D$3)=0,'S-Table'!E950,0),0)</f>
        <v>0</v>
      </c>
    </row>
    <row r="951" spans="6:11" x14ac:dyDescent="0.2">
      <c r="F951" s="72">
        <f>IF(G951=0,IF(G950=0,F950,F950+1),IF(G950=0,MAX(F$1:F950),MAX(F$1:F950)+1))</f>
        <v>25</v>
      </c>
      <c r="G951" s="72">
        <f>IF(('S-Table'!$B951-$C$2)*('S-Table'!$B951-$D$2)=0,IF(('S-Table'!$C951-$C$3)*('S-Table'!$C951-$D$3)=0,'S-Table'!A951,0),0)</f>
        <v>0</v>
      </c>
      <c r="H951" s="72">
        <f>IF(('S-Table'!$B951-$C$2)*('S-Table'!$B951-$D$2)=0,IF(('S-Table'!$C951-$C$3)*('S-Table'!$C951-$D$3)=0,'S-Table'!B951,0),0)</f>
        <v>0</v>
      </c>
      <c r="I951" s="72">
        <f>IF(('S-Table'!$B951-$C$2)*('S-Table'!$B951-$D$2)=0,IF(('S-Table'!$C951-$C$3)*('S-Table'!$C951-$D$3)=0,'S-Table'!C951,0),0)</f>
        <v>0</v>
      </c>
      <c r="J951" s="72">
        <f>IF(('S-Table'!$B951-$C$2)*('S-Table'!$B951-$D$2)=0,IF(('S-Table'!$C951-$C$3)*('S-Table'!$C951-$D$3)=0,'S-Table'!D951,0),0)</f>
        <v>0</v>
      </c>
      <c r="K951" s="72">
        <f>IF(('S-Table'!$B951-$C$2)*('S-Table'!$B951-$D$2)=0,IF(('S-Table'!$C951-$C$3)*('S-Table'!$C951-$D$3)=0,'S-Table'!E951,0),0)</f>
        <v>0</v>
      </c>
    </row>
    <row r="952" spans="6:11" x14ac:dyDescent="0.2">
      <c r="F952" s="72">
        <f>IF(G952=0,IF(G951=0,F951,F951+1),IF(G951=0,MAX(F$1:F951),MAX(F$1:F951)+1))</f>
        <v>25</v>
      </c>
      <c r="G952" s="72">
        <f>IF(('S-Table'!$B952-$C$2)*('S-Table'!$B952-$D$2)=0,IF(('S-Table'!$C952-$C$3)*('S-Table'!$C952-$D$3)=0,'S-Table'!A952,0),0)</f>
        <v>0</v>
      </c>
      <c r="H952" s="72">
        <f>IF(('S-Table'!$B952-$C$2)*('S-Table'!$B952-$D$2)=0,IF(('S-Table'!$C952-$C$3)*('S-Table'!$C952-$D$3)=0,'S-Table'!B952,0),0)</f>
        <v>0</v>
      </c>
      <c r="I952" s="72">
        <f>IF(('S-Table'!$B952-$C$2)*('S-Table'!$B952-$D$2)=0,IF(('S-Table'!$C952-$C$3)*('S-Table'!$C952-$D$3)=0,'S-Table'!C952,0),0)</f>
        <v>0</v>
      </c>
      <c r="J952" s="72">
        <f>IF(('S-Table'!$B952-$C$2)*('S-Table'!$B952-$D$2)=0,IF(('S-Table'!$C952-$C$3)*('S-Table'!$C952-$D$3)=0,'S-Table'!D952,0),0)</f>
        <v>0</v>
      </c>
      <c r="K952" s="72">
        <f>IF(('S-Table'!$B952-$C$2)*('S-Table'!$B952-$D$2)=0,IF(('S-Table'!$C952-$C$3)*('S-Table'!$C952-$D$3)=0,'S-Table'!E952,0),0)</f>
        <v>0</v>
      </c>
    </row>
    <row r="953" spans="6:11" x14ac:dyDescent="0.2">
      <c r="F953" s="72">
        <f>IF(G953=0,IF(G952=0,F952,F952+1),IF(G952=0,MAX(F$1:F952),MAX(F$1:F952)+1))</f>
        <v>25</v>
      </c>
      <c r="G953" s="72">
        <f>IF(('S-Table'!$B953-$C$2)*('S-Table'!$B953-$D$2)=0,IF(('S-Table'!$C953-$C$3)*('S-Table'!$C953-$D$3)=0,'S-Table'!A953,0),0)</f>
        <v>0</v>
      </c>
      <c r="H953" s="72">
        <f>IF(('S-Table'!$B953-$C$2)*('S-Table'!$B953-$D$2)=0,IF(('S-Table'!$C953-$C$3)*('S-Table'!$C953-$D$3)=0,'S-Table'!B953,0),0)</f>
        <v>0</v>
      </c>
      <c r="I953" s="72">
        <f>IF(('S-Table'!$B953-$C$2)*('S-Table'!$B953-$D$2)=0,IF(('S-Table'!$C953-$C$3)*('S-Table'!$C953-$D$3)=0,'S-Table'!C953,0),0)</f>
        <v>0</v>
      </c>
      <c r="J953" s="72">
        <f>IF(('S-Table'!$B953-$C$2)*('S-Table'!$B953-$D$2)=0,IF(('S-Table'!$C953-$C$3)*('S-Table'!$C953-$D$3)=0,'S-Table'!D953,0),0)</f>
        <v>0</v>
      </c>
      <c r="K953" s="72">
        <f>IF(('S-Table'!$B953-$C$2)*('S-Table'!$B953-$D$2)=0,IF(('S-Table'!$C953-$C$3)*('S-Table'!$C953-$D$3)=0,'S-Table'!E953,0),0)</f>
        <v>0</v>
      </c>
    </row>
    <row r="954" spans="6:11" x14ac:dyDescent="0.2">
      <c r="F954" s="72">
        <f>IF(G954=0,IF(G953=0,F953,F953+1),IF(G953=0,MAX(F$1:F953),MAX(F$1:F953)+1))</f>
        <v>25</v>
      </c>
      <c r="G954" s="72">
        <f>IF(('S-Table'!$B954-$C$2)*('S-Table'!$B954-$D$2)=0,IF(('S-Table'!$C954-$C$3)*('S-Table'!$C954-$D$3)=0,'S-Table'!A954,0),0)</f>
        <v>0</v>
      </c>
      <c r="H954" s="72">
        <f>IF(('S-Table'!$B954-$C$2)*('S-Table'!$B954-$D$2)=0,IF(('S-Table'!$C954-$C$3)*('S-Table'!$C954-$D$3)=0,'S-Table'!B954,0),0)</f>
        <v>0</v>
      </c>
      <c r="I954" s="72">
        <f>IF(('S-Table'!$B954-$C$2)*('S-Table'!$B954-$D$2)=0,IF(('S-Table'!$C954-$C$3)*('S-Table'!$C954-$D$3)=0,'S-Table'!C954,0),0)</f>
        <v>0</v>
      </c>
      <c r="J954" s="72">
        <f>IF(('S-Table'!$B954-$C$2)*('S-Table'!$B954-$D$2)=0,IF(('S-Table'!$C954-$C$3)*('S-Table'!$C954-$D$3)=0,'S-Table'!D954,0),0)</f>
        <v>0</v>
      </c>
      <c r="K954" s="72">
        <f>IF(('S-Table'!$B954-$C$2)*('S-Table'!$B954-$D$2)=0,IF(('S-Table'!$C954-$C$3)*('S-Table'!$C954-$D$3)=0,'S-Table'!E954,0),0)</f>
        <v>0</v>
      </c>
    </row>
    <row r="955" spans="6:11" x14ac:dyDescent="0.2">
      <c r="F955" s="72">
        <f>IF(G955=0,IF(G954=0,F954,F954+1),IF(G954=0,MAX(F$1:F954),MAX(F$1:F954)+1))</f>
        <v>25</v>
      </c>
      <c r="G955" s="72">
        <f>IF(('S-Table'!$B955-$C$2)*('S-Table'!$B955-$D$2)=0,IF(('S-Table'!$C955-$C$3)*('S-Table'!$C955-$D$3)=0,'S-Table'!A955,0),0)</f>
        <v>0</v>
      </c>
      <c r="H955" s="72">
        <f>IF(('S-Table'!$B955-$C$2)*('S-Table'!$B955-$D$2)=0,IF(('S-Table'!$C955-$C$3)*('S-Table'!$C955-$D$3)=0,'S-Table'!B955,0),0)</f>
        <v>0</v>
      </c>
      <c r="I955" s="72">
        <f>IF(('S-Table'!$B955-$C$2)*('S-Table'!$B955-$D$2)=0,IF(('S-Table'!$C955-$C$3)*('S-Table'!$C955-$D$3)=0,'S-Table'!C955,0),0)</f>
        <v>0</v>
      </c>
      <c r="J955" s="72">
        <f>IF(('S-Table'!$B955-$C$2)*('S-Table'!$B955-$D$2)=0,IF(('S-Table'!$C955-$C$3)*('S-Table'!$C955-$D$3)=0,'S-Table'!D955,0),0)</f>
        <v>0</v>
      </c>
      <c r="K955" s="72">
        <f>IF(('S-Table'!$B955-$C$2)*('S-Table'!$B955-$D$2)=0,IF(('S-Table'!$C955-$C$3)*('S-Table'!$C955-$D$3)=0,'S-Table'!E955,0),0)</f>
        <v>0</v>
      </c>
    </row>
    <row r="956" spans="6:11" x14ac:dyDescent="0.2">
      <c r="F956" s="72">
        <f>IF(G956=0,IF(G955=0,F955,F955+1),IF(G955=0,MAX(F$1:F955),MAX(F$1:F955)+1))</f>
        <v>25</v>
      </c>
      <c r="G956" s="72">
        <f>IF(('S-Table'!$B956-$C$2)*('S-Table'!$B956-$D$2)=0,IF(('S-Table'!$C956-$C$3)*('S-Table'!$C956-$D$3)=0,'S-Table'!A956,0),0)</f>
        <v>0</v>
      </c>
      <c r="H956" s="72">
        <f>IF(('S-Table'!$B956-$C$2)*('S-Table'!$B956-$D$2)=0,IF(('S-Table'!$C956-$C$3)*('S-Table'!$C956-$D$3)=0,'S-Table'!B956,0),0)</f>
        <v>0</v>
      </c>
      <c r="I956" s="72">
        <f>IF(('S-Table'!$B956-$C$2)*('S-Table'!$B956-$D$2)=0,IF(('S-Table'!$C956-$C$3)*('S-Table'!$C956-$D$3)=0,'S-Table'!C956,0),0)</f>
        <v>0</v>
      </c>
      <c r="J956" s="72">
        <f>IF(('S-Table'!$B956-$C$2)*('S-Table'!$B956-$D$2)=0,IF(('S-Table'!$C956-$C$3)*('S-Table'!$C956-$D$3)=0,'S-Table'!D956,0),0)</f>
        <v>0</v>
      </c>
      <c r="K956" s="72">
        <f>IF(('S-Table'!$B956-$C$2)*('S-Table'!$B956-$D$2)=0,IF(('S-Table'!$C956-$C$3)*('S-Table'!$C956-$D$3)=0,'S-Table'!E956,0),0)</f>
        <v>0</v>
      </c>
    </row>
    <row r="957" spans="6:11" x14ac:dyDescent="0.2">
      <c r="F957" s="72">
        <f>IF(G957=0,IF(G956=0,F956,F956+1),IF(G956=0,MAX(F$1:F956),MAX(F$1:F956)+1))</f>
        <v>25</v>
      </c>
      <c r="G957" s="72">
        <f>IF(('S-Table'!$B957-$C$2)*('S-Table'!$B957-$D$2)=0,IF(('S-Table'!$C957-$C$3)*('S-Table'!$C957-$D$3)=0,'S-Table'!A957,0),0)</f>
        <v>0</v>
      </c>
      <c r="H957" s="72">
        <f>IF(('S-Table'!$B957-$C$2)*('S-Table'!$B957-$D$2)=0,IF(('S-Table'!$C957-$C$3)*('S-Table'!$C957-$D$3)=0,'S-Table'!B957,0),0)</f>
        <v>0</v>
      </c>
      <c r="I957" s="72">
        <f>IF(('S-Table'!$B957-$C$2)*('S-Table'!$B957-$D$2)=0,IF(('S-Table'!$C957-$C$3)*('S-Table'!$C957-$D$3)=0,'S-Table'!C957,0),0)</f>
        <v>0</v>
      </c>
      <c r="J957" s="72">
        <f>IF(('S-Table'!$B957-$C$2)*('S-Table'!$B957-$D$2)=0,IF(('S-Table'!$C957-$C$3)*('S-Table'!$C957-$D$3)=0,'S-Table'!D957,0),0)</f>
        <v>0</v>
      </c>
      <c r="K957" s="72">
        <f>IF(('S-Table'!$B957-$C$2)*('S-Table'!$B957-$D$2)=0,IF(('S-Table'!$C957-$C$3)*('S-Table'!$C957-$D$3)=0,'S-Table'!E957,0),0)</f>
        <v>0</v>
      </c>
    </row>
    <row r="958" spans="6:11" x14ac:dyDescent="0.2">
      <c r="F958" s="72">
        <f>IF(G958=0,IF(G957=0,F957,F957+1),IF(G957=0,MAX(F$1:F957),MAX(F$1:F957)+1))</f>
        <v>25</v>
      </c>
      <c r="G958" s="72">
        <f>IF(('S-Table'!$B958-$C$2)*('S-Table'!$B958-$D$2)=0,IF(('S-Table'!$C958-$C$3)*('S-Table'!$C958-$D$3)=0,'S-Table'!A958,0),0)</f>
        <v>0</v>
      </c>
      <c r="H958" s="72">
        <f>IF(('S-Table'!$B958-$C$2)*('S-Table'!$B958-$D$2)=0,IF(('S-Table'!$C958-$C$3)*('S-Table'!$C958-$D$3)=0,'S-Table'!B958,0),0)</f>
        <v>0</v>
      </c>
      <c r="I958" s="72">
        <f>IF(('S-Table'!$B958-$C$2)*('S-Table'!$B958-$D$2)=0,IF(('S-Table'!$C958-$C$3)*('S-Table'!$C958-$D$3)=0,'S-Table'!C958,0),0)</f>
        <v>0</v>
      </c>
      <c r="J958" s="72">
        <f>IF(('S-Table'!$B958-$C$2)*('S-Table'!$B958-$D$2)=0,IF(('S-Table'!$C958-$C$3)*('S-Table'!$C958-$D$3)=0,'S-Table'!D958,0),0)</f>
        <v>0</v>
      </c>
      <c r="K958" s="72">
        <f>IF(('S-Table'!$B958-$C$2)*('S-Table'!$B958-$D$2)=0,IF(('S-Table'!$C958-$C$3)*('S-Table'!$C958-$D$3)=0,'S-Table'!E958,0),0)</f>
        <v>0</v>
      </c>
    </row>
    <row r="959" spans="6:11" x14ac:dyDescent="0.2">
      <c r="F959" s="72">
        <f>IF(G959=0,IF(G958=0,F958,F958+1),IF(G958=0,MAX(F$1:F958),MAX(F$1:F958)+1))</f>
        <v>25</v>
      </c>
      <c r="G959" s="72">
        <f>IF(('S-Table'!$B959-$C$2)*('S-Table'!$B959-$D$2)=0,IF(('S-Table'!$C959-$C$3)*('S-Table'!$C959-$D$3)=0,'S-Table'!A959,0),0)</f>
        <v>0</v>
      </c>
      <c r="H959" s="72">
        <f>IF(('S-Table'!$B959-$C$2)*('S-Table'!$B959-$D$2)=0,IF(('S-Table'!$C959-$C$3)*('S-Table'!$C959-$D$3)=0,'S-Table'!B959,0),0)</f>
        <v>0</v>
      </c>
      <c r="I959" s="72">
        <f>IF(('S-Table'!$B959-$C$2)*('S-Table'!$B959-$D$2)=0,IF(('S-Table'!$C959-$C$3)*('S-Table'!$C959-$D$3)=0,'S-Table'!C959,0),0)</f>
        <v>0</v>
      </c>
      <c r="J959" s="72">
        <f>IF(('S-Table'!$B959-$C$2)*('S-Table'!$B959-$D$2)=0,IF(('S-Table'!$C959-$C$3)*('S-Table'!$C959-$D$3)=0,'S-Table'!D959,0),0)</f>
        <v>0</v>
      </c>
      <c r="K959" s="72">
        <f>IF(('S-Table'!$B959-$C$2)*('S-Table'!$B959-$D$2)=0,IF(('S-Table'!$C959-$C$3)*('S-Table'!$C959-$D$3)=0,'S-Table'!E959,0),0)</f>
        <v>0</v>
      </c>
    </row>
    <row r="960" spans="6:11" x14ac:dyDescent="0.2">
      <c r="F960" s="72">
        <f>IF(G960=0,IF(G959=0,F959,F959+1),IF(G959=0,MAX(F$1:F959),MAX(F$1:F959)+1))</f>
        <v>25</v>
      </c>
      <c r="G960" s="72">
        <f>IF(('S-Table'!$B960-$C$2)*('S-Table'!$B960-$D$2)=0,IF(('S-Table'!$C960-$C$3)*('S-Table'!$C960-$D$3)=0,'S-Table'!A960,0),0)</f>
        <v>0</v>
      </c>
      <c r="H960" s="72">
        <f>IF(('S-Table'!$B960-$C$2)*('S-Table'!$B960-$D$2)=0,IF(('S-Table'!$C960-$C$3)*('S-Table'!$C960-$D$3)=0,'S-Table'!B960,0),0)</f>
        <v>0</v>
      </c>
      <c r="I960" s="72">
        <f>IF(('S-Table'!$B960-$C$2)*('S-Table'!$B960-$D$2)=0,IF(('S-Table'!$C960-$C$3)*('S-Table'!$C960-$D$3)=0,'S-Table'!C960,0),0)</f>
        <v>0</v>
      </c>
      <c r="J960" s="72">
        <f>IF(('S-Table'!$B960-$C$2)*('S-Table'!$B960-$D$2)=0,IF(('S-Table'!$C960-$C$3)*('S-Table'!$C960-$D$3)=0,'S-Table'!D960,0),0)</f>
        <v>0</v>
      </c>
      <c r="K960" s="72">
        <f>IF(('S-Table'!$B960-$C$2)*('S-Table'!$B960-$D$2)=0,IF(('S-Table'!$C960-$C$3)*('S-Table'!$C960-$D$3)=0,'S-Table'!E960,0),0)</f>
        <v>0</v>
      </c>
    </row>
    <row r="961" spans="6:11" x14ac:dyDescent="0.2">
      <c r="F961" s="72">
        <f>IF(G961=0,IF(G960=0,F960,F960+1),IF(G960=0,MAX(F$1:F960),MAX(F$1:F960)+1))</f>
        <v>25</v>
      </c>
      <c r="G961" s="72">
        <f>IF(('S-Table'!$B961-$C$2)*('S-Table'!$B961-$D$2)=0,IF(('S-Table'!$C961-$C$3)*('S-Table'!$C961-$D$3)=0,'S-Table'!A961,0),0)</f>
        <v>0</v>
      </c>
      <c r="H961" s="72">
        <f>IF(('S-Table'!$B961-$C$2)*('S-Table'!$B961-$D$2)=0,IF(('S-Table'!$C961-$C$3)*('S-Table'!$C961-$D$3)=0,'S-Table'!B961,0),0)</f>
        <v>0</v>
      </c>
      <c r="I961" s="72">
        <f>IF(('S-Table'!$B961-$C$2)*('S-Table'!$B961-$D$2)=0,IF(('S-Table'!$C961-$C$3)*('S-Table'!$C961-$D$3)=0,'S-Table'!C961,0),0)</f>
        <v>0</v>
      </c>
      <c r="J961" s="72">
        <f>IF(('S-Table'!$B961-$C$2)*('S-Table'!$B961-$D$2)=0,IF(('S-Table'!$C961-$C$3)*('S-Table'!$C961-$D$3)=0,'S-Table'!D961,0),0)</f>
        <v>0</v>
      </c>
      <c r="K961" s="72">
        <f>IF(('S-Table'!$B961-$C$2)*('S-Table'!$B961-$D$2)=0,IF(('S-Table'!$C961-$C$3)*('S-Table'!$C961-$D$3)=0,'S-Table'!E961,0),0)</f>
        <v>0</v>
      </c>
    </row>
    <row r="962" spans="6:11" x14ac:dyDescent="0.2">
      <c r="F962" s="72">
        <f>IF(G962=0,IF(G961=0,F961,F961+1),IF(G961=0,MAX(F$1:F961),MAX(F$1:F961)+1))</f>
        <v>25</v>
      </c>
      <c r="G962" s="72">
        <f>IF(('S-Table'!$B962-$C$2)*('S-Table'!$B962-$D$2)=0,IF(('S-Table'!$C962-$C$3)*('S-Table'!$C962-$D$3)=0,'S-Table'!A962,0),0)</f>
        <v>0</v>
      </c>
      <c r="H962" s="72">
        <f>IF(('S-Table'!$B962-$C$2)*('S-Table'!$B962-$D$2)=0,IF(('S-Table'!$C962-$C$3)*('S-Table'!$C962-$D$3)=0,'S-Table'!B962,0),0)</f>
        <v>0</v>
      </c>
      <c r="I962" s="72">
        <f>IF(('S-Table'!$B962-$C$2)*('S-Table'!$B962-$D$2)=0,IF(('S-Table'!$C962-$C$3)*('S-Table'!$C962-$D$3)=0,'S-Table'!C962,0),0)</f>
        <v>0</v>
      </c>
      <c r="J962" s="72">
        <f>IF(('S-Table'!$B962-$C$2)*('S-Table'!$B962-$D$2)=0,IF(('S-Table'!$C962-$C$3)*('S-Table'!$C962-$D$3)=0,'S-Table'!D962,0),0)</f>
        <v>0</v>
      </c>
      <c r="K962" s="72">
        <f>IF(('S-Table'!$B962-$C$2)*('S-Table'!$B962-$D$2)=0,IF(('S-Table'!$C962-$C$3)*('S-Table'!$C962-$D$3)=0,'S-Table'!E962,0),0)</f>
        <v>0</v>
      </c>
    </row>
    <row r="963" spans="6:11" x14ac:dyDescent="0.2">
      <c r="F963" s="72">
        <f>IF(G963=0,IF(G962=0,F962,F962+1),IF(G962=0,MAX(F$1:F962),MAX(F$1:F962)+1))</f>
        <v>25</v>
      </c>
      <c r="G963" s="72">
        <f>IF(('S-Table'!$B963-$C$2)*('S-Table'!$B963-$D$2)=0,IF(('S-Table'!$C963-$C$3)*('S-Table'!$C963-$D$3)=0,'S-Table'!A963,0),0)</f>
        <v>0</v>
      </c>
      <c r="H963" s="72">
        <f>IF(('S-Table'!$B963-$C$2)*('S-Table'!$B963-$D$2)=0,IF(('S-Table'!$C963-$C$3)*('S-Table'!$C963-$D$3)=0,'S-Table'!B963,0),0)</f>
        <v>0</v>
      </c>
      <c r="I963" s="72">
        <f>IF(('S-Table'!$B963-$C$2)*('S-Table'!$B963-$D$2)=0,IF(('S-Table'!$C963-$C$3)*('S-Table'!$C963-$D$3)=0,'S-Table'!C963,0),0)</f>
        <v>0</v>
      </c>
      <c r="J963" s="72">
        <f>IF(('S-Table'!$B963-$C$2)*('S-Table'!$B963-$D$2)=0,IF(('S-Table'!$C963-$C$3)*('S-Table'!$C963-$D$3)=0,'S-Table'!D963,0),0)</f>
        <v>0</v>
      </c>
      <c r="K963" s="72">
        <f>IF(('S-Table'!$B963-$C$2)*('S-Table'!$B963-$D$2)=0,IF(('S-Table'!$C963-$C$3)*('S-Table'!$C963-$D$3)=0,'S-Table'!E963,0),0)</f>
        <v>0</v>
      </c>
    </row>
    <row r="964" spans="6:11" x14ac:dyDescent="0.2">
      <c r="F964" s="72">
        <f>IF(G964=0,IF(G963=0,F963,F963+1),IF(G963=0,MAX(F$1:F963),MAX(F$1:F963)+1))</f>
        <v>25</v>
      </c>
      <c r="G964" s="72">
        <f>IF(('S-Table'!$B964-$C$2)*('S-Table'!$B964-$D$2)=0,IF(('S-Table'!$C964-$C$3)*('S-Table'!$C964-$D$3)=0,'S-Table'!A964,0),0)</f>
        <v>0</v>
      </c>
      <c r="H964" s="72">
        <f>IF(('S-Table'!$B964-$C$2)*('S-Table'!$B964-$D$2)=0,IF(('S-Table'!$C964-$C$3)*('S-Table'!$C964-$D$3)=0,'S-Table'!B964,0),0)</f>
        <v>0</v>
      </c>
      <c r="I964" s="72">
        <f>IF(('S-Table'!$B964-$C$2)*('S-Table'!$B964-$D$2)=0,IF(('S-Table'!$C964-$C$3)*('S-Table'!$C964-$D$3)=0,'S-Table'!C964,0),0)</f>
        <v>0</v>
      </c>
      <c r="J964" s="72">
        <f>IF(('S-Table'!$B964-$C$2)*('S-Table'!$B964-$D$2)=0,IF(('S-Table'!$C964-$C$3)*('S-Table'!$C964-$D$3)=0,'S-Table'!D964,0),0)</f>
        <v>0</v>
      </c>
      <c r="K964" s="72">
        <f>IF(('S-Table'!$B964-$C$2)*('S-Table'!$B964-$D$2)=0,IF(('S-Table'!$C964-$C$3)*('S-Table'!$C964-$D$3)=0,'S-Table'!E964,0),0)</f>
        <v>0</v>
      </c>
    </row>
    <row r="965" spans="6:11" x14ac:dyDescent="0.2">
      <c r="F965" s="72">
        <f>IF(G965=0,IF(G964=0,F964,F964+1),IF(G964=0,MAX(F$1:F964),MAX(F$1:F964)+1))</f>
        <v>25</v>
      </c>
      <c r="G965" s="72">
        <f>IF(('S-Table'!$B965-$C$2)*('S-Table'!$B965-$D$2)=0,IF(('S-Table'!$C965-$C$3)*('S-Table'!$C965-$D$3)=0,'S-Table'!A965,0),0)</f>
        <v>0</v>
      </c>
      <c r="H965" s="72">
        <f>IF(('S-Table'!$B965-$C$2)*('S-Table'!$B965-$D$2)=0,IF(('S-Table'!$C965-$C$3)*('S-Table'!$C965-$D$3)=0,'S-Table'!B965,0),0)</f>
        <v>0</v>
      </c>
      <c r="I965" s="72">
        <f>IF(('S-Table'!$B965-$C$2)*('S-Table'!$B965-$D$2)=0,IF(('S-Table'!$C965-$C$3)*('S-Table'!$C965-$D$3)=0,'S-Table'!C965,0),0)</f>
        <v>0</v>
      </c>
      <c r="J965" s="72">
        <f>IF(('S-Table'!$B965-$C$2)*('S-Table'!$B965-$D$2)=0,IF(('S-Table'!$C965-$C$3)*('S-Table'!$C965-$D$3)=0,'S-Table'!D965,0),0)</f>
        <v>0</v>
      </c>
      <c r="K965" s="72">
        <f>IF(('S-Table'!$B965-$C$2)*('S-Table'!$B965-$D$2)=0,IF(('S-Table'!$C965-$C$3)*('S-Table'!$C965-$D$3)=0,'S-Table'!E965,0),0)</f>
        <v>0</v>
      </c>
    </row>
    <row r="966" spans="6:11" x14ac:dyDescent="0.2">
      <c r="F966" s="72">
        <f>IF(G966=0,IF(G965=0,F965,F965+1),IF(G965=0,MAX(F$1:F965),MAX(F$1:F965)+1))</f>
        <v>25</v>
      </c>
      <c r="G966" s="72">
        <f>IF(('S-Table'!$B966-$C$2)*('S-Table'!$B966-$D$2)=0,IF(('S-Table'!$C966-$C$3)*('S-Table'!$C966-$D$3)=0,'S-Table'!A966,0),0)</f>
        <v>0</v>
      </c>
      <c r="H966" s="72">
        <f>IF(('S-Table'!$B966-$C$2)*('S-Table'!$B966-$D$2)=0,IF(('S-Table'!$C966-$C$3)*('S-Table'!$C966-$D$3)=0,'S-Table'!B966,0),0)</f>
        <v>0</v>
      </c>
      <c r="I966" s="72">
        <f>IF(('S-Table'!$B966-$C$2)*('S-Table'!$B966-$D$2)=0,IF(('S-Table'!$C966-$C$3)*('S-Table'!$C966-$D$3)=0,'S-Table'!C966,0),0)</f>
        <v>0</v>
      </c>
      <c r="J966" s="72">
        <f>IF(('S-Table'!$B966-$C$2)*('S-Table'!$B966-$D$2)=0,IF(('S-Table'!$C966-$C$3)*('S-Table'!$C966-$D$3)=0,'S-Table'!D966,0),0)</f>
        <v>0</v>
      </c>
      <c r="K966" s="72">
        <f>IF(('S-Table'!$B966-$C$2)*('S-Table'!$B966-$D$2)=0,IF(('S-Table'!$C966-$C$3)*('S-Table'!$C966-$D$3)=0,'S-Table'!E966,0),0)</f>
        <v>0</v>
      </c>
    </row>
    <row r="967" spans="6:11" x14ac:dyDescent="0.2">
      <c r="F967" s="72">
        <f>IF(G967=0,IF(G966=0,F966,F966+1),IF(G966=0,MAX(F$1:F966),MAX(F$1:F966)+1))</f>
        <v>25</v>
      </c>
      <c r="G967" s="72">
        <f>IF(('S-Table'!$B967-$C$2)*('S-Table'!$B967-$D$2)=0,IF(('S-Table'!$C967-$C$3)*('S-Table'!$C967-$D$3)=0,'S-Table'!A967,0),0)</f>
        <v>0</v>
      </c>
      <c r="H967" s="72">
        <f>IF(('S-Table'!$B967-$C$2)*('S-Table'!$B967-$D$2)=0,IF(('S-Table'!$C967-$C$3)*('S-Table'!$C967-$D$3)=0,'S-Table'!B967,0),0)</f>
        <v>0</v>
      </c>
      <c r="I967" s="72">
        <f>IF(('S-Table'!$B967-$C$2)*('S-Table'!$B967-$D$2)=0,IF(('S-Table'!$C967-$C$3)*('S-Table'!$C967-$D$3)=0,'S-Table'!C967,0),0)</f>
        <v>0</v>
      </c>
      <c r="J967" s="72">
        <f>IF(('S-Table'!$B967-$C$2)*('S-Table'!$B967-$D$2)=0,IF(('S-Table'!$C967-$C$3)*('S-Table'!$C967-$D$3)=0,'S-Table'!D967,0),0)</f>
        <v>0</v>
      </c>
      <c r="K967" s="72">
        <f>IF(('S-Table'!$B967-$C$2)*('S-Table'!$B967-$D$2)=0,IF(('S-Table'!$C967-$C$3)*('S-Table'!$C967-$D$3)=0,'S-Table'!E967,0),0)</f>
        <v>0</v>
      </c>
    </row>
    <row r="968" spans="6:11" x14ac:dyDescent="0.2">
      <c r="F968" s="72">
        <f>IF(G968=0,IF(G967=0,F967,F967+1),IF(G967=0,MAX(F$1:F967),MAX(F$1:F967)+1))</f>
        <v>25</v>
      </c>
      <c r="G968" s="72">
        <f>IF(('S-Table'!$B968-$C$2)*('S-Table'!$B968-$D$2)=0,IF(('S-Table'!$C968-$C$3)*('S-Table'!$C968-$D$3)=0,'S-Table'!A968,0),0)</f>
        <v>0</v>
      </c>
      <c r="H968" s="72">
        <f>IF(('S-Table'!$B968-$C$2)*('S-Table'!$B968-$D$2)=0,IF(('S-Table'!$C968-$C$3)*('S-Table'!$C968-$D$3)=0,'S-Table'!B968,0),0)</f>
        <v>0</v>
      </c>
      <c r="I968" s="72">
        <f>IF(('S-Table'!$B968-$C$2)*('S-Table'!$B968-$D$2)=0,IF(('S-Table'!$C968-$C$3)*('S-Table'!$C968-$D$3)=0,'S-Table'!C968,0),0)</f>
        <v>0</v>
      </c>
      <c r="J968" s="72">
        <f>IF(('S-Table'!$B968-$C$2)*('S-Table'!$B968-$D$2)=0,IF(('S-Table'!$C968-$C$3)*('S-Table'!$C968-$D$3)=0,'S-Table'!D968,0),0)</f>
        <v>0</v>
      </c>
      <c r="K968" s="72">
        <f>IF(('S-Table'!$B968-$C$2)*('S-Table'!$B968-$D$2)=0,IF(('S-Table'!$C968-$C$3)*('S-Table'!$C968-$D$3)=0,'S-Table'!E968,0),0)</f>
        <v>0</v>
      </c>
    </row>
    <row r="969" spans="6:11" x14ac:dyDescent="0.2">
      <c r="F969" s="72">
        <f>IF(G969=0,IF(G968=0,F968,F968+1),IF(G968=0,MAX(F$1:F968),MAX(F$1:F968)+1))</f>
        <v>25</v>
      </c>
      <c r="G969" s="72">
        <f>IF(('S-Table'!$B969-$C$2)*('S-Table'!$B969-$D$2)=0,IF(('S-Table'!$C969-$C$3)*('S-Table'!$C969-$D$3)=0,'S-Table'!A969,0),0)</f>
        <v>0</v>
      </c>
      <c r="H969" s="72">
        <f>IF(('S-Table'!$B969-$C$2)*('S-Table'!$B969-$D$2)=0,IF(('S-Table'!$C969-$C$3)*('S-Table'!$C969-$D$3)=0,'S-Table'!B969,0),0)</f>
        <v>0</v>
      </c>
      <c r="I969" s="72">
        <f>IF(('S-Table'!$B969-$C$2)*('S-Table'!$B969-$D$2)=0,IF(('S-Table'!$C969-$C$3)*('S-Table'!$C969-$D$3)=0,'S-Table'!C969,0),0)</f>
        <v>0</v>
      </c>
      <c r="J969" s="72">
        <f>IF(('S-Table'!$B969-$C$2)*('S-Table'!$B969-$D$2)=0,IF(('S-Table'!$C969-$C$3)*('S-Table'!$C969-$D$3)=0,'S-Table'!D969,0),0)</f>
        <v>0</v>
      </c>
      <c r="K969" s="72">
        <f>IF(('S-Table'!$B969-$C$2)*('S-Table'!$B969-$D$2)=0,IF(('S-Table'!$C969-$C$3)*('S-Table'!$C969-$D$3)=0,'S-Table'!E969,0),0)</f>
        <v>0</v>
      </c>
    </row>
    <row r="970" spans="6:11" x14ac:dyDescent="0.2">
      <c r="F970" s="72">
        <f>IF(G970=0,IF(G969=0,F969,F969+1),IF(G969=0,MAX(F$1:F969),MAX(F$1:F969)+1))</f>
        <v>25</v>
      </c>
      <c r="G970" s="72">
        <f>IF(('S-Table'!$B970-$C$2)*('S-Table'!$B970-$D$2)=0,IF(('S-Table'!$C970-$C$3)*('S-Table'!$C970-$D$3)=0,'S-Table'!A970,0),0)</f>
        <v>0</v>
      </c>
      <c r="H970" s="72">
        <f>IF(('S-Table'!$B970-$C$2)*('S-Table'!$B970-$D$2)=0,IF(('S-Table'!$C970-$C$3)*('S-Table'!$C970-$D$3)=0,'S-Table'!B970,0),0)</f>
        <v>0</v>
      </c>
      <c r="I970" s="72">
        <f>IF(('S-Table'!$B970-$C$2)*('S-Table'!$B970-$D$2)=0,IF(('S-Table'!$C970-$C$3)*('S-Table'!$C970-$D$3)=0,'S-Table'!C970,0),0)</f>
        <v>0</v>
      </c>
      <c r="J970" s="72">
        <f>IF(('S-Table'!$B970-$C$2)*('S-Table'!$B970-$D$2)=0,IF(('S-Table'!$C970-$C$3)*('S-Table'!$C970-$D$3)=0,'S-Table'!D970,0),0)</f>
        <v>0</v>
      </c>
      <c r="K970" s="72">
        <f>IF(('S-Table'!$B970-$C$2)*('S-Table'!$B970-$D$2)=0,IF(('S-Table'!$C970-$C$3)*('S-Table'!$C970-$D$3)=0,'S-Table'!E970,0),0)</f>
        <v>0</v>
      </c>
    </row>
    <row r="971" spans="6:11" x14ac:dyDescent="0.2">
      <c r="F971" s="72">
        <f>IF(G971=0,IF(G970=0,F970,F970+1),IF(G970=0,MAX(F$1:F970),MAX(F$1:F970)+1))</f>
        <v>25</v>
      </c>
      <c r="G971" s="72">
        <f>IF(('S-Table'!$B971-$C$2)*('S-Table'!$B971-$D$2)=0,IF(('S-Table'!$C971-$C$3)*('S-Table'!$C971-$D$3)=0,'S-Table'!A971,0),0)</f>
        <v>0</v>
      </c>
      <c r="H971" s="72">
        <f>IF(('S-Table'!$B971-$C$2)*('S-Table'!$B971-$D$2)=0,IF(('S-Table'!$C971-$C$3)*('S-Table'!$C971-$D$3)=0,'S-Table'!B971,0),0)</f>
        <v>0</v>
      </c>
      <c r="I971" s="72">
        <f>IF(('S-Table'!$B971-$C$2)*('S-Table'!$B971-$D$2)=0,IF(('S-Table'!$C971-$C$3)*('S-Table'!$C971-$D$3)=0,'S-Table'!C971,0),0)</f>
        <v>0</v>
      </c>
      <c r="J971" s="72">
        <f>IF(('S-Table'!$B971-$C$2)*('S-Table'!$B971-$D$2)=0,IF(('S-Table'!$C971-$C$3)*('S-Table'!$C971-$D$3)=0,'S-Table'!D971,0),0)</f>
        <v>0</v>
      </c>
      <c r="K971" s="72">
        <f>IF(('S-Table'!$B971-$C$2)*('S-Table'!$B971-$D$2)=0,IF(('S-Table'!$C971-$C$3)*('S-Table'!$C971-$D$3)=0,'S-Table'!E971,0),0)</f>
        <v>0</v>
      </c>
    </row>
    <row r="972" spans="6:11" x14ac:dyDescent="0.2">
      <c r="F972" s="72">
        <f>IF(G972=0,IF(G971=0,F971,F971+1),IF(G971=0,MAX(F$1:F971),MAX(F$1:F971)+1))</f>
        <v>25</v>
      </c>
      <c r="G972" s="72">
        <f>IF(('S-Table'!$B972-$C$2)*('S-Table'!$B972-$D$2)=0,IF(('S-Table'!$C972-$C$3)*('S-Table'!$C972-$D$3)=0,'S-Table'!A972,0),0)</f>
        <v>0</v>
      </c>
      <c r="H972" s="72">
        <f>IF(('S-Table'!$B972-$C$2)*('S-Table'!$B972-$D$2)=0,IF(('S-Table'!$C972-$C$3)*('S-Table'!$C972-$D$3)=0,'S-Table'!B972,0),0)</f>
        <v>0</v>
      </c>
      <c r="I972" s="72">
        <f>IF(('S-Table'!$B972-$C$2)*('S-Table'!$B972-$D$2)=0,IF(('S-Table'!$C972-$C$3)*('S-Table'!$C972-$D$3)=0,'S-Table'!C972,0),0)</f>
        <v>0</v>
      </c>
      <c r="J972" s="72">
        <f>IF(('S-Table'!$B972-$C$2)*('S-Table'!$B972-$D$2)=0,IF(('S-Table'!$C972-$C$3)*('S-Table'!$C972-$D$3)=0,'S-Table'!D972,0),0)</f>
        <v>0</v>
      </c>
      <c r="K972" s="72">
        <f>IF(('S-Table'!$B972-$C$2)*('S-Table'!$B972-$D$2)=0,IF(('S-Table'!$C972-$C$3)*('S-Table'!$C972-$D$3)=0,'S-Table'!E972,0),0)</f>
        <v>0</v>
      </c>
    </row>
    <row r="973" spans="6:11" x14ac:dyDescent="0.2">
      <c r="F973" s="72">
        <f>IF(G973=0,IF(G972=0,F972,F972+1),IF(G972=0,MAX(F$1:F972),MAX(F$1:F972)+1))</f>
        <v>25</v>
      </c>
      <c r="G973" s="72">
        <f>IF(('S-Table'!$B973-$C$2)*('S-Table'!$B973-$D$2)=0,IF(('S-Table'!$C973-$C$3)*('S-Table'!$C973-$D$3)=0,'S-Table'!A973,0),0)</f>
        <v>0</v>
      </c>
      <c r="H973" s="72">
        <f>IF(('S-Table'!$B973-$C$2)*('S-Table'!$B973-$D$2)=0,IF(('S-Table'!$C973-$C$3)*('S-Table'!$C973-$D$3)=0,'S-Table'!B973,0),0)</f>
        <v>0</v>
      </c>
      <c r="I973" s="72">
        <f>IF(('S-Table'!$B973-$C$2)*('S-Table'!$B973-$D$2)=0,IF(('S-Table'!$C973-$C$3)*('S-Table'!$C973-$D$3)=0,'S-Table'!C973,0),0)</f>
        <v>0</v>
      </c>
      <c r="J973" s="72">
        <f>IF(('S-Table'!$B973-$C$2)*('S-Table'!$B973-$D$2)=0,IF(('S-Table'!$C973-$C$3)*('S-Table'!$C973-$D$3)=0,'S-Table'!D973,0),0)</f>
        <v>0</v>
      </c>
      <c r="K973" s="72">
        <f>IF(('S-Table'!$B973-$C$2)*('S-Table'!$B973-$D$2)=0,IF(('S-Table'!$C973-$C$3)*('S-Table'!$C973-$D$3)=0,'S-Table'!E973,0),0)</f>
        <v>0</v>
      </c>
    </row>
    <row r="974" spans="6:11" x14ac:dyDescent="0.2">
      <c r="F974" s="72">
        <f>IF(G974=0,IF(G973=0,F973,F973+1),IF(G973=0,MAX(F$1:F973),MAX(F$1:F973)+1))</f>
        <v>25</v>
      </c>
      <c r="G974" s="72">
        <f>IF(('S-Table'!$B974-$C$2)*('S-Table'!$B974-$D$2)=0,IF(('S-Table'!$C974-$C$3)*('S-Table'!$C974-$D$3)=0,'S-Table'!A974,0),0)</f>
        <v>0</v>
      </c>
      <c r="H974" s="72">
        <f>IF(('S-Table'!$B974-$C$2)*('S-Table'!$B974-$D$2)=0,IF(('S-Table'!$C974-$C$3)*('S-Table'!$C974-$D$3)=0,'S-Table'!B974,0),0)</f>
        <v>0</v>
      </c>
      <c r="I974" s="72">
        <f>IF(('S-Table'!$B974-$C$2)*('S-Table'!$B974-$D$2)=0,IF(('S-Table'!$C974-$C$3)*('S-Table'!$C974-$D$3)=0,'S-Table'!C974,0),0)</f>
        <v>0</v>
      </c>
      <c r="J974" s="72">
        <f>IF(('S-Table'!$B974-$C$2)*('S-Table'!$B974-$D$2)=0,IF(('S-Table'!$C974-$C$3)*('S-Table'!$C974-$D$3)=0,'S-Table'!D974,0),0)</f>
        <v>0</v>
      </c>
      <c r="K974" s="72">
        <f>IF(('S-Table'!$B974-$C$2)*('S-Table'!$B974-$D$2)=0,IF(('S-Table'!$C974-$C$3)*('S-Table'!$C974-$D$3)=0,'S-Table'!E974,0),0)</f>
        <v>0</v>
      </c>
    </row>
    <row r="975" spans="6:11" x14ac:dyDescent="0.2">
      <c r="F975" s="72">
        <f>IF(G975=0,IF(G974=0,F974,F974+1),IF(G974=0,MAX(F$1:F974),MAX(F$1:F974)+1))</f>
        <v>25</v>
      </c>
      <c r="G975" s="72">
        <f>IF(('S-Table'!$B975-$C$2)*('S-Table'!$B975-$D$2)=0,IF(('S-Table'!$C975-$C$3)*('S-Table'!$C975-$D$3)=0,'S-Table'!A975,0),0)</f>
        <v>0</v>
      </c>
      <c r="H975" s="72">
        <f>IF(('S-Table'!$B975-$C$2)*('S-Table'!$B975-$D$2)=0,IF(('S-Table'!$C975-$C$3)*('S-Table'!$C975-$D$3)=0,'S-Table'!B975,0),0)</f>
        <v>0</v>
      </c>
      <c r="I975" s="72">
        <f>IF(('S-Table'!$B975-$C$2)*('S-Table'!$B975-$D$2)=0,IF(('S-Table'!$C975-$C$3)*('S-Table'!$C975-$D$3)=0,'S-Table'!C975,0),0)</f>
        <v>0</v>
      </c>
      <c r="J975" s="72">
        <f>IF(('S-Table'!$B975-$C$2)*('S-Table'!$B975-$D$2)=0,IF(('S-Table'!$C975-$C$3)*('S-Table'!$C975-$D$3)=0,'S-Table'!D975,0),0)</f>
        <v>0</v>
      </c>
      <c r="K975" s="72">
        <f>IF(('S-Table'!$B975-$C$2)*('S-Table'!$B975-$D$2)=0,IF(('S-Table'!$C975-$C$3)*('S-Table'!$C975-$D$3)=0,'S-Table'!E975,0),0)</f>
        <v>0</v>
      </c>
    </row>
    <row r="976" spans="6:11" x14ac:dyDescent="0.2">
      <c r="F976" s="72">
        <f>IF(G976=0,IF(G975=0,F975,F975+1),IF(G975=0,MAX(F$1:F975),MAX(F$1:F975)+1))</f>
        <v>25</v>
      </c>
      <c r="G976" s="72">
        <f>IF(('S-Table'!$B976-$C$2)*('S-Table'!$B976-$D$2)=0,IF(('S-Table'!$C976-$C$3)*('S-Table'!$C976-$D$3)=0,'S-Table'!A976,0),0)</f>
        <v>0</v>
      </c>
      <c r="H976" s="72">
        <f>IF(('S-Table'!$B976-$C$2)*('S-Table'!$B976-$D$2)=0,IF(('S-Table'!$C976-$C$3)*('S-Table'!$C976-$D$3)=0,'S-Table'!B976,0),0)</f>
        <v>0</v>
      </c>
      <c r="I976" s="72">
        <f>IF(('S-Table'!$B976-$C$2)*('S-Table'!$B976-$D$2)=0,IF(('S-Table'!$C976-$C$3)*('S-Table'!$C976-$D$3)=0,'S-Table'!C976,0),0)</f>
        <v>0</v>
      </c>
      <c r="J976" s="72">
        <f>IF(('S-Table'!$B976-$C$2)*('S-Table'!$B976-$D$2)=0,IF(('S-Table'!$C976-$C$3)*('S-Table'!$C976-$D$3)=0,'S-Table'!D976,0),0)</f>
        <v>0</v>
      </c>
      <c r="K976" s="72">
        <f>IF(('S-Table'!$B976-$C$2)*('S-Table'!$B976-$D$2)=0,IF(('S-Table'!$C976-$C$3)*('S-Table'!$C976-$D$3)=0,'S-Table'!E976,0),0)</f>
        <v>0</v>
      </c>
    </row>
    <row r="977" spans="6:11" x14ac:dyDescent="0.2">
      <c r="F977" s="72">
        <f>IF(G977=0,IF(G976=0,F976,F976+1),IF(G976=0,MAX(F$1:F976),MAX(F$1:F976)+1))</f>
        <v>25</v>
      </c>
      <c r="G977" s="72">
        <f>IF(('S-Table'!$B977-$C$2)*('S-Table'!$B977-$D$2)=0,IF(('S-Table'!$C977-$C$3)*('S-Table'!$C977-$D$3)=0,'S-Table'!A977,0),0)</f>
        <v>0</v>
      </c>
      <c r="H977" s="72">
        <f>IF(('S-Table'!$B977-$C$2)*('S-Table'!$B977-$D$2)=0,IF(('S-Table'!$C977-$C$3)*('S-Table'!$C977-$D$3)=0,'S-Table'!B977,0),0)</f>
        <v>0</v>
      </c>
      <c r="I977" s="72">
        <f>IF(('S-Table'!$B977-$C$2)*('S-Table'!$B977-$D$2)=0,IF(('S-Table'!$C977-$C$3)*('S-Table'!$C977-$D$3)=0,'S-Table'!C977,0),0)</f>
        <v>0</v>
      </c>
      <c r="J977" s="72">
        <f>IF(('S-Table'!$B977-$C$2)*('S-Table'!$B977-$D$2)=0,IF(('S-Table'!$C977-$C$3)*('S-Table'!$C977-$D$3)=0,'S-Table'!D977,0),0)</f>
        <v>0</v>
      </c>
      <c r="K977" s="72">
        <f>IF(('S-Table'!$B977-$C$2)*('S-Table'!$B977-$D$2)=0,IF(('S-Table'!$C977-$C$3)*('S-Table'!$C977-$D$3)=0,'S-Table'!E977,0),0)</f>
        <v>0</v>
      </c>
    </row>
    <row r="978" spans="6:11" x14ac:dyDescent="0.2">
      <c r="F978" s="72">
        <f>IF(G978=0,IF(G977=0,F977,F977+1),IF(G977=0,MAX(F$1:F977),MAX(F$1:F977)+1))</f>
        <v>25</v>
      </c>
      <c r="G978" s="72">
        <f>IF(('S-Table'!$B978-$C$2)*('S-Table'!$B978-$D$2)=0,IF(('S-Table'!$C978-$C$3)*('S-Table'!$C978-$D$3)=0,'S-Table'!A978,0),0)</f>
        <v>0</v>
      </c>
      <c r="H978" s="72">
        <f>IF(('S-Table'!$B978-$C$2)*('S-Table'!$B978-$D$2)=0,IF(('S-Table'!$C978-$C$3)*('S-Table'!$C978-$D$3)=0,'S-Table'!B978,0),0)</f>
        <v>0</v>
      </c>
      <c r="I978" s="72">
        <f>IF(('S-Table'!$B978-$C$2)*('S-Table'!$B978-$D$2)=0,IF(('S-Table'!$C978-$C$3)*('S-Table'!$C978-$D$3)=0,'S-Table'!C978,0),0)</f>
        <v>0</v>
      </c>
      <c r="J978" s="72">
        <f>IF(('S-Table'!$B978-$C$2)*('S-Table'!$B978-$D$2)=0,IF(('S-Table'!$C978-$C$3)*('S-Table'!$C978-$D$3)=0,'S-Table'!D978,0),0)</f>
        <v>0</v>
      </c>
      <c r="K978" s="72">
        <f>IF(('S-Table'!$B978-$C$2)*('S-Table'!$B978-$D$2)=0,IF(('S-Table'!$C978-$C$3)*('S-Table'!$C978-$D$3)=0,'S-Table'!E978,0),0)</f>
        <v>0</v>
      </c>
    </row>
    <row r="979" spans="6:11" x14ac:dyDescent="0.2">
      <c r="F979" s="72">
        <f>IF(G979=0,IF(G978=0,F978,F978+1),IF(G978=0,MAX(F$1:F978),MAX(F$1:F978)+1))</f>
        <v>25</v>
      </c>
      <c r="G979" s="72">
        <f>IF(('S-Table'!$B979-$C$2)*('S-Table'!$B979-$D$2)=0,IF(('S-Table'!$C979-$C$3)*('S-Table'!$C979-$D$3)=0,'S-Table'!A979,0),0)</f>
        <v>0</v>
      </c>
      <c r="H979" s="72">
        <f>IF(('S-Table'!$B979-$C$2)*('S-Table'!$B979-$D$2)=0,IF(('S-Table'!$C979-$C$3)*('S-Table'!$C979-$D$3)=0,'S-Table'!B979,0),0)</f>
        <v>0</v>
      </c>
      <c r="I979" s="72">
        <f>IF(('S-Table'!$B979-$C$2)*('S-Table'!$B979-$D$2)=0,IF(('S-Table'!$C979-$C$3)*('S-Table'!$C979-$D$3)=0,'S-Table'!C979,0),0)</f>
        <v>0</v>
      </c>
      <c r="J979" s="72">
        <f>IF(('S-Table'!$B979-$C$2)*('S-Table'!$B979-$D$2)=0,IF(('S-Table'!$C979-$C$3)*('S-Table'!$C979-$D$3)=0,'S-Table'!D979,0),0)</f>
        <v>0</v>
      </c>
      <c r="K979" s="72">
        <f>IF(('S-Table'!$B979-$C$2)*('S-Table'!$B979-$D$2)=0,IF(('S-Table'!$C979-$C$3)*('S-Table'!$C979-$D$3)=0,'S-Table'!E979,0),0)</f>
        <v>0</v>
      </c>
    </row>
    <row r="980" spans="6:11" x14ac:dyDescent="0.2">
      <c r="F980" s="72">
        <f>IF(G980=0,IF(G979=0,F979,F979+1),IF(G979=0,MAX(F$1:F979),MAX(F$1:F979)+1))</f>
        <v>25</v>
      </c>
      <c r="G980" s="72">
        <f>IF(('S-Table'!$B980-$C$2)*('S-Table'!$B980-$D$2)=0,IF(('S-Table'!$C980-$C$3)*('S-Table'!$C980-$D$3)=0,'S-Table'!A980,0),0)</f>
        <v>0</v>
      </c>
      <c r="H980" s="72">
        <f>IF(('S-Table'!$B980-$C$2)*('S-Table'!$B980-$D$2)=0,IF(('S-Table'!$C980-$C$3)*('S-Table'!$C980-$D$3)=0,'S-Table'!B980,0),0)</f>
        <v>0</v>
      </c>
      <c r="I980" s="72">
        <f>IF(('S-Table'!$B980-$C$2)*('S-Table'!$B980-$D$2)=0,IF(('S-Table'!$C980-$C$3)*('S-Table'!$C980-$D$3)=0,'S-Table'!C980,0),0)</f>
        <v>0</v>
      </c>
      <c r="J980" s="72">
        <f>IF(('S-Table'!$B980-$C$2)*('S-Table'!$B980-$D$2)=0,IF(('S-Table'!$C980-$C$3)*('S-Table'!$C980-$D$3)=0,'S-Table'!D980,0),0)</f>
        <v>0</v>
      </c>
      <c r="K980" s="72">
        <f>IF(('S-Table'!$B980-$C$2)*('S-Table'!$B980-$D$2)=0,IF(('S-Table'!$C980-$C$3)*('S-Table'!$C980-$D$3)=0,'S-Table'!E980,0),0)</f>
        <v>0</v>
      </c>
    </row>
    <row r="981" spans="6:11" x14ac:dyDescent="0.2">
      <c r="F981" s="72">
        <f>IF(G981=0,IF(G980=0,F980,F980+1),IF(G980=0,MAX(F$1:F980),MAX(F$1:F980)+1))</f>
        <v>25</v>
      </c>
      <c r="G981" s="72">
        <f>IF(('S-Table'!$B981-$C$2)*('S-Table'!$B981-$D$2)=0,IF(('S-Table'!$C981-$C$3)*('S-Table'!$C981-$D$3)=0,'S-Table'!A981,0),0)</f>
        <v>0</v>
      </c>
      <c r="H981" s="72">
        <f>IF(('S-Table'!$B981-$C$2)*('S-Table'!$B981-$D$2)=0,IF(('S-Table'!$C981-$C$3)*('S-Table'!$C981-$D$3)=0,'S-Table'!B981,0),0)</f>
        <v>0</v>
      </c>
      <c r="I981" s="72">
        <f>IF(('S-Table'!$B981-$C$2)*('S-Table'!$B981-$D$2)=0,IF(('S-Table'!$C981-$C$3)*('S-Table'!$C981-$D$3)=0,'S-Table'!C981,0),0)</f>
        <v>0</v>
      </c>
      <c r="J981" s="72">
        <f>IF(('S-Table'!$B981-$C$2)*('S-Table'!$B981-$D$2)=0,IF(('S-Table'!$C981-$C$3)*('S-Table'!$C981-$D$3)=0,'S-Table'!D981,0),0)</f>
        <v>0</v>
      </c>
      <c r="K981" s="72">
        <f>IF(('S-Table'!$B981-$C$2)*('S-Table'!$B981-$D$2)=0,IF(('S-Table'!$C981-$C$3)*('S-Table'!$C981-$D$3)=0,'S-Table'!E981,0),0)</f>
        <v>0</v>
      </c>
    </row>
    <row r="982" spans="6:11" x14ac:dyDescent="0.2">
      <c r="F982" s="72">
        <f>IF(G982=0,IF(G981=0,F981,F981+1),IF(G981=0,MAX(F$1:F981),MAX(F$1:F981)+1))</f>
        <v>25</v>
      </c>
      <c r="G982" s="72">
        <f>IF(('S-Table'!$B982-$C$2)*('S-Table'!$B982-$D$2)=0,IF(('S-Table'!$C982-$C$3)*('S-Table'!$C982-$D$3)=0,'S-Table'!A982,0),0)</f>
        <v>0</v>
      </c>
      <c r="H982" s="72">
        <f>IF(('S-Table'!$B982-$C$2)*('S-Table'!$B982-$D$2)=0,IF(('S-Table'!$C982-$C$3)*('S-Table'!$C982-$D$3)=0,'S-Table'!B982,0),0)</f>
        <v>0</v>
      </c>
      <c r="I982" s="72">
        <f>IF(('S-Table'!$B982-$C$2)*('S-Table'!$B982-$D$2)=0,IF(('S-Table'!$C982-$C$3)*('S-Table'!$C982-$D$3)=0,'S-Table'!C982,0),0)</f>
        <v>0</v>
      </c>
      <c r="J982" s="72">
        <f>IF(('S-Table'!$B982-$C$2)*('S-Table'!$B982-$D$2)=0,IF(('S-Table'!$C982-$C$3)*('S-Table'!$C982-$D$3)=0,'S-Table'!D982,0),0)</f>
        <v>0</v>
      </c>
      <c r="K982" s="72">
        <f>IF(('S-Table'!$B982-$C$2)*('S-Table'!$B982-$D$2)=0,IF(('S-Table'!$C982-$C$3)*('S-Table'!$C982-$D$3)=0,'S-Table'!E982,0),0)</f>
        <v>0</v>
      </c>
    </row>
    <row r="983" spans="6:11" x14ac:dyDescent="0.2">
      <c r="F983" s="72">
        <f>IF(G983=0,IF(G982=0,F982,F982+1),IF(G982=0,MAX(F$1:F982),MAX(F$1:F982)+1))</f>
        <v>25</v>
      </c>
      <c r="G983" s="72">
        <f>IF(('S-Table'!$B983-$C$2)*('S-Table'!$B983-$D$2)=0,IF(('S-Table'!$C983-$C$3)*('S-Table'!$C983-$D$3)=0,'S-Table'!A983,0),0)</f>
        <v>0</v>
      </c>
      <c r="H983" s="72">
        <f>IF(('S-Table'!$B983-$C$2)*('S-Table'!$B983-$D$2)=0,IF(('S-Table'!$C983-$C$3)*('S-Table'!$C983-$D$3)=0,'S-Table'!B983,0),0)</f>
        <v>0</v>
      </c>
      <c r="I983" s="72">
        <f>IF(('S-Table'!$B983-$C$2)*('S-Table'!$B983-$D$2)=0,IF(('S-Table'!$C983-$C$3)*('S-Table'!$C983-$D$3)=0,'S-Table'!C983,0),0)</f>
        <v>0</v>
      </c>
      <c r="J983" s="72">
        <f>IF(('S-Table'!$B983-$C$2)*('S-Table'!$B983-$D$2)=0,IF(('S-Table'!$C983-$C$3)*('S-Table'!$C983-$D$3)=0,'S-Table'!D983,0),0)</f>
        <v>0</v>
      </c>
      <c r="K983" s="72">
        <f>IF(('S-Table'!$B983-$C$2)*('S-Table'!$B983-$D$2)=0,IF(('S-Table'!$C983-$C$3)*('S-Table'!$C983-$D$3)=0,'S-Table'!E983,0),0)</f>
        <v>0</v>
      </c>
    </row>
    <row r="984" spans="6:11" x14ac:dyDescent="0.2">
      <c r="F984" s="72">
        <f>IF(G984=0,IF(G983=0,F983,F983+1),IF(G983=0,MAX(F$1:F983),MAX(F$1:F983)+1))</f>
        <v>25</v>
      </c>
      <c r="G984" s="72">
        <f>IF(('S-Table'!$B984-$C$2)*('S-Table'!$B984-$D$2)=0,IF(('S-Table'!$C984-$C$3)*('S-Table'!$C984-$D$3)=0,'S-Table'!A984,0),0)</f>
        <v>0</v>
      </c>
      <c r="H984" s="72">
        <f>IF(('S-Table'!$B984-$C$2)*('S-Table'!$B984-$D$2)=0,IF(('S-Table'!$C984-$C$3)*('S-Table'!$C984-$D$3)=0,'S-Table'!B984,0),0)</f>
        <v>0</v>
      </c>
      <c r="I984" s="72">
        <f>IF(('S-Table'!$B984-$C$2)*('S-Table'!$B984-$D$2)=0,IF(('S-Table'!$C984-$C$3)*('S-Table'!$C984-$D$3)=0,'S-Table'!C984,0),0)</f>
        <v>0</v>
      </c>
      <c r="J984" s="72">
        <f>IF(('S-Table'!$B984-$C$2)*('S-Table'!$B984-$D$2)=0,IF(('S-Table'!$C984-$C$3)*('S-Table'!$C984-$D$3)=0,'S-Table'!D984,0),0)</f>
        <v>0</v>
      </c>
      <c r="K984" s="72">
        <f>IF(('S-Table'!$B984-$C$2)*('S-Table'!$B984-$D$2)=0,IF(('S-Table'!$C984-$C$3)*('S-Table'!$C984-$D$3)=0,'S-Table'!E984,0),0)</f>
        <v>0</v>
      </c>
    </row>
    <row r="985" spans="6:11" x14ac:dyDescent="0.2">
      <c r="F985" s="72">
        <f>IF(G985=0,IF(G984=0,F984,F984+1),IF(G984=0,MAX(F$1:F984),MAX(F$1:F984)+1))</f>
        <v>25</v>
      </c>
      <c r="G985" s="72">
        <f>IF(('S-Table'!$B985-$C$2)*('S-Table'!$B985-$D$2)=0,IF(('S-Table'!$C985-$C$3)*('S-Table'!$C985-$D$3)=0,'S-Table'!A985,0),0)</f>
        <v>0</v>
      </c>
      <c r="H985" s="72">
        <f>IF(('S-Table'!$B985-$C$2)*('S-Table'!$B985-$D$2)=0,IF(('S-Table'!$C985-$C$3)*('S-Table'!$C985-$D$3)=0,'S-Table'!B985,0),0)</f>
        <v>0</v>
      </c>
      <c r="I985" s="72">
        <f>IF(('S-Table'!$B985-$C$2)*('S-Table'!$B985-$D$2)=0,IF(('S-Table'!$C985-$C$3)*('S-Table'!$C985-$D$3)=0,'S-Table'!C985,0),0)</f>
        <v>0</v>
      </c>
      <c r="J985" s="72">
        <f>IF(('S-Table'!$B985-$C$2)*('S-Table'!$B985-$D$2)=0,IF(('S-Table'!$C985-$C$3)*('S-Table'!$C985-$D$3)=0,'S-Table'!D985,0),0)</f>
        <v>0</v>
      </c>
      <c r="K985" s="72">
        <f>IF(('S-Table'!$B985-$C$2)*('S-Table'!$B985-$D$2)=0,IF(('S-Table'!$C985-$C$3)*('S-Table'!$C985-$D$3)=0,'S-Table'!E985,0),0)</f>
        <v>0</v>
      </c>
    </row>
    <row r="986" spans="6:11" x14ac:dyDescent="0.2">
      <c r="F986" s="72">
        <f>IF(G986=0,IF(G985=0,F985,F985+1),IF(G985=0,MAX(F$1:F985),MAX(F$1:F985)+1))</f>
        <v>25</v>
      </c>
      <c r="G986" s="72">
        <f>IF(('S-Table'!$B986-$C$2)*('S-Table'!$B986-$D$2)=0,IF(('S-Table'!$C986-$C$3)*('S-Table'!$C986-$D$3)=0,'S-Table'!A986,0),0)</f>
        <v>0</v>
      </c>
      <c r="H986" s="72">
        <f>IF(('S-Table'!$B986-$C$2)*('S-Table'!$B986-$D$2)=0,IF(('S-Table'!$C986-$C$3)*('S-Table'!$C986-$D$3)=0,'S-Table'!B986,0),0)</f>
        <v>0</v>
      </c>
      <c r="I986" s="72">
        <f>IF(('S-Table'!$B986-$C$2)*('S-Table'!$B986-$D$2)=0,IF(('S-Table'!$C986-$C$3)*('S-Table'!$C986-$D$3)=0,'S-Table'!C986,0),0)</f>
        <v>0</v>
      </c>
      <c r="J986" s="72">
        <f>IF(('S-Table'!$B986-$C$2)*('S-Table'!$B986-$D$2)=0,IF(('S-Table'!$C986-$C$3)*('S-Table'!$C986-$D$3)=0,'S-Table'!D986,0),0)</f>
        <v>0</v>
      </c>
      <c r="K986" s="72">
        <f>IF(('S-Table'!$B986-$C$2)*('S-Table'!$B986-$D$2)=0,IF(('S-Table'!$C986-$C$3)*('S-Table'!$C986-$D$3)=0,'S-Table'!E986,0),0)</f>
        <v>0</v>
      </c>
    </row>
    <row r="987" spans="6:11" x14ac:dyDescent="0.2">
      <c r="F987" s="72">
        <f>IF(G987=0,IF(G986=0,F986,F986+1),IF(G986=0,MAX(F$1:F986),MAX(F$1:F986)+1))</f>
        <v>25</v>
      </c>
      <c r="G987" s="72">
        <f>IF(('S-Table'!$B987-$C$2)*('S-Table'!$B987-$D$2)=0,IF(('S-Table'!$C987-$C$3)*('S-Table'!$C987-$D$3)=0,'S-Table'!A987,0),0)</f>
        <v>0</v>
      </c>
      <c r="H987" s="72">
        <f>IF(('S-Table'!$B987-$C$2)*('S-Table'!$B987-$D$2)=0,IF(('S-Table'!$C987-$C$3)*('S-Table'!$C987-$D$3)=0,'S-Table'!B987,0),0)</f>
        <v>0</v>
      </c>
      <c r="I987" s="72">
        <f>IF(('S-Table'!$B987-$C$2)*('S-Table'!$B987-$D$2)=0,IF(('S-Table'!$C987-$C$3)*('S-Table'!$C987-$D$3)=0,'S-Table'!C987,0),0)</f>
        <v>0</v>
      </c>
      <c r="J987" s="72">
        <f>IF(('S-Table'!$B987-$C$2)*('S-Table'!$B987-$D$2)=0,IF(('S-Table'!$C987-$C$3)*('S-Table'!$C987-$D$3)=0,'S-Table'!D987,0),0)</f>
        <v>0</v>
      </c>
      <c r="K987" s="72">
        <f>IF(('S-Table'!$B987-$C$2)*('S-Table'!$B987-$D$2)=0,IF(('S-Table'!$C987-$C$3)*('S-Table'!$C987-$D$3)=0,'S-Table'!E987,0),0)</f>
        <v>0</v>
      </c>
    </row>
    <row r="988" spans="6:11" x14ac:dyDescent="0.2">
      <c r="F988" s="72">
        <f>IF(G988=0,IF(G987=0,F987,F987+1),IF(G987=0,MAX(F$1:F987),MAX(F$1:F987)+1))</f>
        <v>25</v>
      </c>
      <c r="G988" s="72">
        <f>IF(('S-Table'!$B988-$C$2)*('S-Table'!$B988-$D$2)=0,IF(('S-Table'!$C988-$C$3)*('S-Table'!$C988-$D$3)=0,'S-Table'!A988,0),0)</f>
        <v>0</v>
      </c>
      <c r="H988" s="72">
        <f>IF(('S-Table'!$B988-$C$2)*('S-Table'!$B988-$D$2)=0,IF(('S-Table'!$C988-$C$3)*('S-Table'!$C988-$D$3)=0,'S-Table'!B988,0),0)</f>
        <v>0</v>
      </c>
      <c r="I988" s="72">
        <f>IF(('S-Table'!$B988-$C$2)*('S-Table'!$B988-$D$2)=0,IF(('S-Table'!$C988-$C$3)*('S-Table'!$C988-$D$3)=0,'S-Table'!C988,0),0)</f>
        <v>0</v>
      </c>
      <c r="J988" s="72">
        <f>IF(('S-Table'!$B988-$C$2)*('S-Table'!$B988-$D$2)=0,IF(('S-Table'!$C988-$C$3)*('S-Table'!$C988-$D$3)=0,'S-Table'!D988,0),0)</f>
        <v>0</v>
      </c>
      <c r="K988" s="72">
        <f>IF(('S-Table'!$B988-$C$2)*('S-Table'!$B988-$D$2)=0,IF(('S-Table'!$C988-$C$3)*('S-Table'!$C988-$D$3)=0,'S-Table'!E988,0),0)</f>
        <v>0</v>
      </c>
    </row>
    <row r="989" spans="6:11" x14ac:dyDescent="0.2">
      <c r="F989" s="72">
        <f>IF(G989=0,IF(G988=0,F988,F988+1),IF(G988=0,MAX(F$1:F988),MAX(F$1:F988)+1))</f>
        <v>25</v>
      </c>
      <c r="G989" s="72">
        <f>IF(('S-Table'!$B989-$C$2)*('S-Table'!$B989-$D$2)=0,IF(('S-Table'!$C989-$C$3)*('S-Table'!$C989-$D$3)=0,'S-Table'!A989,0),0)</f>
        <v>0</v>
      </c>
      <c r="H989" s="72">
        <f>IF(('S-Table'!$B989-$C$2)*('S-Table'!$B989-$D$2)=0,IF(('S-Table'!$C989-$C$3)*('S-Table'!$C989-$D$3)=0,'S-Table'!B989,0),0)</f>
        <v>0</v>
      </c>
      <c r="I989" s="72">
        <f>IF(('S-Table'!$B989-$C$2)*('S-Table'!$B989-$D$2)=0,IF(('S-Table'!$C989-$C$3)*('S-Table'!$C989-$D$3)=0,'S-Table'!C989,0),0)</f>
        <v>0</v>
      </c>
      <c r="J989" s="72">
        <f>IF(('S-Table'!$B989-$C$2)*('S-Table'!$B989-$D$2)=0,IF(('S-Table'!$C989-$C$3)*('S-Table'!$C989-$D$3)=0,'S-Table'!D989,0),0)</f>
        <v>0</v>
      </c>
      <c r="K989" s="72">
        <f>IF(('S-Table'!$B989-$C$2)*('S-Table'!$B989-$D$2)=0,IF(('S-Table'!$C989-$C$3)*('S-Table'!$C989-$D$3)=0,'S-Table'!E989,0),0)</f>
        <v>0</v>
      </c>
    </row>
    <row r="990" spans="6:11" x14ac:dyDescent="0.2">
      <c r="F990" s="72">
        <f>IF(G990=0,IF(G989=0,F989,F989+1),IF(G989=0,MAX(F$1:F989),MAX(F$1:F989)+1))</f>
        <v>25</v>
      </c>
      <c r="G990" s="72">
        <f>IF(('S-Table'!$B990-$C$2)*('S-Table'!$B990-$D$2)=0,IF(('S-Table'!$C990-$C$3)*('S-Table'!$C990-$D$3)=0,'S-Table'!A990,0),0)</f>
        <v>0</v>
      </c>
      <c r="H990" s="72">
        <f>IF(('S-Table'!$B990-$C$2)*('S-Table'!$B990-$D$2)=0,IF(('S-Table'!$C990-$C$3)*('S-Table'!$C990-$D$3)=0,'S-Table'!B990,0),0)</f>
        <v>0</v>
      </c>
      <c r="I990" s="72">
        <f>IF(('S-Table'!$B990-$C$2)*('S-Table'!$B990-$D$2)=0,IF(('S-Table'!$C990-$C$3)*('S-Table'!$C990-$D$3)=0,'S-Table'!C990,0),0)</f>
        <v>0</v>
      </c>
      <c r="J990" s="72">
        <f>IF(('S-Table'!$B990-$C$2)*('S-Table'!$B990-$D$2)=0,IF(('S-Table'!$C990-$C$3)*('S-Table'!$C990-$D$3)=0,'S-Table'!D990,0),0)</f>
        <v>0</v>
      </c>
      <c r="K990" s="72">
        <f>IF(('S-Table'!$B990-$C$2)*('S-Table'!$B990-$D$2)=0,IF(('S-Table'!$C990-$C$3)*('S-Table'!$C990-$D$3)=0,'S-Table'!E990,0),0)</f>
        <v>0</v>
      </c>
    </row>
    <row r="991" spans="6:11" x14ac:dyDescent="0.2">
      <c r="F991" s="72">
        <f>IF(G991=0,IF(G990=0,F990,F990+1),IF(G990=0,MAX(F$1:F990),MAX(F$1:F990)+1))</f>
        <v>25</v>
      </c>
      <c r="G991" s="72">
        <f>IF(('S-Table'!$B991-$C$2)*('S-Table'!$B991-$D$2)=0,IF(('S-Table'!$C991-$C$3)*('S-Table'!$C991-$D$3)=0,'S-Table'!A991,0),0)</f>
        <v>0</v>
      </c>
      <c r="H991" s="72">
        <f>IF(('S-Table'!$B991-$C$2)*('S-Table'!$B991-$D$2)=0,IF(('S-Table'!$C991-$C$3)*('S-Table'!$C991-$D$3)=0,'S-Table'!B991,0),0)</f>
        <v>0</v>
      </c>
      <c r="I991" s="72">
        <f>IF(('S-Table'!$B991-$C$2)*('S-Table'!$B991-$D$2)=0,IF(('S-Table'!$C991-$C$3)*('S-Table'!$C991-$D$3)=0,'S-Table'!C991,0),0)</f>
        <v>0</v>
      </c>
      <c r="J991" s="72">
        <f>IF(('S-Table'!$B991-$C$2)*('S-Table'!$B991-$D$2)=0,IF(('S-Table'!$C991-$C$3)*('S-Table'!$C991-$D$3)=0,'S-Table'!D991,0),0)</f>
        <v>0</v>
      </c>
      <c r="K991" s="72">
        <f>IF(('S-Table'!$B991-$C$2)*('S-Table'!$B991-$D$2)=0,IF(('S-Table'!$C991-$C$3)*('S-Table'!$C991-$D$3)=0,'S-Table'!E991,0),0)</f>
        <v>0</v>
      </c>
    </row>
    <row r="992" spans="6:11" x14ac:dyDescent="0.2">
      <c r="F992" s="72">
        <f>IF(G992=0,IF(G991=0,F991,F991+1),IF(G991=0,MAX(F$1:F991),MAX(F$1:F991)+1))</f>
        <v>25</v>
      </c>
      <c r="G992" s="72">
        <f>IF(('S-Table'!$B992-$C$2)*('S-Table'!$B992-$D$2)=0,IF(('S-Table'!$C992-$C$3)*('S-Table'!$C992-$D$3)=0,'S-Table'!A992,0),0)</f>
        <v>0</v>
      </c>
      <c r="H992" s="72">
        <f>IF(('S-Table'!$B992-$C$2)*('S-Table'!$B992-$D$2)=0,IF(('S-Table'!$C992-$C$3)*('S-Table'!$C992-$D$3)=0,'S-Table'!B992,0),0)</f>
        <v>0</v>
      </c>
      <c r="I992" s="72">
        <f>IF(('S-Table'!$B992-$C$2)*('S-Table'!$B992-$D$2)=0,IF(('S-Table'!$C992-$C$3)*('S-Table'!$C992-$D$3)=0,'S-Table'!C992,0),0)</f>
        <v>0</v>
      </c>
      <c r="J992" s="72">
        <f>IF(('S-Table'!$B992-$C$2)*('S-Table'!$B992-$D$2)=0,IF(('S-Table'!$C992-$C$3)*('S-Table'!$C992-$D$3)=0,'S-Table'!D992,0),0)</f>
        <v>0</v>
      </c>
      <c r="K992" s="72">
        <f>IF(('S-Table'!$B992-$C$2)*('S-Table'!$B992-$D$2)=0,IF(('S-Table'!$C992-$C$3)*('S-Table'!$C992-$D$3)=0,'S-Table'!E992,0),0)</f>
        <v>0</v>
      </c>
    </row>
    <row r="993" spans="6:11" x14ac:dyDescent="0.2">
      <c r="F993" s="72">
        <f>IF(G993=0,IF(G992=0,F992,F992+1),IF(G992=0,MAX(F$1:F992),MAX(F$1:F992)+1))</f>
        <v>25</v>
      </c>
      <c r="G993" s="72">
        <f>IF(('S-Table'!$B993-$C$2)*('S-Table'!$B993-$D$2)=0,IF(('S-Table'!$C993-$C$3)*('S-Table'!$C993-$D$3)=0,'S-Table'!A993,0),0)</f>
        <v>0</v>
      </c>
      <c r="H993" s="72">
        <f>IF(('S-Table'!$B993-$C$2)*('S-Table'!$B993-$D$2)=0,IF(('S-Table'!$C993-$C$3)*('S-Table'!$C993-$D$3)=0,'S-Table'!B993,0),0)</f>
        <v>0</v>
      </c>
      <c r="I993" s="72">
        <f>IF(('S-Table'!$B993-$C$2)*('S-Table'!$B993-$D$2)=0,IF(('S-Table'!$C993-$C$3)*('S-Table'!$C993-$D$3)=0,'S-Table'!C993,0),0)</f>
        <v>0</v>
      </c>
      <c r="J993" s="72">
        <f>IF(('S-Table'!$B993-$C$2)*('S-Table'!$B993-$D$2)=0,IF(('S-Table'!$C993-$C$3)*('S-Table'!$C993-$D$3)=0,'S-Table'!D993,0),0)</f>
        <v>0</v>
      </c>
      <c r="K993" s="72">
        <f>IF(('S-Table'!$B993-$C$2)*('S-Table'!$B993-$D$2)=0,IF(('S-Table'!$C993-$C$3)*('S-Table'!$C993-$D$3)=0,'S-Table'!E993,0),0)</f>
        <v>0</v>
      </c>
    </row>
    <row r="994" spans="6:11" x14ac:dyDescent="0.2">
      <c r="F994" s="72">
        <f>IF(G994=0,IF(G993=0,F993,F993+1),IF(G993=0,MAX(F$1:F993),MAX(F$1:F993)+1))</f>
        <v>25</v>
      </c>
      <c r="G994" s="72">
        <f>IF(('S-Table'!$B994-$C$2)*('S-Table'!$B994-$D$2)=0,IF(('S-Table'!$C994-$C$3)*('S-Table'!$C994-$D$3)=0,'S-Table'!A994,0),0)</f>
        <v>0</v>
      </c>
      <c r="H994" s="72">
        <f>IF(('S-Table'!$B994-$C$2)*('S-Table'!$B994-$D$2)=0,IF(('S-Table'!$C994-$C$3)*('S-Table'!$C994-$D$3)=0,'S-Table'!B994,0),0)</f>
        <v>0</v>
      </c>
      <c r="I994" s="72">
        <f>IF(('S-Table'!$B994-$C$2)*('S-Table'!$B994-$D$2)=0,IF(('S-Table'!$C994-$C$3)*('S-Table'!$C994-$D$3)=0,'S-Table'!C994,0),0)</f>
        <v>0</v>
      </c>
      <c r="J994" s="72">
        <f>IF(('S-Table'!$B994-$C$2)*('S-Table'!$B994-$D$2)=0,IF(('S-Table'!$C994-$C$3)*('S-Table'!$C994-$D$3)=0,'S-Table'!D994,0),0)</f>
        <v>0</v>
      </c>
      <c r="K994" s="72">
        <f>IF(('S-Table'!$B994-$C$2)*('S-Table'!$B994-$D$2)=0,IF(('S-Table'!$C994-$C$3)*('S-Table'!$C994-$D$3)=0,'S-Table'!E994,0),0)</f>
        <v>0</v>
      </c>
    </row>
    <row r="995" spans="6:11" x14ac:dyDescent="0.2">
      <c r="F995" s="72">
        <f>IF(G995=0,IF(G994=0,F994,F994+1),IF(G994=0,MAX(F$1:F994),MAX(F$1:F994)+1))</f>
        <v>25</v>
      </c>
      <c r="G995" s="72">
        <f>IF(('S-Table'!$B995-$C$2)*('S-Table'!$B995-$D$2)=0,IF(('S-Table'!$C995-$C$3)*('S-Table'!$C995-$D$3)=0,'S-Table'!A995,0),0)</f>
        <v>0</v>
      </c>
      <c r="H995" s="72">
        <f>IF(('S-Table'!$B995-$C$2)*('S-Table'!$B995-$D$2)=0,IF(('S-Table'!$C995-$C$3)*('S-Table'!$C995-$D$3)=0,'S-Table'!B995,0),0)</f>
        <v>0</v>
      </c>
      <c r="I995" s="72">
        <f>IF(('S-Table'!$B995-$C$2)*('S-Table'!$B995-$D$2)=0,IF(('S-Table'!$C995-$C$3)*('S-Table'!$C995-$D$3)=0,'S-Table'!C995,0),0)</f>
        <v>0</v>
      </c>
      <c r="J995" s="72">
        <f>IF(('S-Table'!$B995-$C$2)*('S-Table'!$B995-$D$2)=0,IF(('S-Table'!$C995-$C$3)*('S-Table'!$C995-$D$3)=0,'S-Table'!D995,0),0)</f>
        <v>0</v>
      </c>
      <c r="K995" s="72">
        <f>IF(('S-Table'!$B995-$C$2)*('S-Table'!$B995-$D$2)=0,IF(('S-Table'!$C995-$C$3)*('S-Table'!$C995-$D$3)=0,'S-Table'!E995,0),0)</f>
        <v>0</v>
      </c>
    </row>
    <row r="996" spans="6:11" x14ac:dyDescent="0.2">
      <c r="F996" s="72">
        <f>IF(G996=0,IF(G995=0,F995,F995+1),IF(G995=0,MAX(F$1:F995),MAX(F$1:F995)+1))</f>
        <v>25</v>
      </c>
      <c r="G996" s="72">
        <f>IF(('S-Table'!$B996-$C$2)*('S-Table'!$B996-$D$2)=0,IF(('S-Table'!$C996-$C$3)*('S-Table'!$C996-$D$3)=0,'S-Table'!A996,0),0)</f>
        <v>0</v>
      </c>
      <c r="H996" s="72">
        <f>IF(('S-Table'!$B996-$C$2)*('S-Table'!$B996-$D$2)=0,IF(('S-Table'!$C996-$C$3)*('S-Table'!$C996-$D$3)=0,'S-Table'!B996,0),0)</f>
        <v>0</v>
      </c>
      <c r="I996" s="72">
        <f>IF(('S-Table'!$B996-$C$2)*('S-Table'!$B996-$D$2)=0,IF(('S-Table'!$C996-$C$3)*('S-Table'!$C996-$D$3)=0,'S-Table'!C996,0),0)</f>
        <v>0</v>
      </c>
      <c r="J996" s="72">
        <f>IF(('S-Table'!$B996-$C$2)*('S-Table'!$B996-$D$2)=0,IF(('S-Table'!$C996-$C$3)*('S-Table'!$C996-$D$3)=0,'S-Table'!D996,0),0)</f>
        <v>0</v>
      </c>
      <c r="K996" s="72">
        <f>IF(('S-Table'!$B996-$C$2)*('S-Table'!$B996-$D$2)=0,IF(('S-Table'!$C996-$C$3)*('S-Table'!$C996-$D$3)=0,'S-Table'!E996,0),0)</f>
        <v>0</v>
      </c>
    </row>
    <row r="997" spans="6:11" x14ac:dyDescent="0.2">
      <c r="F997" s="72">
        <f>IF(G997=0,IF(G996=0,F996,F996+1),IF(G996=0,MAX(F$1:F996),MAX(F$1:F996)+1))</f>
        <v>25</v>
      </c>
      <c r="G997" s="72">
        <f>IF(('S-Table'!$B997-$C$2)*('S-Table'!$B997-$D$2)=0,IF(('S-Table'!$C997-$C$3)*('S-Table'!$C997-$D$3)=0,'S-Table'!A997,0),0)</f>
        <v>0</v>
      </c>
      <c r="H997" s="72">
        <f>IF(('S-Table'!$B997-$C$2)*('S-Table'!$B997-$D$2)=0,IF(('S-Table'!$C997-$C$3)*('S-Table'!$C997-$D$3)=0,'S-Table'!B997,0),0)</f>
        <v>0</v>
      </c>
      <c r="I997" s="72">
        <f>IF(('S-Table'!$B997-$C$2)*('S-Table'!$B997-$D$2)=0,IF(('S-Table'!$C997-$C$3)*('S-Table'!$C997-$D$3)=0,'S-Table'!C997,0),0)</f>
        <v>0</v>
      </c>
      <c r="J997" s="72">
        <f>IF(('S-Table'!$B997-$C$2)*('S-Table'!$B997-$D$2)=0,IF(('S-Table'!$C997-$C$3)*('S-Table'!$C997-$D$3)=0,'S-Table'!D997,0),0)</f>
        <v>0</v>
      </c>
      <c r="K997" s="72">
        <f>IF(('S-Table'!$B997-$C$2)*('S-Table'!$B997-$D$2)=0,IF(('S-Table'!$C997-$C$3)*('S-Table'!$C997-$D$3)=0,'S-Table'!E997,0),0)</f>
        <v>0</v>
      </c>
    </row>
    <row r="998" spans="6:11" x14ac:dyDescent="0.2">
      <c r="F998" s="72">
        <f>IF(G998=0,IF(G997=0,F997,F997+1),IF(G997=0,MAX(F$1:F997),MAX(F$1:F997)+1))</f>
        <v>25</v>
      </c>
      <c r="G998" s="72">
        <f>IF(('S-Table'!$B998-$C$2)*('S-Table'!$B998-$D$2)=0,IF(('S-Table'!$C998-$C$3)*('S-Table'!$C998-$D$3)=0,'S-Table'!A998,0),0)</f>
        <v>0</v>
      </c>
      <c r="H998" s="72">
        <f>IF(('S-Table'!$B998-$C$2)*('S-Table'!$B998-$D$2)=0,IF(('S-Table'!$C998-$C$3)*('S-Table'!$C998-$D$3)=0,'S-Table'!B998,0),0)</f>
        <v>0</v>
      </c>
      <c r="I998" s="72">
        <f>IF(('S-Table'!$B998-$C$2)*('S-Table'!$B998-$D$2)=0,IF(('S-Table'!$C998-$C$3)*('S-Table'!$C998-$D$3)=0,'S-Table'!C998,0),0)</f>
        <v>0</v>
      </c>
      <c r="J998" s="72">
        <f>IF(('S-Table'!$B998-$C$2)*('S-Table'!$B998-$D$2)=0,IF(('S-Table'!$C998-$C$3)*('S-Table'!$C998-$D$3)=0,'S-Table'!D998,0),0)</f>
        <v>0</v>
      </c>
      <c r="K998" s="72">
        <f>IF(('S-Table'!$B998-$C$2)*('S-Table'!$B998-$D$2)=0,IF(('S-Table'!$C998-$C$3)*('S-Table'!$C998-$D$3)=0,'S-Table'!E998,0),0)</f>
        <v>0</v>
      </c>
    </row>
    <row r="999" spans="6:11" x14ac:dyDescent="0.2">
      <c r="F999" s="72">
        <f>IF(G999=0,IF(G998=0,F998,F998+1),IF(G998=0,MAX(F$1:F998),MAX(F$1:F998)+1))</f>
        <v>25</v>
      </c>
      <c r="G999" s="72">
        <f>IF(('S-Table'!$B999-$C$2)*('S-Table'!$B999-$D$2)=0,IF(('S-Table'!$C999-$C$3)*('S-Table'!$C999-$D$3)=0,'S-Table'!A999,0),0)</f>
        <v>0</v>
      </c>
      <c r="H999" s="72">
        <f>IF(('S-Table'!$B999-$C$2)*('S-Table'!$B999-$D$2)=0,IF(('S-Table'!$C999-$C$3)*('S-Table'!$C999-$D$3)=0,'S-Table'!B999,0),0)</f>
        <v>0</v>
      </c>
      <c r="I999" s="72">
        <f>IF(('S-Table'!$B999-$C$2)*('S-Table'!$B999-$D$2)=0,IF(('S-Table'!$C999-$C$3)*('S-Table'!$C999-$D$3)=0,'S-Table'!C999,0),0)</f>
        <v>0</v>
      </c>
      <c r="J999" s="72">
        <f>IF(('S-Table'!$B999-$C$2)*('S-Table'!$B999-$D$2)=0,IF(('S-Table'!$C999-$C$3)*('S-Table'!$C999-$D$3)=0,'S-Table'!D999,0),0)</f>
        <v>0</v>
      </c>
      <c r="K999" s="72">
        <f>IF(('S-Table'!$B999-$C$2)*('S-Table'!$B999-$D$2)=0,IF(('S-Table'!$C999-$C$3)*('S-Table'!$C999-$D$3)=0,'S-Table'!E999,0),0)</f>
        <v>0</v>
      </c>
    </row>
    <row r="1000" spans="6:11" x14ac:dyDescent="0.2">
      <c r="F1000" s="72">
        <f>IF(G1000=0,IF(G999=0,F999,F999+1),IF(G999=0,MAX(F$1:F999),MAX(F$1:F999)+1))</f>
        <v>25</v>
      </c>
      <c r="G1000" s="72">
        <f>IF(('S-Table'!$B1000-$C$2)*('S-Table'!$B1000-$D$2)=0,IF(('S-Table'!$C1000-$C$3)*('S-Table'!$C1000-$D$3)=0,'S-Table'!A1000,0),0)</f>
        <v>0</v>
      </c>
      <c r="H1000" s="72">
        <f>IF(('S-Table'!$B1000-$C$2)*('S-Table'!$B1000-$D$2)=0,IF(('S-Table'!$C1000-$C$3)*('S-Table'!$C1000-$D$3)=0,'S-Table'!B1000,0),0)</f>
        <v>0</v>
      </c>
      <c r="I1000" s="72">
        <f>IF(('S-Table'!$B1000-$C$2)*('S-Table'!$B1000-$D$2)=0,IF(('S-Table'!$C1000-$C$3)*('S-Table'!$C1000-$D$3)=0,'S-Table'!C1000,0),0)</f>
        <v>0</v>
      </c>
      <c r="J1000" s="72">
        <f>IF(('S-Table'!$B1000-$C$2)*('S-Table'!$B1000-$D$2)=0,IF(('S-Table'!$C1000-$C$3)*('S-Table'!$C1000-$D$3)=0,'S-Table'!D1000,0),0)</f>
        <v>0</v>
      </c>
      <c r="K1000" s="72">
        <f>IF(('S-Table'!$B1000-$C$2)*('S-Table'!$B1000-$D$2)=0,IF(('S-Table'!$C1000-$C$3)*('S-Table'!$C1000-$D$3)=0,'S-Table'!E1000,0),0)</f>
        <v>0</v>
      </c>
    </row>
    <row r="1001" spans="6:11" x14ac:dyDescent="0.2">
      <c r="F1001" s="72">
        <f>IF(G1001=0,IF(G1000=0,F1000,F1000+1),IF(G1000=0,MAX(F$1:F1000),MAX(F$1:F1000)+1))</f>
        <v>25</v>
      </c>
      <c r="G1001" s="72">
        <f>IF(('S-Table'!$B1001-$C$2)*('S-Table'!$B1001-$D$2)=0,IF(('S-Table'!$C1001-$C$3)*('S-Table'!$C1001-$D$3)=0,'S-Table'!A1001,0),0)</f>
        <v>0</v>
      </c>
      <c r="H1001" s="72">
        <f>IF(('S-Table'!$B1001-$C$2)*('S-Table'!$B1001-$D$2)=0,IF(('S-Table'!$C1001-$C$3)*('S-Table'!$C1001-$D$3)=0,'S-Table'!B1001,0),0)</f>
        <v>0</v>
      </c>
      <c r="I1001" s="72">
        <f>IF(('S-Table'!$B1001-$C$2)*('S-Table'!$B1001-$D$2)=0,IF(('S-Table'!$C1001-$C$3)*('S-Table'!$C1001-$D$3)=0,'S-Table'!C1001,0),0)</f>
        <v>0</v>
      </c>
      <c r="J1001" s="72">
        <f>IF(('S-Table'!$B1001-$C$2)*('S-Table'!$B1001-$D$2)=0,IF(('S-Table'!$C1001-$C$3)*('S-Table'!$C1001-$D$3)=0,'S-Table'!D1001,0),0)</f>
        <v>0</v>
      </c>
      <c r="K1001" s="72">
        <f>IF(('S-Table'!$B1001-$C$2)*('S-Table'!$B1001-$D$2)=0,IF(('S-Table'!$C1001-$C$3)*('S-Table'!$C1001-$D$3)=0,'S-Table'!E1001,0),0)</f>
        <v>0</v>
      </c>
    </row>
    <row r="1002" spans="6:11" x14ac:dyDescent="0.2">
      <c r="F1002" s="72">
        <f>IF(G1002=0,IF(G1001=0,F1001,F1001+1),IF(G1001=0,MAX(F$1:F1001),MAX(F$1:F1001)+1))</f>
        <v>25</v>
      </c>
      <c r="G1002" s="72">
        <f>IF(('S-Table'!$B1002-$C$2)*('S-Table'!$B1002-$D$2)=0,IF(('S-Table'!$C1002-$C$3)*('S-Table'!$C1002-$D$3)=0,'S-Table'!A1002,0),0)</f>
        <v>0</v>
      </c>
      <c r="H1002" s="72">
        <f>IF(('S-Table'!$B1002-$C$2)*('S-Table'!$B1002-$D$2)=0,IF(('S-Table'!$C1002-$C$3)*('S-Table'!$C1002-$D$3)=0,'S-Table'!B1002,0),0)</f>
        <v>0</v>
      </c>
      <c r="I1002" s="72">
        <f>IF(('S-Table'!$B1002-$C$2)*('S-Table'!$B1002-$D$2)=0,IF(('S-Table'!$C1002-$C$3)*('S-Table'!$C1002-$D$3)=0,'S-Table'!C1002,0),0)</f>
        <v>0</v>
      </c>
      <c r="J1002" s="72">
        <f>IF(('S-Table'!$B1002-$C$2)*('S-Table'!$B1002-$D$2)=0,IF(('S-Table'!$C1002-$C$3)*('S-Table'!$C1002-$D$3)=0,'S-Table'!D1002,0),0)</f>
        <v>0</v>
      </c>
      <c r="K1002" s="72">
        <f>IF(('S-Table'!$B1002-$C$2)*('S-Table'!$B1002-$D$2)=0,IF(('S-Table'!$C1002-$C$3)*('S-Table'!$C1002-$D$3)=0,'S-Table'!E1002,0),0)</f>
        <v>0</v>
      </c>
    </row>
    <row r="1003" spans="6:11" x14ac:dyDescent="0.2">
      <c r="F1003" s="72">
        <f>IF(G1003=0,IF(G1002=0,F1002,F1002+1),IF(G1002=0,MAX(F$1:F1002),MAX(F$1:F1002)+1))</f>
        <v>25</v>
      </c>
      <c r="G1003" s="72">
        <f>IF(('S-Table'!$B1003-$C$2)*('S-Table'!$B1003-$D$2)=0,IF(('S-Table'!$C1003-$C$3)*('S-Table'!$C1003-$D$3)=0,'S-Table'!A1003,0),0)</f>
        <v>0</v>
      </c>
      <c r="H1003" s="72">
        <f>IF(('S-Table'!$B1003-$C$2)*('S-Table'!$B1003-$D$2)=0,IF(('S-Table'!$C1003-$C$3)*('S-Table'!$C1003-$D$3)=0,'S-Table'!B1003,0),0)</f>
        <v>0</v>
      </c>
      <c r="I1003" s="72">
        <f>IF(('S-Table'!$B1003-$C$2)*('S-Table'!$B1003-$D$2)=0,IF(('S-Table'!$C1003-$C$3)*('S-Table'!$C1003-$D$3)=0,'S-Table'!C1003,0),0)</f>
        <v>0</v>
      </c>
      <c r="J1003" s="72">
        <f>IF(('S-Table'!$B1003-$C$2)*('S-Table'!$B1003-$D$2)=0,IF(('S-Table'!$C1003-$C$3)*('S-Table'!$C1003-$D$3)=0,'S-Table'!D1003,0),0)</f>
        <v>0</v>
      </c>
      <c r="K1003" s="72">
        <f>IF(('S-Table'!$B1003-$C$2)*('S-Table'!$B1003-$D$2)=0,IF(('S-Table'!$C1003-$C$3)*('S-Table'!$C1003-$D$3)=0,'S-Table'!E1003,0),0)</f>
        <v>0</v>
      </c>
    </row>
    <row r="1004" spans="6:11" x14ac:dyDescent="0.2">
      <c r="F1004" s="72">
        <f>IF(G1004=0,IF(G1003=0,F1003,F1003+1),IF(G1003=0,MAX(F$1:F1003),MAX(F$1:F1003)+1))</f>
        <v>25</v>
      </c>
      <c r="G1004" s="72">
        <f>IF(('S-Table'!$B1004-$C$2)*('S-Table'!$B1004-$D$2)=0,IF(('S-Table'!$C1004-$C$3)*('S-Table'!$C1004-$D$3)=0,'S-Table'!A1004,0),0)</f>
        <v>0</v>
      </c>
      <c r="H1004" s="72">
        <f>IF(('S-Table'!$B1004-$C$2)*('S-Table'!$B1004-$D$2)=0,IF(('S-Table'!$C1004-$C$3)*('S-Table'!$C1004-$D$3)=0,'S-Table'!B1004,0),0)</f>
        <v>0</v>
      </c>
      <c r="I1004" s="72">
        <f>IF(('S-Table'!$B1004-$C$2)*('S-Table'!$B1004-$D$2)=0,IF(('S-Table'!$C1004-$C$3)*('S-Table'!$C1004-$D$3)=0,'S-Table'!C1004,0),0)</f>
        <v>0</v>
      </c>
      <c r="J1004" s="72">
        <f>IF(('S-Table'!$B1004-$C$2)*('S-Table'!$B1004-$D$2)=0,IF(('S-Table'!$C1004-$C$3)*('S-Table'!$C1004-$D$3)=0,'S-Table'!D1004,0),0)</f>
        <v>0</v>
      </c>
      <c r="K1004" s="72">
        <f>IF(('S-Table'!$B1004-$C$2)*('S-Table'!$B1004-$D$2)=0,IF(('S-Table'!$C1004-$C$3)*('S-Table'!$C1004-$D$3)=0,'S-Table'!E1004,0),0)</f>
        <v>0</v>
      </c>
    </row>
    <row r="1005" spans="6:11" x14ac:dyDescent="0.2">
      <c r="F1005" s="72">
        <f>IF(G1005=0,IF(G1004=0,F1004,F1004+1),IF(G1004=0,MAX(F$1:F1004),MAX(F$1:F1004)+1))</f>
        <v>25</v>
      </c>
      <c r="G1005" s="72">
        <f>IF(('S-Table'!$B1005-$C$2)*('S-Table'!$B1005-$D$2)=0,IF(('S-Table'!$C1005-$C$3)*('S-Table'!$C1005-$D$3)=0,'S-Table'!A1005,0),0)</f>
        <v>0</v>
      </c>
      <c r="H1005" s="72">
        <f>IF(('S-Table'!$B1005-$C$2)*('S-Table'!$B1005-$D$2)=0,IF(('S-Table'!$C1005-$C$3)*('S-Table'!$C1005-$D$3)=0,'S-Table'!B1005,0),0)</f>
        <v>0</v>
      </c>
      <c r="I1005" s="72">
        <f>IF(('S-Table'!$B1005-$C$2)*('S-Table'!$B1005-$D$2)=0,IF(('S-Table'!$C1005-$C$3)*('S-Table'!$C1005-$D$3)=0,'S-Table'!C1005,0),0)</f>
        <v>0</v>
      </c>
      <c r="J1005" s="72">
        <f>IF(('S-Table'!$B1005-$C$2)*('S-Table'!$B1005-$D$2)=0,IF(('S-Table'!$C1005-$C$3)*('S-Table'!$C1005-$D$3)=0,'S-Table'!D1005,0),0)</f>
        <v>0</v>
      </c>
      <c r="K1005" s="72">
        <f>IF(('S-Table'!$B1005-$C$2)*('S-Table'!$B1005-$D$2)=0,IF(('S-Table'!$C1005-$C$3)*('S-Table'!$C1005-$D$3)=0,'S-Table'!E1005,0),0)</f>
        <v>0</v>
      </c>
    </row>
    <row r="1006" spans="6:11" x14ac:dyDescent="0.2">
      <c r="F1006" s="72">
        <f>IF(G1006=0,IF(G1005=0,F1005,F1005+1),IF(G1005=0,MAX(F$1:F1005),MAX(F$1:F1005)+1))</f>
        <v>25</v>
      </c>
      <c r="G1006" s="72">
        <f>IF(('S-Table'!$B1006-$C$2)*('S-Table'!$B1006-$D$2)=0,IF(('S-Table'!$C1006-$C$3)*('S-Table'!$C1006-$D$3)=0,'S-Table'!A1006,0),0)</f>
        <v>0</v>
      </c>
      <c r="H1006" s="72">
        <f>IF(('S-Table'!$B1006-$C$2)*('S-Table'!$B1006-$D$2)=0,IF(('S-Table'!$C1006-$C$3)*('S-Table'!$C1006-$D$3)=0,'S-Table'!B1006,0),0)</f>
        <v>0</v>
      </c>
      <c r="I1006" s="72">
        <f>IF(('S-Table'!$B1006-$C$2)*('S-Table'!$B1006-$D$2)=0,IF(('S-Table'!$C1006-$C$3)*('S-Table'!$C1006-$D$3)=0,'S-Table'!C1006,0),0)</f>
        <v>0</v>
      </c>
      <c r="J1006" s="72">
        <f>IF(('S-Table'!$B1006-$C$2)*('S-Table'!$B1006-$D$2)=0,IF(('S-Table'!$C1006-$C$3)*('S-Table'!$C1006-$D$3)=0,'S-Table'!D1006,0),0)</f>
        <v>0</v>
      </c>
      <c r="K1006" s="72">
        <f>IF(('S-Table'!$B1006-$C$2)*('S-Table'!$B1006-$D$2)=0,IF(('S-Table'!$C1006-$C$3)*('S-Table'!$C1006-$D$3)=0,'S-Table'!E1006,0),0)</f>
        <v>0</v>
      </c>
    </row>
    <row r="1007" spans="6:11" x14ac:dyDescent="0.2">
      <c r="F1007" s="72">
        <f>IF(G1007=0,IF(G1006=0,F1006,F1006+1),IF(G1006=0,MAX(F$1:F1006),MAX(F$1:F1006)+1))</f>
        <v>25</v>
      </c>
      <c r="G1007" s="72">
        <f>IF(('S-Table'!$B1007-$C$2)*('S-Table'!$B1007-$D$2)=0,IF(('S-Table'!$C1007-$C$3)*('S-Table'!$C1007-$D$3)=0,'S-Table'!A1007,0),0)</f>
        <v>0</v>
      </c>
      <c r="H1007" s="72">
        <f>IF(('S-Table'!$B1007-$C$2)*('S-Table'!$B1007-$D$2)=0,IF(('S-Table'!$C1007-$C$3)*('S-Table'!$C1007-$D$3)=0,'S-Table'!B1007,0),0)</f>
        <v>0</v>
      </c>
      <c r="I1007" s="72">
        <f>IF(('S-Table'!$B1007-$C$2)*('S-Table'!$B1007-$D$2)=0,IF(('S-Table'!$C1007-$C$3)*('S-Table'!$C1007-$D$3)=0,'S-Table'!C1007,0),0)</f>
        <v>0</v>
      </c>
      <c r="J1007" s="72">
        <f>IF(('S-Table'!$B1007-$C$2)*('S-Table'!$B1007-$D$2)=0,IF(('S-Table'!$C1007-$C$3)*('S-Table'!$C1007-$D$3)=0,'S-Table'!D1007,0),0)</f>
        <v>0</v>
      </c>
      <c r="K1007" s="72">
        <f>IF(('S-Table'!$B1007-$C$2)*('S-Table'!$B1007-$D$2)=0,IF(('S-Table'!$C1007-$C$3)*('S-Table'!$C1007-$D$3)=0,'S-Table'!E1007,0),0)</f>
        <v>0</v>
      </c>
    </row>
    <row r="1008" spans="6:11" x14ac:dyDescent="0.2">
      <c r="F1008" s="72">
        <f>IF(G1008=0,IF(G1007=0,F1007,F1007+1),IF(G1007=0,MAX(F$1:F1007),MAX(F$1:F1007)+1))</f>
        <v>25</v>
      </c>
      <c r="G1008" s="72">
        <f>IF(('S-Table'!$B1008-$C$2)*('S-Table'!$B1008-$D$2)=0,IF(('S-Table'!$C1008-$C$3)*('S-Table'!$C1008-$D$3)=0,'S-Table'!A1008,0),0)</f>
        <v>0</v>
      </c>
      <c r="H1008" s="72">
        <f>IF(('S-Table'!$B1008-$C$2)*('S-Table'!$B1008-$D$2)=0,IF(('S-Table'!$C1008-$C$3)*('S-Table'!$C1008-$D$3)=0,'S-Table'!B1008,0),0)</f>
        <v>0</v>
      </c>
      <c r="I1008" s="72">
        <f>IF(('S-Table'!$B1008-$C$2)*('S-Table'!$B1008-$D$2)=0,IF(('S-Table'!$C1008-$C$3)*('S-Table'!$C1008-$D$3)=0,'S-Table'!C1008,0),0)</f>
        <v>0</v>
      </c>
      <c r="J1008" s="72">
        <f>IF(('S-Table'!$B1008-$C$2)*('S-Table'!$B1008-$D$2)=0,IF(('S-Table'!$C1008-$C$3)*('S-Table'!$C1008-$D$3)=0,'S-Table'!D1008,0),0)</f>
        <v>0</v>
      </c>
      <c r="K1008" s="72">
        <f>IF(('S-Table'!$B1008-$C$2)*('S-Table'!$B1008-$D$2)=0,IF(('S-Table'!$C1008-$C$3)*('S-Table'!$C1008-$D$3)=0,'S-Table'!E1008,0),0)</f>
        <v>0</v>
      </c>
    </row>
    <row r="1009" spans="6:11" x14ac:dyDescent="0.2">
      <c r="F1009" s="72">
        <f>IF(G1009=0,IF(G1008=0,F1008,F1008+1),IF(G1008=0,MAX(F$1:F1008),MAX(F$1:F1008)+1))</f>
        <v>25</v>
      </c>
      <c r="G1009" s="72">
        <f>IF(('S-Table'!$B1009-$C$2)*('S-Table'!$B1009-$D$2)=0,IF(('S-Table'!$C1009-$C$3)*('S-Table'!$C1009-$D$3)=0,'S-Table'!A1009,0),0)</f>
        <v>0</v>
      </c>
      <c r="H1009" s="72">
        <f>IF(('S-Table'!$B1009-$C$2)*('S-Table'!$B1009-$D$2)=0,IF(('S-Table'!$C1009-$C$3)*('S-Table'!$C1009-$D$3)=0,'S-Table'!B1009,0),0)</f>
        <v>0</v>
      </c>
      <c r="I1009" s="72">
        <f>IF(('S-Table'!$B1009-$C$2)*('S-Table'!$B1009-$D$2)=0,IF(('S-Table'!$C1009-$C$3)*('S-Table'!$C1009-$D$3)=0,'S-Table'!C1009,0),0)</f>
        <v>0</v>
      </c>
      <c r="J1009" s="72">
        <f>IF(('S-Table'!$B1009-$C$2)*('S-Table'!$B1009-$D$2)=0,IF(('S-Table'!$C1009-$C$3)*('S-Table'!$C1009-$D$3)=0,'S-Table'!D1009,0),0)</f>
        <v>0</v>
      </c>
      <c r="K1009" s="72">
        <f>IF(('S-Table'!$B1009-$C$2)*('S-Table'!$B1009-$D$2)=0,IF(('S-Table'!$C1009-$C$3)*('S-Table'!$C1009-$D$3)=0,'S-Table'!E1009,0),0)</f>
        <v>0</v>
      </c>
    </row>
  </sheetData>
  <sheetProtection password="DE07" sheet="1" objects="1" scenarios="1"/>
  <mergeCells count="82">
    <mergeCell ref="V2:V25"/>
    <mergeCell ref="W2:W3"/>
    <mergeCell ref="W4:W5"/>
    <mergeCell ref="N2:N5"/>
    <mergeCell ref="N6:N9"/>
    <mergeCell ref="T2:T5"/>
    <mergeCell ref="U2:U3"/>
    <mergeCell ref="U4:U5"/>
    <mergeCell ref="T6:T9"/>
    <mergeCell ref="U6:U7"/>
    <mergeCell ref="U8:U9"/>
    <mergeCell ref="N10:N13"/>
    <mergeCell ref="N14:N17"/>
    <mergeCell ref="N18:N21"/>
    <mergeCell ref="N22:N25"/>
    <mergeCell ref="O2:O3"/>
    <mergeCell ref="O20:O21"/>
    <mergeCell ref="O22:O23"/>
    <mergeCell ref="O4:O5"/>
    <mergeCell ref="O6:O7"/>
    <mergeCell ref="O8:O9"/>
    <mergeCell ref="O10:O11"/>
    <mergeCell ref="O12:O13"/>
    <mergeCell ref="O24:O25"/>
    <mergeCell ref="T10:T13"/>
    <mergeCell ref="U10:U11"/>
    <mergeCell ref="U12:U13"/>
    <mergeCell ref="T14:T17"/>
    <mergeCell ref="U14:U15"/>
    <mergeCell ref="U16:U17"/>
    <mergeCell ref="T18:T21"/>
    <mergeCell ref="U18:U19"/>
    <mergeCell ref="U20:U21"/>
    <mergeCell ref="T22:T25"/>
    <mergeCell ref="U22:U23"/>
    <mergeCell ref="U24:U25"/>
    <mergeCell ref="O14:O15"/>
    <mergeCell ref="O16:O17"/>
    <mergeCell ref="O18:O19"/>
    <mergeCell ref="W6:W7"/>
    <mergeCell ref="W8:W9"/>
    <mergeCell ref="W10:W11"/>
    <mergeCell ref="W12:W13"/>
    <mergeCell ref="W14:W15"/>
    <mergeCell ref="W16:W17"/>
    <mergeCell ref="W18:W19"/>
    <mergeCell ref="W20:W21"/>
    <mergeCell ref="W22:W23"/>
    <mergeCell ref="W24:W25"/>
    <mergeCell ref="AB2:AB25"/>
    <mergeCell ref="Z6:Z9"/>
    <mergeCell ref="Z10:Z13"/>
    <mergeCell ref="Z14:Z17"/>
    <mergeCell ref="Z18:Z21"/>
    <mergeCell ref="Z22:Z25"/>
    <mergeCell ref="AA2:AA25"/>
    <mergeCell ref="X2:X3"/>
    <mergeCell ref="X4:X5"/>
    <mergeCell ref="X6:X7"/>
    <mergeCell ref="X8:X9"/>
    <mergeCell ref="X10:X11"/>
    <mergeCell ref="X12:X13"/>
    <mergeCell ref="X14:X15"/>
    <mergeCell ref="X16:X17"/>
    <mergeCell ref="X18:X19"/>
    <mergeCell ref="X20:X21"/>
    <mergeCell ref="A5:D10"/>
    <mergeCell ref="AC22:AC25"/>
    <mergeCell ref="AD2:AD5"/>
    <mergeCell ref="AD6:AD9"/>
    <mergeCell ref="AD10:AD13"/>
    <mergeCell ref="AD14:AD17"/>
    <mergeCell ref="AD18:AD21"/>
    <mergeCell ref="AD22:AD25"/>
    <mergeCell ref="AC2:AC5"/>
    <mergeCell ref="AC6:AC9"/>
    <mergeCell ref="AC10:AC13"/>
    <mergeCell ref="AC14:AC17"/>
    <mergeCell ref="AC18:AC21"/>
    <mergeCell ref="X22:X23"/>
    <mergeCell ref="X24:X25"/>
    <mergeCell ref="Z2:Z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 tint="0.59999389629810485"/>
  </sheetPr>
  <dimension ref="A1:M361"/>
  <sheetViews>
    <sheetView zoomScale="95" zoomScaleNormal="95" workbookViewId="0"/>
  </sheetViews>
  <sheetFormatPr defaultColWidth="9.140625" defaultRowHeight="12.75" x14ac:dyDescent="0.2"/>
  <cols>
    <col min="1" max="1" width="8.7109375" style="41" customWidth="1"/>
    <col min="2" max="2" width="8.7109375" style="42" customWidth="1"/>
    <col min="3" max="3" width="14.7109375" style="41" customWidth="1"/>
    <col min="4" max="4" width="15.7109375" style="43" customWidth="1"/>
    <col min="5" max="6" width="15.7109375" style="44" customWidth="1"/>
    <col min="7" max="7" width="16.7109375" style="44" customWidth="1"/>
    <col min="8" max="8" width="19.7109375" style="45" customWidth="1"/>
    <col min="9" max="9" width="22.7109375" style="43" customWidth="1"/>
    <col min="10" max="10" width="18.7109375" style="43" customWidth="1"/>
    <col min="11" max="11" width="12.7109375" style="43" customWidth="1"/>
    <col min="12" max="12" width="13.7109375" style="43" customWidth="1"/>
    <col min="13" max="13" width="22.7109375" style="42" customWidth="1"/>
    <col min="14" max="16384" width="9.140625" style="33"/>
  </cols>
  <sheetData>
    <row r="1" spans="1:13" ht="38.25" customHeight="1" x14ac:dyDescent="0.2">
      <c r="A1" s="46" t="s">
        <v>50</v>
      </c>
      <c r="B1" s="46" t="s">
        <v>49</v>
      </c>
      <c r="C1" s="47" t="s">
        <v>51</v>
      </c>
      <c r="D1" s="48" t="s">
        <v>56</v>
      </c>
      <c r="E1" s="49" t="s">
        <v>54</v>
      </c>
      <c r="F1" s="49" t="s">
        <v>55</v>
      </c>
      <c r="G1" s="49" t="s">
        <v>53</v>
      </c>
      <c r="H1" s="50" t="s">
        <v>52</v>
      </c>
      <c r="I1" s="48" t="s">
        <v>57</v>
      </c>
      <c r="J1" s="48" t="s">
        <v>58</v>
      </c>
      <c r="K1" s="48" t="s">
        <v>59</v>
      </c>
      <c r="L1" s="46" t="s">
        <v>60</v>
      </c>
      <c r="M1" s="48" t="s">
        <v>61</v>
      </c>
    </row>
    <row r="2" spans="1:13" x14ac:dyDescent="0.2">
      <c r="A2" s="34">
        <v>1</v>
      </c>
      <c r="B2" s="35">
        <v>8.3333333333333329E-2</v>
      </c>
      <c r="C2" s="34">
        <v>570</v>
      </c>
      <c r="D2" s="36">
        <v>4332</v>
      </c>
      <c r="E2" s="37">
        <v>113.41629999999998</v>
      </c>
      <c r="F2" s="37">
        <v>156.29337315199993</v>
      </c>
      <c r="G2" s="37">
        <v>269.70967315199994</v>
      </c>
      <c r="H2" s="38">
        <v>0.47317486517894725</v>
      </c>
      <c r="I2" s="36">
        <v>12546864.659125281</v>
      </c>
      <c r="J2" s="36">
        <v>155555.55555555556</v>
      </c>
      <c r="K2" s="36">
        <v>1.2397962342123509E-2</v>
      </c>
      <c r="L2" s="39">
        <v>1.2397962342123509E-2</v>
      </c>
      <c r="M2" s="40">
        <v>3.0299277420393404E-2</v>
      </c>
    </row>
    <row r="3" spans="1:13" x14ac:dyDescent="0.2">
      <c r="A3" s="41">
        <v>2</v>
      </c>
      <c r="B3" s="42">
        <v>0.16666666666666666</v>
      </c>
      <c r="C3" s="41">
        <v>595.34558336848659</v>
      </c>
      <c r="D3" s="43">
        <v>4524.6264336004988</v>
      </c>
      <c r="E3" s="44">
        <v>113.41629999999998</v>
      </c>
      <c r="F3" s="44">
        <v>165.80642576959559</v>
      </c>
      <c r="G3" s="44">
        <v>279.22272576959557</v>
      </c>
      <c r="H3" s="45">
        <v>0.46900948553232463</v>
      </c>
      <c r="I3" s="43">
        <v>13623824.782836903</v>
      </c>
      <c r="J3" s="43">
        <v>155555.55555555556</v>
      </c>
      <c r="K3" s="43">
        <v>1.1417906354133547E-2</v>
      </c>
      <c r="L3" s="43">
        <v>2.3815868696257056E-2</v>
      </c>
      <c r="M3" s="42">
        <v>6.2025812589270868E-2</v>
      </c>
    </row>
    <row r="4" spans="1:13" x14ac:dyDescent="0.2">
      <c r="A4" s="41">
        <v>3</v>
      </c>
      <c r="B4" s="42">
        <v>0.25</v>
      </c>
      <c r="C4" s="41">
        <v>602.69580720695637</v>
      </c>
      <c r="D4" s="43">
        <v>4580.4881347728688</v>
      </c>
      <c r="E4" s="44">
        <v>113.41629999999998</v>
      </c>
      <c r="F4" s="44">
        <v>172.52443982063559</v>
      </c>
      <c r="G4" s="44">
        <v>285.9407398206356</v>
      </c>
      <c r="H4" s="45">
        <v>0.47443625192243621</v>
      </c>
      <c r="I4" s="43">
        <v>12239595.559154013</v>
      </c>
      <c r="J4" s="43">
        <v>155555.55555555556</v>
      </c>
      <c r="K4" s="43">
        <v>1.2709207163239582E-2</v>
      </c>
      <c r="L4" s="43">
        <v>3.6525075859496638E-2</v>
      </c>
      <c r="M4" s="42">
        <v>9.9087349511094519E-2</v>
      </c>
    </row>
    <row r="5" spans="1:13" x14ac:dyDescent="0.2">
      <c r="A5" s="41">
        <v>4</v>
      </c>
      <c r="B5" s="42">
        <v>0.33333333333333331</v>
      </c>
      <c r="C5" s="41">
        <v>606.47450132278186</v>
      </c>
      <c r="D5" s="43">
        <v>4609.2062100531421</v>
      </c>
      <c r="E5" s="44">
        <v>113.41629999999998</v>
      </c>
      <c r="F5" s="44">
        <v>179.35083245328499</v>
      </c>
      <c r="G5" s="44">
        <v>292.76713245328494</v>
      </c>
      <c r="H5" s="45">
        <v>0.4827360949466637</v>
      </c>
      <c r="I5" s="43">
        <v>10414043.997619534</v>
      </c>
      <c r="J5" s="43">
        <v>155555.55555555556</v>
      </c>
      <c r="K5" s="43">
        <v>1.4937094138560659E-2</v>
      </c>
      <c r="L5" s="43">
        <v>5.1462169998057299E-2</v>
      </c>
      <c r="M5" s="42">
        <v>0.14413443533031461</v>
      </c>
    </row>
    <row r="6" spans="1:13" x14ac:dyDescent="0.2">
      <c r="A6" s="41">
        <v>5</v>
      </c>
      <c r="B6" s="42">
        <v>0.41666666666666669</v>
      </c>
      <c r="C6" s="41">
        <v>608.77612060511331</v>
      </c>
      <c r="D6" s="43">
        <v>4626.6985165988608</v>
      </c>
      <c r="E6" s="44">
        <v>113.41629999999998</v>
      </c>
      <c r="F6" s="44">
        <v>184.00940293703985</v>
      </c>
      <c r="G6" s="44">
        <v>297.42570293703983</v>
      </c>
      <c r="H6" s="45">
        <v>0.48856335337431378</v>
      </c>
      <c r="I6" s="43">
        <v>9312927.2435849272</v>
      </c>
      <c r="J6" s="43">
        <v>155555.55555555556</v>
      </c>
      <c r="K6" s="43">
        <v>1.670318595720886E-2</v>
      </c>
      <c r="L6" s="43">
        <v>6.8165355955266155E-2</v>
      </c>
      <c r="M6" s="42">
        <v>0.19582038109483474</v>
      </c>
    </row>
    <row r="7" spans="1:13" x14ac:dyDescent="0.2">
      <c r="A7" s="41">
        <v>6</v>
      </c>
      <c r="B7" s="42">
        <v>0.5</v>
      </c>
      <c r="C7" s="41">
        <v>610.32517176225338</v>
      </c>
      <c r="D7" s="43">
        <v>4638.4713053931255</v>
      </c>
      <c r="E7" s="44">
        <v>113.41629999999998</v>
      </c>
      <c r="F7" s="44">
        <v>185.55962483638723</v>
      </c>
      <c r="G7" s="44">
        <v>298.97592483638721</v>
      </c>
      <c r="H7" s="45">
        <v>0.48986333624930445</v>
      </c>
      <c r="I7" s="43">
        <v>9085275.4454401024</v>
      </c>
      <c r="J7" s="43">
        <v>155555.55555555556</v>
      </c>
      <c r="K7" s="43">
        <v>1.7121721459048209E-2</v>
      </c>
      <c r="L7" s="43">
        <v>8.5287077414314363E-2</v>
      </c>
      <c r="M7" s="42">
        <v>0.24983828920234608</v>
      </c>
    </row>
    <row r="8" spans="1:13" x14ac:dyDescent="0.2">
      <c r="A8" s="41">
        <v>7</v>
      </c>
      <c r="B8" s="42">
        <v>0.58333333333333337</v>
      </c>
      <c r="C8" s="41">
        <v>611.43890475384001</v>
      </c>
      <c r="D8" s="43">
        <v>4646.9356761291838</v>
      </c>
      <c r="E8" s="44">
        <v>113.41629999999998</v>
      </c>
      <c r="F8" s="44">
        <v>183.45928641208323</v>
      </c>
      <c r="G8" s="44">
        <v>296.87558641208318</v>
      </c>
      <c r="H8" s="45">
        <v>0.4855359776813723</v>
      </c>
      <c r="I8" s="43">
        <v>9867962.0327619519</v>
      </c>
      <c r="J8" s="43">
        <v>155555.55555555556</v>
      </c>
      <c r="K8" s="43">
        <v>1.5763696195739921E-2</v>
      </c>
      <c r="L8" s="43">
        <v>0.10105077361005428</v>
      </c>
      <c r="M8" s="42">
        <v>0.30026896922417046</v>
      </c>
    </row>
    <row r="9" spans="1:13" x14ac:dyDescent="0.2">
      <c r="A9" s="41">
        <v>8</v>
      </c>
      <c r="B9" s="42">
        <v>0.66666666666666663</v>
      </c>
      <c r="C9" s="41">
        <v>612.27821730371511</v>
      </c>
      <c r="D9" s="43">
        <v>4653.3144515082349</v>
      </c>
      <c r="E9" s="44">
        <v>113.41629999999998</v>
      </c>
      <c r="F9" s="44">
        <v>179.749034105155</v>
      </c>
      <c r="G9" s="44">
        <v>293.16533410515501</v>
      </c>
      <c r="H9" s="45">
        <v>0.47881065473170831</v>
      </c>
      <c r="I9" s="43">
        <v>11236845.683744103</v>
      </c>
      <c r="J9" s="43">
        <v>155555.55555555556</v>
      </c>
      <c r="K9" s="43">
        <v>1.3843347139721924E-2</v>
      </c>
      <c r="L9" s="43">
        <v>0.1148941207497762</v>
      </c>
      <c r="M9" s="42">
        <v>0.34498782912779791</v>
      </c>
    </row>
    <row r="10" spans="1:13" x14ac:dyDescent="0.2">
      <c r="A10" s="41">
        <v>9</v>
      </c>
      <c r="B10" s="42">
        <v>0.75</v>
      </c>
      <c r="C10" s="41">
        <v>612.93341087513215</v>
      </c>
      <c r="D10" s="43">
        <v>4658.2939226510043</v>
      </c>
      <c r="E10" s="44">
        <v>113.41629999999998</v>
      </c>
      <c r="F10" s="44">
        <v>176.5106199293877</v>
      </c>
      <c r="G10" s="44">
        <v>289.92691992938768</v>
      </c>
      <c r="H10" s="45">
        <v>0.47301536314595205</v>
      </c>
      <c r="I10" s="43">
        <v>12586323.402312901</v>
      </c>
      <c r="J10" s="43">
        <v>155555.55555555556</v>
      </c>
      <c r="K10" s="43">
        <v>1.235909412012806E-2</v>
      </c>
      <c r="L10" s="43">
        <v>0.12725321486990426</v>
      </c>
      <c r="M10" s="42">
        <v>0.38518925184777475</v>
      </c>
    </row>
    <row r="11" spans="1:13" x14ac:dyDescent="0.2">
      <c r="A11" s="41">
        <v>10</v>
      </c>
      <c r="B11" s="42">
        <v>0.83333333333333337</v>
      </c>
      <c r="C11" s="41">
        <v>613.45908285071971</v>
      </c>
      <c r="D11" s="43">
        <v>4662.2890296654705</v>
      </c>
      <c r="E11" s="44">
        <v>113.41629999999998</v>
      </c>
      <c r="F11" s="44">
        <v>173.2282968959897</v>
      </c>
      <c r="G11" s="44">
        <v>286.64459689598971</v>
      </c>
      <c r="H11" s="45">
        <v>0.46725952049477171</v>
      </c>
      <c r="I11" s="43">
        <v>14106492.736540122</v>
      </c>
      <c r="J11" s="43">
        <v>155555.55555555556</v>
      </c>
      <c r="K11" s="43">
        <v>1.1027231109871782E-2</v>
      </c>
      <c r="L11" s="43">
        <v>0.13828044597977604</v>
      </c>
      <c r="M11" s="42">
        <v>0.42124302103054007</v>
      </c>
    </row>
    <row r="12" spans="1:13" x14ac:dyDescent="0.2">
      <c r="A12" s="41">
        <v>11</v>
      </c>
      <c r="B12" s="42">
        <v>0.91666666666666663</v>
      </c>
      <c r="C12" s="41">
        <v>613.89018556228871</v>
      </c>
      <c r="D12" s="43">
        <v>4665.5654102733943</v>
      </c>
      <c r="E12" s="44">
        <v>113.41629999999998</v>
      </c>
      <c r="F12" s="44">
        <v>170.17823081967759</v>
      </c>
      <c r="G12" s="44">
        <v>283.59453081967757</v>
      </c>
      <c r="H12" s="45">
        <v>0.46196296583552809</v>
      </c>
      <c r="I12" s="43">
        <v>15686630.799558913</v>
      </c>
      <c r="J12" s="43">
        <v>155555.55555555556</v>
      </c>
      <c r="K12" s="43">
        <v>9.9164414298530939E-3</v>
      </c>
      <c r="L12" s="43">
        <v>0.14819688740962914</v>
      </c>
      <c r="M12" s="42">
        <v>0.45379187914262298</v>
      </c>
    </row>
    <row r="13" spans="1:13" x14ac:dyDescent="0.2">
      <c r="A13" s="41">
        <v>12</v>
      </c>
      <c r="B13" s="42">
        <v>1</v>
      </c>
      <c r="C13" s="41">
        <v>614.25013293157019</v>
      </c>
      <c r="D13" s="43">
        <v>4668.3010102799335</v>
      </c>
      <c r="E13" s="44">
        <v>113.41629999999998</v>
      </c>
      <c r="F13" s="44">
        <v>168.69118263952532</v>
      </c>
      <c r="G13" s="44">
        <v>282.1074826395253</v>
      </c>
      <c r="H13" s="45">
        <v>0.45927134161638539</v>
      </c>
      <c r="I13" s="43">
        <v>16564005.128129965</v>
      </c>
      <c r="J13" s="43">
        <v>155555.55555555556</v>
      </c>
      <c r="K13" s="43">
        <v>9.3911801132796069E-3</v>
      </c>
      <c r="L13" s="43">
        <v>0.15758806752290874</v>
      </c>
      <c r="M13" s="42">
        <v>0.4847124090572914</v>
      </c>
    </row>
    <row r="14" spans="1:13" x14ac:dyDescent="0.2">
      <c r="A14" s="41">
        <v>13</v>
      </c>
      <c r="B14" s="42">
        <v>1.0833333333333333</v>
      </c>
      <c r="C14" s="41">
        <v>614.55519882220824</v>
      </c>
      <c r="D14" s="43">
        <v>4670.6195110487824</v>
      </c>
      <c r="E14" s="44">
        <v>113.41629999999998</v>
      </c>
      <c r="F14" s="44">
        <v>168.5103596702121</v>
      </c>
      <c r="G14" s="44">
        <v>281.92665967021208</v>
      </c>
      <c r="H14" s="45">
        <v>0.45874912491265718</v>
      </c>
      <c r="I14" s="43">
        <v>16740448.336475166</v>
      </c>
      <c r="J14" s="43">
        <v>155555.55555555556</v>
      </c>
      <c r="K14" s="43">
        <v>9.2921977015765524E-3</v>
      </c>
      <c r="L14" s="43">
        <v>0.16688026522448529</v>
      </c>
      <c r="M14" s="42">
        <v>0.51538678169755314</v>
      </c>
    </row>
    <row r="15" spans="1:13" x14ac:dyDescent="0.2">
      <c r="A15" s="41">
        <v>14</v>
      </c>
      <c r="B15" s="42">
        <v>1.1666666666666667</v>
      </c>
      <c r="C15" s="41">
        <v>614.81704595757594</v>
      </c>
      <c r="D15" s="43">
        <v>4672.6095492775776</v>
      </c>
      <c r="E15" s="44">
        <v>113.41629999999998</v>
      </c>
      <c r="F15" s="44">
        <v>171.22931577935492</v>
      </c>
      <c r="G15" s="44">
        <v>284.6456157793549</v>
      </c>
      <c r="H15" s="45">
        <v>0.46297612867258764</v>
      </c>
      <c r="I15" s="43">
        <v>15369811.823257511</v>
      </c>
      <c r="J15" s="43">
        <v>155555.55555555556</v>
      </c>
      <c r="K15" s="43">
        <v>1.0120849711391378E-2</v>
      </c>
      <c r="L15" s="43">
        <v>0.17700111493587667</v>
      </c>
      <c r="M15" s="42">
        <v>0.54887474448907292</v>
      </c>
    </row>
    <row r="16" spans="1:13" x14ac:dyDescent="0.2">
      <c r="A16" s="41">
        <v>15</v>
      </c>
      <c r="B16" s="42">
        <v>1.25</v>
      </c>
      <c r="C16" s="41">
        <v>615.04425108209341</v>
      </c>
      <c r="D16" s="43">
        <v>4674.3363082239093</v>
      </c>
      <c r="E16" s="44">
        <v>113.41629999999998</v>
      </c>
      <c r="F16" s="44">
        <v>176.05923853126112</v>
      </c>
      <c r="G16" s="44">
        <v>289.47553853126112</v>
      </c>
      <c r="H16" s="45">
        <v>0.4706580673211157</v>
      </c>
      <c r="I16" s="43">
        <v>13185801.613939174</v>
      </c>
      <c r="J16" s="43">
        <v>155555.55555555556</v>
      </c>
      <c r="K16" s="43">
        <v>1.1797201270729899E-2</v>
      </c>
      <c r="L16" s="43">
        <v>0.18879831620660656</v>
      </c>
      <c r="M16" s="42">
        <v>0.58799685956973657</v>
      </c>
    </row>
    <row r="17" spans="1:13" x14ac:dyDescent="0.2">
      <c r="A17" s="41">
        <v>16</v>
      </c>
      <c r="B17" s="42">
        <v>1.3333333333333333</v>
      </c>
      <c r="C17" s="41">
        <v>615.24326233178704</v>
      </c>
      <c r="D17" s="43">
        <v>4675.8487937215814</v>
      </c>
      <c r="E17" s="44">
        <v>113.41629999999998</v>
      </c>
      <c r="F17" s="44">
        <v>181.94399108257412</v>
      </c>
      <c r="G17" s="44">
        <v>295.36029108257412</v>
      </c>
      <c r="H17" s="45">
        <v>0.48007074464034172</v>
      </c>
      <c r="I17" s="43">
        <v>10965129.767095735</v>
      </c>
      <c r="J17" s="43">
        <v>155555.55555555556</v>
      </c>
      <c r="K17" s="43">
        <v>1.4186385283131635E-2</v>
      </c>
      <c r="L17" s="43">
        <v>0.20298470148973818</v>
      </c>
      <c r="M17" s="42">
        <v>0.63514413344809439</v>
      </c>
    </row>
    <row r="18" spans="1:13" x14ac:dyDescent="0.2">
      <c r="A18" s="41">
        <v>17</v>
      </c>
      <c r="B18" s="42">
        <v>1.4166666666666667</v>
      </c>
      <c r="C18" s="41">
        <v>615.41902101622713</v>
      </c>
      <c r="D18" s="43">
        <v>4677.1845597233259</v>
      </c>
      <c r="E18" s="44">
        <v>113.41629999999998</v>
      </c>
      <c r="F18" s="44">
        <v>186.01729401069804</v>
      </c>
      <c r="G18" s="44">
        <v>299.43359401069802</v>
      </c>
      <c r="H18" s="45">
        <v>0.48655238753630053</v>
      </c>
      <c r="I18" s="43">
        <v>9677632.2776620444</v>
      </c>
      <c r="J18" s="43">
        <v>155555.55555555556</v>
      </c>
      <c r="K18" s="43">
        <v>1.6073720419674305E-2</v>
      </c>
      <c r="L18" s="43">
        <v>0.21905842190941249</v>
      </c>
      <c r="M18" s="42">
        <v>0.68866811428267949</v>
      </c>
    </row>
    <row r="19" spans="1:13" x14ac:dyDescent="0.2">
      <c r="A19" s="41">
        <v>18</v>
      </c>
      <c r="B19" s="42">
        <v>1.5</v>
      </c>
      <c r="C19" s="41">
        <v>615.57537747734148</v>
      </c>
      <c r="D19" s="43">
        <v>4678.3728688277952</v>
      </c>
      <c r="E19" s="44">
        <v>113.41629999999998</v>
      </c>
      <c r="F19" s="44">
        <v>187.15586606627559</v>
      </c>
      <c r="G19" s="44">
        <v>300.5721660662756</v>
      </c>
      <c r="H19" s="45">
        <v>0.48827840921453891</v>
      </c>
      <c r="I19" s="43">
        <v>9363666.0682935268</v>
      </c>
      <c r="J19" s="43">
        <v>155555.55555555556</v>
      </c>
      <c r="K19" s="43">
        <v>1.6612676532996508E-2</v>
      </c>
      <c r="L19" s="43">
        <v>0.23567109844240899</v>
      </c>
      <c r="M19" s="42">
        <v>0.74407022446921034</v>
      </c>
    </row>
    <row r="20" spans="1:13" x14ac:dyDescent="0.2">
      <c r="A20" s="41">
        <v>19</v>
      </c>
      <c r="B20" s="42">
        <v>1.5833333333333333</v>
      </c>
      <c r="C20" s="41">
        <v>615.71537642786143</v>
      </c>
      <c r="D20" s="43">
        <v>4679.436860851747</v>
      </c>
      <c r="E20" s="44">
        <v>113.41629999999998</v>
      </c>
      <c r="F20" s="44">
        <v>184.74242105657129</v>
      </c>
      <c r="G20" s="44">
        <v>298.15872105657127</v>
      </c>
      <c r="H20" s="45">
        <v>0.4842476450504955</v>
      </c>
      <c r="I20" s="43">
        <v>10115193.404681444</v>
      </c>
      <c r="J20" s="43">
        <v>155555.55555555556</v>
      </c>
      <c r="K20" s="43">
        <v>1.537840645573444E-2</v>
      </c>
      <c r="L20" s="43">
        <v>0.25104950489814343</v>
      </c>
      <c r="M20" s="42">
        <v>0.79540502549891412</v>
      </c>
    </row>
    <row r="21" spans="1:13" x14ac:dyDescent="0.2">
      <c r="A21" s="41">
        <v>20</v>
      </c>
      <c r="B21" s="42">
        <v>1.6666666666666667</v>
      </c>
      <c r="C21" s="41">
        <v>615.84145718610489</v>
      </c>
      <c r="D21" s="43">
        <v>4680.3950746143973</v>
      </c>
      <c r="E21" s="44">
        <v>113.41629999999998</v>
      </c>
      <c r="F21" s="44">
        <v>180.79510909042079</v>
      </c>
      <c r="G21" s="44">
        <v>294.21140909042077</v>
      </c>
      <c r="H21" s="45">
        <v>0.47773888174844198</v>
      </c>
      <c r="I21" s="43">
        <v>11473829.152948553</v>
      </c>
      <c r="J21" s="43">
        <v>155555.55555555556</v>
      </c>
      <c r="K21" s="43">
        <v>1.355742302608548E-2</v>
      </c>
      <c r="L21" s="43">
        <v>0.26460692792422891</v>
      </c>
      <c r="M21" s="42">
        <v>0.84068242076799926</v>
      </c>
    </row>
    <row r="22" spans="1:13" x14ac:dyDescent="0.2">
      <c r="A22" s="41">
        <v>21</v>
      </c>
      <c r="B22" s="42">
        <v>1.75</v>
      </c>
      <c r="C22" s="41">
        <v>615.95559701790432</v>
      </c>
      <c r="D22" s="43">
        <v>4681.2625373360725</v>
      </c>
      <c r="E22" s="44">
        <v>113.41629999999998</v>
      </c>
      <c r="F22" s="44">
        <v>177.38093951082652</v>
      </c>
      <c r="G22" s="44">
        <v>290.7972395108265</v>
      </c>
      <c r="H22" s="45">
        <v>0.47210747157538002</v>
      </c>
      <c r="I22" s="43">
        <v>12813557.875102721</v>
      </c>
      <c r="J22" s="43">
        <v>155555.55555555556</v>
      </c>
      <c r="K22" s="43">
        <v>1.2139919066335707E-2</v>
      </c>
      <c r="L22" s="43">
        <v>0.27674684699056462</v>
      </c>
      <c r="M22" s="42">
        <v>0.88123134544612236</v>
      </c>
    </row>
    <row r="23" spans="1:13" x14ac:dyDescent="0.2">
      <c r="A23" s="41">
        <v>22</v>
      </c>
      <c r="B23" s="42">
        <v>1.8333333333333333</v>
      </c>
      <c r="C23" s="41">
        <v>616.05941559221628</v>
      </c>
      <c r="D23" s="43">
        <v>4682.0515585008443</v>
      </c>
      <c r="E23" s="44">
        <v>113.41629999999998</v>
      </c>
      <c r="F23" s="44">
        <v>173.96257767324889</v>
      </c>
      <c r="G23" s="44">
        <v>287.37887767324889</v>
      </c>
      <c r="H23" s="45">
        <v>0.46647915834058368</v>
      </c>
      <c r="I23" s="43">
        <v>14327808.832938099</v>
      </c>
      <c r="J23" s="43">
        <v>155555.55555555556</v>
      </c>
      <c r="K23" s="43">
        <v>1.0856897755220602E-2</v>
      </c>
      <c r="L23" s="43">
        <v>0.28760374474578521</v>
      </c>
      <c r="M23" s="42">
        <v>0.91749191020629672</v>
      </c>
    </row>
    <row r="24" spans="1:13" x14ac:dyDescent="0.2">
      <c r="A24" s="41">
        <v>23</v>
      </c>
      <c r="B24" s="42">
        <v>1.9166666666666667</v>
      </c>
      <c r="C24" s="41">
        <v>616.15425232547386</v>
      </c>
      <c r="D24" s="43">
        <v>4682.7723176736008</v>
      </c>
      <c r="E24" s="44">
        <v>113.41629999999998</v>
      </c>
      <c r="F24" s="44">
        <v>170.80585915659844</v>
      </c>
      <c r="G24" s="44">
        <v>284.22215915659842</v>
      </c>
      <c r="H24" s="45">
        <v>0.4612840990448322</v>
      </c>
      <c r="I24" s="43">
        <v>15902958.509686068</v>
      </c>
      <c r="J24" s="43">
        <v>155555.55555555556</v>
      </c>
      <c r="K24" s="43">
        <v>9.7815482232951074E-3</v>
      </c>
      <c r="L24" s="43">
        <v>0.29738529296908034</v>
      </c>
      <c r="M24" s="42">
        <v>0.95015372667036135</v>
      </c>
    </row>
    <row r="25" spans="1:13" x14ac:dyDescent="0.2">
      <c r="A25" s="41">
        <v>24</v>
      </c>
      <c r="B25" s="42">
        <v>2</v>
      </c>
      <c r="C25" s="41">
        <v>616.24122448376227</v>
      </c>
      <c r="D25" s="43">
        <v>4683.433306076593</v>
      </c>
      <c r="E25" s="44">
        <v>113.41629999999998</v>
      </c>
      <c r="F25" s="44">
        <v>169.23799503837628</v>
      </c>
      <c r="G25" s="44">
        <v>282.65429503837629</v>
      </c>
      <c r="H25" s="45">
        <v>0.45867475885788311</v>
      </c>
      <c r="I25" s="43">
        <v>16765743.526440002</v>
      </c>
      <c r="J25" s="43">
        <v>155555.55555555556</v>
      </c>
      <c r="K25" s="43">
        <v>9.2781781678957752E-3</v>
      </c>
      <c r="L25" s="43">
        <v>0.30666347113697612</v>
      </c>
      <c r="M25" s="42">
        <v>0.98112477386332075</v>
      </c>
    </row>
    <row r="26" spans="1:13" x14ac:dyDescent="0.2">
      <c r="A26" s="41">
        <v>25</v>
      </c>
      <c r="B26" s="42">
        <v>2.0833333333333335</v>
      </c>
      <c r="C26" s="41">
        <v>616.32127140551108</v>
      </c>
      <c r="D26" s="43">
        <v>4684.0416626818842</v>
      </c>
      <c r="E26" s="44">
        <v>113.41629999999998</v>
      </c>
      <c r="F26" s="44">
        <v>168.99461483034486</v>
      </c>
      <c r="G26" s="44">
        <v>282.41091483034484</v>
      </c>
      <c r="H26" s="45">
        <v>0.4582202950521424</v>
      </c>
      <c r="I26" s="43">
        <v>16921249.517133441</v>
      </c>
      <c r="J26" s="43">
        <v>155555.55555555556</v>
      </c>
      <c r="K26" s="43">
        <v>9.1929118708431873E-3</v>
      </c>
      <c r="L26" s="43">
        <v>0.31585638300781932</v>
      </c>
      <c r="M26" s="42">
        <v>1.0117985689895173</v>
      </c>
    </row>
    <row r="27" spans="1:13" x14ac:dyDescent="0.2">
      <c r="A27" s="41">
        <v>26</v>
      </c>
      <c r="B27" s="42">
        <v>2.1666666666666665</v>
      </c>
      <c r="C27" s="41">
        <v>616.39518856473649</v>
      </c>
      <c r="D27" s="43">
        <v>4684.6034330919974</v>
      </c>
      <c r="E27" s="44">
        <v>113.41629999999998</v>
      </c>
      <c r="F27" s="44">
        <v>171.66883560172008</v>
      </c>
      <c r="G27" s="44">
        <v>285.08513560172003</v>
      </c>
      <c r="H27" s="45">
        <v>0.46250383015729712</v>
      </c>
      <c r="I27" s="43">
        <v>15516610.51686796</v>
      </c>
      <c r="J27" s="43">
        <v>155555.55555555556</v>
      </c>
      <c r="K27" s="43">
        <v>1.0025098934232615E-2</v>
      </c>
      <c r="L27" s="43">
        <v>0.32588148194205191</v>
      </c>
      <c r="M27" s="42">
        <v>1.0452314806016747</v>
      </c>
    </row>
    <row r="28" spans="1:13" x14ac:dyDescent="0.2">
      <c r="A28" s="41">
        <v>27</v>
      </c>
      <c r="B28" s="42">
        <v>2.25</v>
      </c>
      <c r="C28" s="41">
        <v>616.46365409738848</v>
      </c>
      <c r="D28" s="43">
        <v>4685.1237711401527</v>
      </c>
      <c r="E28" s="44">
        <v>113.41629999999998</v>
      </c>
      <c r="F28" s="44">
        <v>176.4655491562319</v>
      </c>
      <c r="G28" s="44">
        <v>289.88184915623185</v>
      </c>
      <c r="H28" s="45">
        <v>0.47023347966989232</v>
      </c>
      <c r="I28" s="43">
        <v>13297102.630408369</v>
      </c>
      <c r="J28" s="43">
        <v>155555.55555555556</v>
      </c>
      <c r="K28" s="43">
        <v>1.1698454910006081E-2</v>
      </c>
      <c r="L28" s="43">
        <v>0.337579936852058</v>
      </c>
      <c r="M28" s="42">
        <v>1.0842172387346527</v>
      </c>
    </row>
    <row r="29" spans="1:13" x14ac:dyDescent="0.2">
      <c r="A29" s="41">
        <v>28</v>
      </c>
      <c r="B29" s="42">
        <v>2.3333333333333335</v>
      </c>
      <c r="C29" s="41">
        <v>616.52724966717631</v>
      </c>
      <c r="D29" s="43">
        <v>4685.6070974705399</v>
      </c>
      <c r="E29" s="44">
        <v>113.41629999999998</v>
      </c>
      <c r="F29" s="44">
        <v>182.32370069437027</v>
      </c>
      <c r="G29" s="44">
        <v>295.74000069437022</v>
      </c>
      <c r="H29" s="45">
        <v>0.47968682787990535</v>
      </c>
      <c r="I29" s="43">
        <v>11047135.93934812</v>
      </c>
      <c r="J29" s="43">
        <v>155555.55555555556</v>
      </c>
      <c r="K29" s="43">
        <v>1.4081075530309328E-2</v>
      </c>
      <c r="L29" s="43">
        <v>0.35166101238236736</v>
      </c>
      <c r="M29" s="42">
        <v>1.1310969028224431</v>
      </c>
    </row>
    <row r="30" spans="1:13" x14ac:dyDescent="0.2">
      <c r="A30" s="41">
        <v>29</v>
      </c>
      <c r="B30" s="42">
        <v>2.4166666666666665</v>
      </c>
      <c r="C30" s="41">
        <v>616.58647703170766</v>
      </c>
      <c r="D30" s="43">
        <v>4686.0572254409781</v>
      </c>
      <c r="E30" s="44">
        <v>113.41629999999998</v>
      </c>
      <c r="F30" s="44">
        <v>186.37017067108724</v>
      </c>
      <c r="G30" s="44">
        <v>299.78647067108722</v>
      </c>
      <c r="H30" s="45">
        <v>0.48620344726709086</v>
      </c>
      <c r="I30" s="43">
        <v>9742511.6066112053</v>
      </c>
      <c r="J30" s="43">
        <v>155555.55555555556</v>
      </c>
      <c r="K30" s="43">
        <v>1.5966679008110864E-2</v>
      </c>
      <c r="L30" s="43">
        <v>0.36762769139047824</v>
      </c>
      <c r="M30" s="42">
        <v>1.1841833776564488</v>
      </c>
    </row>
    <row r="31" spans="1:13" x14ac:dyDescent="0.2">
      <c r="A31" s="41">
        <v>30</v>
      </c>
      <c r="B31" s="42">
        <v>2.5</v>
      </c>
      <c r="C31" s="41">
        <v>616.64177130829921</v>
      </c>
      <c r="D31" s="43">
        <v>4686.4774619430746</v>
      </c>
      <c r="E31" s="44">
        <v>113.41629999999998</v>
      </c>
      <c r="F31" s="44">
        <v>187.48008608595626</v>
      </c>
      <c r="G31" s="44">
        <v>300.89638608595624</v>
      </c>
      <c r="H31" s="45">
        <v>0.48795978489676239</v>
      </c>
      <c r="I31" s="43">
        <v>9420765.0158780701</v>
      </c>
      <c r="J31" s="43">
        <v>155555.55555555556</v>
      </c>
      <c r="K31" s="43">
        <v>1.6511987645735464E-2</v>
      </c>
      <c r="L31" s="43">
        <v>0.38413967903621371</v>
      </c>
      <c r="M31" s="42">
        <v>1.2389926733734562</v>
      </c>
    </row>
    <row r="32" spans="1:13" x14ac:dyDescent="0.2">
      <c r="A32" s="41">
        <v>31</v>
      </c>
      <c r="B32" s="42">
        <v>2.5833333333333335</v>
      </c>
      <c r="C32" s="41">
        <v>616.69351168188484</v>
      </c>
      <c r="D32" s="43">
        <v>4686.8706887823246</v>
      </c>
      <c r="E32" s="44">
        <v>113.41629999999998</v>
      </c>
      <c r="F32" s="44">
        <v>185.03590580921369</v>
      </c>
      <c r="G32" s="44">
        <v>298.45220580921364</v>
      </c>
      <c r="H32" s="45">
        <v>0.48395548218961515</v>
      </c>
      <c r="I32" s="43">
        <v>10172208.793749584</v>
      </c>
      <c r="J32" s="43">
        <v>155555.55555555556</v>
      </c>
      <c r="K32" s="43">
        <v>1.529221024750674E-2</v>
      </c>
      <c r="L32" s="43">
        <v>0.39943188928372048</v>
      </c>
      <c r="M32" s="42">
        <v>1.2896618966822166</v>
      </c>
    </row>
    <row r="33" spans="1:13" x14ac:dyDescent="0.2">
      <c r="A33" s="41">
        <v>32</v>
      </c>
      <c r="B33" s="42">
        <v>2.6666666666666665</v>
      </c>
      <c r="C33" s="41">
        <v>616.74203011252371</v>
      </c>
      <c r="D33" s="43">
        <v>4687.2394288551795</v>
      </c>
      <c r="E33" s="44">
        <v>113.41629999999998</v>
      </c>
      <c r="F33" s="44">
        <v>181.05949398782553</v>
      </c>
      <c r="G33" s="44">
        <v>294.47579398782551</v>
      </c>
      <c r="H33" s="45">
        <v>0.47746996249647333</v>
      </c>
      <c r="I33" s="43">
        <v>11534155.831810117</v>
      </c>
      <c r="J33" s="43">
        <v>155555.55555555556</v>
      </c>
      <c r="K33" s="43">
        <v>1.3486514125858086E-2</v>
      </c>
      <c r="L33" s="43">
        <v>0.41291840340957858</v>
      </c>
      <c r="M33" s="42">
        <v>1.3342688841406904</v>
      </c>
    </row>
    <row r="34" spans="1:13" x14ac:dyDescent="0.2">
      <c r="A34" s="41">
        <v>33</v>
      </c>
      <c r="B34" s="42">
        <v>2.75</v>
      </c>
      <c r="C34" s="41">
        <v>616.78761846533109</v>
      </c>
      <c r="D34" s="43">
        <v>4687.5859003365158</v>
      </c>
      <c r="E34" s="44">
        <v>113.41629999999998</v>
      </c>
      <c r="F34" s="44">
        <v>177.62054240875005</v>
      </c>
      <c r="G34" s="44">
        <v>291.03684240875003</v>
      </c>
      <c r="H34" s="45">
        <v>0.47185908681645961</v>
      </c>
      <c r="I34" s="43">
        <v>12876514.444994632</v>
      </c>
      <c r="J34" s="43">
        <v>155555.55555555556</v>
      </c>
      <c r="K34" s="43">
        <v>1.2080563899497137E-2</v>
      </c>
      <c r="L34" s="43">
        <v>0.42499896730907571</v>
      </c>
      <c r="M34" s="42">
        <v>1.3741583172057099</v>
      </c>
    </row>
    <row r="35" spans="1:13" x14ac:dyDescent="0.2">
      <c r="A35" s="41">
        <v>34</v>
      </c>
      <c r="B35" s="42">
        <v>2.8333333333333335</v>
      </c>
      <c r="C35" s="41">
        <v>616.830534386512</v>
      </c>
      <c r="D35" s="43">
        <v>4687.9120613374917</v>
      </c>
      <c r="E35" s="44">
        <v>113.41629999999998</v>
      </c>
      <c r="F35" s="44">
        <v>174.1803258477801</v>
      </c>
      <c r="G35" s="44">
        <v>287.59662584778005</v>
      </c>
      <c r="H35" s="45">
        <v>0.46624900976054667</v>
      </c>
      <c r="I35" s="43">
        <v>14393812.742895136</v>
      </c>
      <c r="J35" s="43">
        <v>155555.55555555556</v>
      </c>
      <c r="K35" s="43">
        <v>1.0807112634721375E-2</v>
      </c>
      <c r="L35" s="43">
        <v>0.43580607994379711</v>
      </c>
      <c r="M35" s="42">
        <v>1.409786112075577</v>
      </c>
    </row>
    <row r="36" spans="1:13" x14ac:dyDescent="0.2">
      <c r="A36" s="41">
        <v>35</v>
      </c>
      <c r="B36" s="42">
        <v>2.9166666666666665</v>
      </c>
      <c r="C36" s="41">
        <v>616.8710061754399</v>
      </c>
      <c r="D36" s="43">
        <v>4688.219646933343</v>
      </c>
      <c r="E36" s="44">
        <v>113.41629999999998</v>
      </c>
      <c r="F36" s="44">
        <v>171.00455251412245</v>
      </c>
      <c r="G36" s="44">
        <v>284.42085251412243</v>
      </c>
      <c r="H36" s="45">
        <v>0.46107022321816227</v>
      </c>
      <c r="I36" s="43">
        <v>15971794.939324589</v>
      </c>
      <c r="J36" s="43">
        <v>155555.55555555556</v>
      </c>
      <c r="K36" s="43">
        <v>9.7393909793167966E-3</v>
      </c>
      <c r="L36" s="43">
        <v>0.44554547092311392</v>
      </c>
      <c r="M36" s="42">
        <v>1.4418460955794732</v>
      </c>
    </row>
    <row r="37" spans="1:13" x14ac:dyDescent="0.2">
      <c r="A37" s="41">
        <v>36</v>
      </c>
      <c r="B37" s="42">
        <v>3</v>
      </c>
      <c r="C37" s="41">
        <v>616.90923684736003</v>
      </c>
      <c r="D37" s="43">
        <v>4688.5102000399365</v>
      </c>
      <c r="E37" s="44">
        <v>113.41629999999998</v>
      </c>
      <c r="F37" s="44">
        <v>169.42145091342076</v>
      </c>
      <c r="G37" s="44">
        <v>282.83775091342073</v>
      </c>
      <c r="H37" s="45">
        <v>0.4584754677346522</v>
      </c>
      <c r="I37" s="43">
        <v>16833740.213176083</v>
      </c>
      <c r="J37" s="43">
        <v>155555.55555555556</v>
      </c>
      <c r="K37" s="43">
        <v>9.2407007346946776E-3</v>
      </c>
      <c r="L37" s="43">
        <v>0.4547861716578086</v>
      </c>
      <c r="M37" s="42">
        <v>1.4722210957285344</v>
      </c>
    </row>
    <row r="38" spans="1:13" x14ac:dyDescent="0.2">
      <c r="A38" s="41">
        <v>37</v>
      </c>
      <c r="B38" s="42">
        <v>3.0833333333333335</v>
      </c>
      <c r="C38" s="41">
        <v>616.94540753935837</v>
      </c>
      <c r="D38" s="43">
        <v>4688.7850972991228</v>
      </c>
      <c r="E38" s="44">
        <v>113.41629999999998</v>
      </c>
      <c r="F38" s="44">
        <v>169.16575227186243</v>
      </c>
      <c r="G38" s="44">
        <v>282.58205227186238</v>
      </c>
      <c r="H38" s="45">
        <v>0.45803412882011751</v>
      </c>
      <c r="I38" s="43">
        <v>16985411.472637955</v>
      </c>
      <c r="J38" s="43">
        <v>155555.55555555556</v>
      </c>
      <c r="K38" s="43">
        <v>9.1581858824051603E-3</v>
      </c>
      <c r="L38" s="43">
        <v>0.46394435754021374</v>
      </c>
      <c r="M38" s="42">
        <v>1.5022819086467378</v>
      </c>
    </row>
    <row r="39" spans="1:13" x14ac:dyDescent="0.2">
      <c r="A39" s="41">
        <v>38</v>
      </c>
      <c r="B39" s="42">
        <v>3.1666666666666665</v>
      </c>
      <c r="C39" s="41">
        <v>616.97968038020144</v>
      </c>
      <c r="D39" s="43">
        <v>4689.0455708895306</v>
      </c>
      <c r="E39" s="44">
        <v>113.41629999999998</v>
      </c>
      <c r="F39" s="44">
        <v>171.83161920425471</v>
      </c>
      <c r="G39" s="44">
        <v>285.24791920425469</v>
      </c>
      <c r="H39" s="45">
        <v>0.46232951955318258</v>
      </c>
      <c r="I39" s="43">
        <v>15571181.026787665</v>
      </c>
      <c r="J39" s="43">
        <v>155555.55555555556</v>
      </c>
      <c r="K39" s="43">
        <v>9.9899651341762534E-3</v>
      </c>
      <c r="L39" s="43">
        <v>0.47393432267439001</v>
      </c>
      <c r="M39" s="42">
        <v>1.535022822523129</v>
      </c>
    </row>
    <row r="40" spans="1:13" x14ac:dyDescent="0.2">
      <c r="A40" s="41">
        <v>39</v>
      </c>
      <c r="B40" s="42">
        <v>3.25</v>
      </c>
      <c r="C40" s="41">
        <v>617.01220091998675</v>
      </c>
      <c r="D40" s="43">
        <v>4689.2927269918991</v>
      </c>
      <c r="E40" s="44">
        <v>113.41629999999998</v>
      </c>
      <c r="F40" s="44">
        <v>176.62257320078717</v>
      </c>
      <c r="G40" s="44">
        <v>290.03887320078718</v>
      </c>
      <c r="H40" s="45">
        <v>0.4700699155840502</v>
      </c>
      <c r="I40" s="43">
        <v>13340256.425144052</v>
      </c>
      <c r="J40" s="43">
        <v>155555.55555555556</v>
      </c>
      <c r="K40" s="43">
        <v>1.1660612105053732E-2</v>
      </c>
      <c r="L40" s="43">
        <v>0.48559493477944377</v>
      </c>
      <c r="M40" s="42">
        <v>1.5731710657915616</v>
      </c>
    </row>
    <row r="41" spans="1:13" x14ac:dyDescent="0.2">
      <c r="A41" s="41">
        <v>40</v>
      </c>
      <c r="B41" s="42">
        <v>3.3333333333333335</v>
      </c>
      <c r="C41" s="41">
        <v>617.04310019641264</v>
      </c>
      <c r="D41" s="43">
        <v>4689.5275614927368</v>
      </c>
      <c r="E41" s="44">
        <v>113.41629999999998</v>
      </c>
      <c r="F41" s="44">
        <v>182.47625157926029</v>
      </c>
      <c r="G41" s="44">
        <v>295.89255157926027</v>
      </c>
      <c r="H41" s="45">
        <v>0.47953303664699259</v>
      </c>
      <c r="I41" s="43">
        <v>11080176.698972326</v>
      </c>
      <c r="J41" s="43">
        <v>155555.55555555556</v>
      </c>
      <c r="K41" s="43">
        <v>1.4039086179012214E-2</v>
      </c>
      <c r="L41" s="43">
        <v>0.49963402095845599</v>
      </c>
      <c r="M41" s="42">
        <v>1.6190004993539295</v>
      </c>
    </row>
    <row r="42" spans="1:13" x14ac:dyDescent="0.2">
      <c r="A42" s="41">
        <v>41</v>
      </c>
      <c r="B42" s="42">
        <v>3.4166666666666665</v>
      </c>
      <c r="C42" s="41">
        <v>617.07249649952814</v>
      </c>
      <c r="D42" s="43">
        <v>4689.7509733964143</v>
      </c>
      <c r="E42" s="44">
        <v>113.41629999999998</v>
      </c>
      <c r="F42" s="44">
        <v>186.51707550040371</v>
      </c>
      <c r="G42" s="44">
        <v>299.93337550040371</v>
      </c>
      <c r="H42" s="45">
        <v>0.48605857043027856</v>
      </c>
      <c r="I42" s="43">
        <v>9769590.2978873644</v>
      </c>
      <c r="J42" s="43">
        <v>155555.55555555556</v>
      </c>
      <c r="K42" s="43">
        <v>1.5922423644438174E-2</v>
      </c>
      <c r="L42" s="43">
        <v>0.51555644460289418</v>
      </c>
      <c r="M42" s="42">
        <v>1.6708414050771165</v>
      </c>
    </row>
    <row r="43" spans="1:13" x14ac:dyDescent="0.2">
      <c r="A43" s="41">
        <v>42</v>
      </c>
      <c r="B43" s="42">
        <v>3.5</v>
      </c>
      <c r="C43" s="41">
        <v>617.10049688508116</v>
      </c>
      <c r="D43" s="43">
        <v>4689.9637763266173</v>
      </c>
      <c r="E43" s="44">
        <v>113.41629999999998</v>
      </c>
      <c r="F43" s="44">
        <v>187.6195542741759</v>
      </c>
      <c r="G43" s="44">
        <v>301.0358542741759</v>
      </c>
      <c r="H43" s="45">
        <v>0.48782306252175317</v>
      </c>
      <c r="I43" s="43">
        <v>9445384.4290379491</v>
      </c>
      <c r="J43" s="43">
        <v>155555.55555555556</v>
      </c>
      <c r="K43" s="43">
        <v>1.6468949117341487E-2</v>
      </c>
      <c r="L43" s="43">
        <v>0.53202539372023572</v>
      </c>
      <c r="M43" s="42">
        <v>1.7243042226275238</v>
      </c>
    </row>
    <row r="44" spans="1:13" x14ac:dyDescent="0.2">
      <c r="A44" s="41">
        <v>43</v>
      </c>
      <c r="B44" s="42">
        <v>3.5833333333333335</v>
      </c>
      <c r="C44" s="41">
        <v>617.12719847727408</v>
      </c>
      <c r="D44" s="43">
        <v>4690.1667084272831</v>
      </c>
      <c r="E44" s="44">
        <v>113.41629999999998</v>
      </c>
      <c r="F44" s="44">
        <v>185.16603143483198</v>
      </c>
      <c r="G44" s="44">
        <v>298.58233143483199</v>
      </c>
      <c r="H44" s="45">
        <v>0.48382623901776933</v>
      </c>
      <c r="I44" s="43">
        <v>10197543.973209832</v>
      </c>
      <c r="J44" s="43">
        <v>155555.55555555556</v>
      </c>
      <c r="K44" s="43">
        <v>1.5254217678709561E-2</v>
      </c>
      <c r="L44" s="43">
        <v>0.54727961139894532</v>
      </c>
      <c r="M44" s="42">
        <v>1.7736766748619774</v>
      </c>
    </row>
    <row r="45" spans="1:13" x14ac:dyDescent="0.2">
      <c r="A45" s="41">
        <v>44</v>
      </c>
      <c r="B45" s="42">
        <v>3.6666666666666665</v>
      </c>
      <c r="C45" s="41">
        <v>617.15268959434559</v>
      </c>
      <c r="D45" s="43">
        <v>4690.3604409170266</v>
      </c>
      <c r="E45" s="44">
        <v>113.41629999999998</v>
      </c>
      <c r="F45" s="44">
        <v>181.18005298064531</v>
      </c>
      <c r="G45" s="44">
        <v>294.59635298064529</v>
      </c>
      <c r="H45" s="45">
        <v>0.47734759638539931</v>
      </c>
      <c r="I45" s="43">
        <v>11561722.437535297</v>
      </c>
      <c r="J45" s="43">
        <v>155555.55555555556</v>
      </c>
      <c r="K45" s="43">
        <v>1.3454358240822511E-2</v>
      </c>
      <c r="L45" s="43">
        <v>0.56073396963976785</v>
      </c>
      <c r="M45" s="42">
        <v>1.8171033887223436</v>
      </c>
    </row>
    <row r="46" spans="1:13" x14ac:dyDescent="0.2">
      <c r="A46" s="41">
        <v>45</v>
      </c>
      <c r="B46" s="42">
        <v>3.75</v>
      </c>
      <c r="C46" s="41">
        <v>617.17705072446313</v>
      </c>
      <c r="D46" s="43">
        <v>4690.5455855059199</v>
      </c>
      <c r="E46" s="44">
        <v>113.41629999999998</v>
      </c>
      <c r="F46" s="44">
        <v>177.73268987576733</v>
      </c>
      <c r="G46" s="44">
        <v>291.14898987576731</v>
      </c>
      <c r="H46" s="45">
        <v>0.47174305903631197</v>
      </c>
      <c r="I46" s="43">
        <v>12906040.612927275</v>
      </c>
      <c r="J46" s="43">
        <v>155555.55555555556</v>
      </c>
      <c r="K46" s="43">
        <v>1.2052926239806194E-2</v>
      </c>
      <c r="L46" s="43">
        <v>0.5727868958795741</v>
      </c>
      <c r="M46" s="42">
        <v>1.8559090598006001</v>
      </c>
    </row>
    <row r="47" spans="1:13" x14ac:dyDescent="0.2">
      <c r="A47" s="41">
        <v>46</v>
      </c>
      <c r="B47" s="42">
        <v>3.8333333333333335</v>
      </c>
      <c r="C47" s="41">
        <v>617.20035537465185</v>
      </c>
      <c r="D47" s="43">
        <v>4690.7227008473537</v>
      </c>
      <c r="E47" s="44">
        <v>113.41629999999998</v>
      </c>
      <c r="F47" s="44">
        <v>174.28475573026572</v>
      </c>
      <c r="G47" s="44">
        <v>287.70105573026569</v>
      </c>
      <c r="H47" s="45">
        <v>0.46613883680547447</v>
      </c>
      <c r="I47" s="43">
        <v>14425528.166852823</v>
      </c>
      <c r="J47" s="43">
        <v>155555.55555555556</v>
      </c>
      <c r="K47" s="43">
        <v>1.0783352523132794E-2</v>
      </c>
      <c r="L47" s="43">
        <v>0.58357024840270688</v>
      </c>
      <c r="M47" s="42">
        <v>1.890547714830928</v>
      </c>
    </row>
    <row r="48" spans="1:13" x14ac:dyDescent="0.2">
      <c r="A48" s="41">
        <v>47</v>
      </c>
      <c r="B48" s="42">
        <v>3.9166666666666665</v>
      </c>
      <c r="C48" s="41">
        <v>617.22267081161669</v>
      </c>
      <c r="D48" s="43">
        <v>4690.8922981682863</v>
      </c>
      <c r="E48" s="44">
        <v>113.41629999999998</v>
      </c>
      <c r="F48" s="44">
        <v>171.10203846036148</v>
      </c>
      <c r="G48" s="44">
        <v>284.51833846036146</v>
      </c>
      <c r="H48" s="45">
        <v>0.46096546986233378</v>
      </c>
      <c r="I48" s="43">
        <v>16005630.377121944</v>
      </c>
      <c r="J48" s="43">
        <v>155555.55555555556</v>
      </c>
      <c r="K48" s="43">
        <v>9.7188021896283984E-3</v>
      </c>
      <c r="L48" s="43">
        <v>0.59328905059233528</v>
      </c>
      <c r="M48" s="42">
        <v>1.9217015852456074</v>
      </c>
    </row>
    <row r="49" spans="1:13" x14ac:dyDescent="0.2">
      <c r="A49" s="41">
        <v>48</v>
      </c>
      <c r="B49" s="42">
        <v>4</v>
      </c>
      <c r="C49" s="41">
        <v>617.24405871019076</v>
      </c>
      <c r="D49" s="43">
        <v>4691.0548461974495</v>
      </c>
      <c r="E49" s="44">
        <v>113.41629999999998</v>
      </c>
      <c r="F49" s="44">
        <v>169.51340286098468</v>
      </c>
      <c r="G49" s="44">
        <v>282.92970286098466</v>
      </c>
      <c r="H49" s="45">
        <v>0.45837574111641016</v>
      </c>
      <c r="I49" s="43">
        <v>16867880.811651792</v>
      </c>
      <c r="J49" s="43">
        <v>155555.55555555556</v>
      </c>
      <c r="K49" s="43">
        <v>9.2219975521822973E-3</v>
      </c>
      <c r="L49" s="43">
        <v>0.60251104814451761</v>
      </c>
      <c r="M49" s="42">
        <v>1.9512051133359423</v>
      </c>
    </row>
    <row r="50" spans="1:13" x14ac:dyDescent="0.2">
      <c r="A50" s="41">
        <v>49</v>
      </c>
      <c r="B50" s="42">
        <v>4.083333333333333</v>
      </c>
      <c r="C50" s="41">
        <v>617.26457572256857</v>
      </c>
      <c r="D50" s="43">
        <v>4691.2107754915205</v>
      </c>
      <c r="E50" s="44">
        <v>113.41629999999998</v>
      </c>
      <c r="F50" s="44">
        <v>169.2532678366988</v>
      </c>
      <c r="G50" s="44">
        <v>282.66956783669877</v>
      </c>
      <c r="H50" s="45">
        <v>0.45793907338001116</v>
      </c>
      <c r="I50" s="43">
        <v>17018276.07241758</v>
      </c>
      <c r="J50" s="43">
        <v>155555.55555555556</v>
      </c>
      <c r="K50" s="43">
        <v>9.1405001830751047E-3</v>
      </c>
      <c r="L50" s="43">
        <v>0.61165154832759272</v>
      </c>
      <c r="M50" s="42">
        <v>1.9803917734833403</v>
      </c>
    </row>
    <row r="51" spans="1:13" x14ac:dyDescent="0.2">
      <c r="A51" s="41">
        <v>50</v>
      </c>
      <c r="B51" s="42">
        <v>4.166666666666667</v>
      </c>
      <c r="C51" s="41">
        <v>617.2842739793939</v>
      </c>
      <c r="D51" s="43">
        <v>4691.3604822433936</v>
      </c>
      <c r="E51" s="44">
        <v>113.41629999999998</v>
      </c>
      <c r="F51" s="44">
        <v>171.91644989319451</v>
      </c>
      <c r="G51" s="44">
        <v>285.33274989319449</v>
      </c>
      <c r="H51" s="45">
        <v>0.46223881268473627</v>
      </c>
      <c r="I51" s="43">
        <v>15599662.198141996</v>
      </c>
      <c r="J51" s="43">
        <v>155555.55555555556</v>
      </c>
      <c r="K51" s="43">
        <v>9.9717258989161367E-3</v>
      </c>
      <c r="L51" s="43">
        <v>0.62162327422650887</v>
      </c>
      <c r="M51" s="42">
        <v>2.0121682624006225</v>
      </c>
    </row>
    <row r="52" spans="1:13" x14ac:dyDescent="0.2">
      <c r="A52" s="41">
        <v>51</v>
      </c>
      <c r="B52" s="42">
        <v>4.25</v>
      </c>
      <c r="C52" s="41">
        <v>617.30320153203002</v>
      </c>
      <c r="D52" s="43">
        <v>4691.5043316434276</v>
      </c>
      <c r="E52" s="44">
        <v>113.41629999999998</v>
      </c>
      <c r="F52" s="44">
        <v>176.70587346101775</v>
      </c>
      <c r="G52" s="44">
        <v>290.12217346101772</v>
      </c>
      <c r="H52" s="45">
        <v>0.46998326388230172</v>
      </c>
      <c r="I52" s="43">
        <v>13363180.931509135</v>
      </c>
      <c r="J52" s="43">
        <v>155555.55555555556</v>
      </c>
      <c r="K52" s="43">
        <v>1.1640608351621586E-2</v>
      </c>
      <c r="L52" s="43">
        <v>0.63326388257813049</v>
      </c>
      <c r="M52" s="42">
        <v>2.0491770854600011</v>
      </c>
    </row>
    <row r="53" spans="1:13" x14ac:dyDescent="0.2">
      <c r="A53" s="41">
        <v>52</v>
      </c>
      <c r="B53" s="42">
        <v>4.333333333333333</v>
      </c>
      <c r="C53" s="41">
        <v>617.32140274391452</v>
      </c>
      <c r="D53" s="43">
        <v>4691.6426608537504</v>
      </c>
      <c r="E53" s="44">
        <v>113.41629999999998</v>
      </c>
      <c r="F53" s="44">
        <v>182.55855313268</v>
      </c>
      <c r="G53" s="44">
        <v>295.97485313267998</v>
      </c>
      <c r="H53" s="45">
        <v>0.47945017266064271</v>
      </c>
      <c r="I53" s="43">
        <v>11098024.688595124</v>
      </c>
      <c r="J53" s="43">
        <v>155555.55555555556</v>
      </c>
      <c r="K53" s="43">
        <v>1.401650833552498E-2</v>
      </c>
      <c r="L53" s="43">
        <v>0.64728039091365552</v>
      </c>
      <c r="M53" s="42">
        <v>2.0936155606883431</v>
      </c>
    </row>
    <row r="54" spans="1:13" x14ac:dyDescent="0.2">
      <c r="A54" s="41">
        <v>53</v>
      </c>
      <c r="B54" s="42">
        <v>4.416666666666667</v>
      </c>
      <c r="C54" s="41">
        <v>617.3389186377068</v>
      </c>
      <c r="D54" s="43">
        <v>4691.7757816465719</v>
      </c>
      <c r="E54" s="44">
        <v>113.41629999999998</v>
      </c>
      <c r="F54" s="44">
        <v>186.59760457655528</v>
      </c>
      <c r="G54" s="44">
        <v>300.01390457655526</v>
      </c>
      <c r="H54" s="45">
        <v>0.48597924983994445</v>
      </c>
      <c r="I54" s="43">
        <v>9784451.2790020052</v>
      </c>
      <c r="J54" s="43">
        <v>155555.55555555556</v>
      </c>
      <c r="K54" s="43">
        <v>1.5898240087248095E-2</v>
      </c>
      <c r="L54" s="43">
        <v>0.66317863100090357</v>
      </c>
      <c r="M54" s="42">
        <v>2.1438540305140776</v>
      </c>
    </row>
    <row r="55" spans="1:13" x14ac:dyDescent="0.2">
      <c r="A55" s="41">
        <v>54</v>
      </c>
      <c r="B55" s="42">
        <v>4.5</v>
      </c>
      <c r="C55" s="41">
        <v>617.35578720394869</v>
      </c>
      <c r="D55" s="43">
        <v>4691.9039827500101</v>
      </c>
      <c r="E55" s="44">
        <v>113.41629999999998</v>
      </c>
      <c r="F55" s="44">
        <v>187.6971712200027</v>
      </c>
      <c r="G55" s="44">
        <v>301.11347122000268</v>
      </c>
      <c r="H55" s="45">
        <v>0.48774706168021603</v>
      </c>
      <c r="I55" s="43">
        <v>9459100.6016221158</v>
      </c>
      <c r="J55" s="43">
        <v>155555.55555555556</v>
      </c>
      <c r="K55" s="43">
        <v>1.6445068311133064E-2</v>
      </c>
      <c r="L55" s="43">
        <v>0.67962369931203659</v>
      </c>
      <c r="M55" s="42">
        <v>2.1956327091454275</v>
      </c>
    </row>
    <row r="56" spans="1:13" x14ac:dyDescent="0.2">
      <c r="A56" s="41">
        <v>55</v>
      </c>
      <c r="B56" s="42">
        <v>4.583333333333333</v>
      </c>
      <c r="C56" s="41">
        <v>617.37204367612344</v>
      </c>
      <c r="D56" s="43">
        <v>4692.0275319385382</v>
      </c>
      <c r="E56" s="44">
        <v>113.41629999999998</v>
      </c>
      <c r="F56" s="44">
        <v>185.23949605265904</v>
      </c>
      <c r="G56" s="44">
        <v>298.65579605265901</v>
      </c>
      <c r="H56" s="45">
        <v>0.48375335279894111</v>
      </c>
      <c r="I56" s="43">
        <v>10211862.46519516</v>
      </c>
      <c r="J56" s="43">
        <v>155555.55555555556</v>
      </c>
      <c r="K56" s="43">
        <v>1.5232829083404887E-2</v>
      </c>
      <c r="L56" s="43">
        <v>0.69485652839544143</v>
      </c>
      <c r="M56" s="42">
        <v>2.243422310858934</v>
      </c>
    </row>
    <row r="57" spans="1:13" x14ac:dyDescent="0.2">
      <c r="A57" s="41">
        <v>56</v>
      </c>
      <c r="B57" s="42">
        <v>4.666666666666667</v>
      </c>
      <c r="C57" s="41">
        <v>617.38772077630688</v>
      </c>
      <c r="D57" s="43">
        <v>4692.1466778999329</v>
      </c>
      <c r="E57" s="44">
        <v>113.41629999999998</v>
      </c>
      <c r="F57" s="44">
        <v>181.2490520512446</v>
      </c>
      <c r="G57" s="44">
        <v>294.66535205124455</v>
      </c>
      <c r="H57" s="45">
        <v>0.47727763629754516</v>
      </c>
      <c r="I57" s="43">
        <v>11577515.802935023</v>
      </c>
      <c r="J57" s="43">
        <v>155555.55555555556</v>
      </c>
      <c r="K57" s="43">
        <v>1.3436004597473371E-2</v>
      </c>
      <c r="L57" s="43">
        <v>0.70829253299291484</v>
      </c>
      <c r="M57" s="42">
        <v>2.2854359714869483</v>
      </c>
    </row>
    <row r="58" spans="1:13" x14ac:dyDescent="0.2">
      <c r="A58" s="41">
        <v>57</v>
      </c>
      <c r="B58" s="42">
        <v>4.75</v>
      </c>
      <c r="C58" s="41">
        <v>617.4028489350128</v>
      </c>
      <c r="D58" s="43">
        <v>4692.2616519060975</v>
      </c>
      <c r="E58" s="44">
        <v>113.41629999999998</v>
      </c>
      <c r="F58" s="44">
        <v>177.79771452839017</v>
      </c>
      <c r="G58" s="44">
        <v>291.21401452839018</v>
      </c>
      <c r="H58" s="45">
        <v>0.47167585156226427</v>
      </c>
      <c r="I58" s="43">
        <v>12923177.520268355</v>
      </c>
      <c r="J58" s="43">
        <v>155555.55555555556</v>
      </c>
      <c r="K58" s="43">
        <v>1.2036943337781016E-2</v>
      </c>
      <c r="L58" s="43">
        <v>0.72032947633069588</v>
      </c>
      <c r="M58" s="42">
        <v>2.3229634843343883</v>
      </c>
    </row>
    <row r="59" spans="1:13" x14ac:dyDescent="0.2">
      <c r="A59" s="41">
        <v>58</v>
      </c>
      <c r="B59" s="42">
        <v>4.833333333333333</v>
      </c>
      <c r="C59" s="41">
        <v>617.41745648834228</v>
      </c>
      <c r="D59" s="43">
        <v>4692.3726693114013</v>
      </c>
      <c r="E59" s="44">
        <v>113.41629999999998</v>
      </c>
      <c r="F59" s="44">
        <v>174.34606064404099</v>
      </c>
      <c r="G59" s="44">
        <v>287.762360644041</v>
      </c>
      <c r="H59" s="45">
        <v>0.46607422193848247</v>
      </c>
      <c r="I59" s="43">
        <v>14444164.807608102</v>
      </c>
      <c r="J59" s="43">
        <v>155555.55555555556</v>
      </c>
      <c r="K59" s="43">
        <v>1.0769439259902419E-2</v>
      </c>
      <c r="L59" s="43">
        <v>0.73109891559059825</v>
      </c>
      <c r="M59" s="42">
        <v>2.3564495287214107</v>
      </c>
    </row>
    <row r="60" spans="1:13" x14ac:dyDescent="0.2">
      <c r="A60" s="41">
        <v>59</v>
      </c>
      <c r="B60" s="42">
        <v>4.916666666666667</v>
      </c>
      <c r="C60" s="41">
        <v>617.43156985512326</v>
      </c>
      <c r="D60" s="43">
        <v>4692.4799308989368</v>
      </c>
      <c r="E60" s="44">
        <v>113.41629999999998</v>
      </c>
      <c r="F60" s="44">
        <v>171.15994795375292</v>
      </c>
      <c r="G60" s="44">
        <v>284.5762479537529</v>
      </c>
      <c r="H60" s="45">
        <v>0.46090329981106581</v>
      </c>
      <c r="I60" s="43">
        <v>16025748.894018769</v>
      </c>
      <c r="J60" s="43">
        <v>155555.55555555556</v>
      </c>
      <c r="K60" s="43">
        <v>9.7066013316615095E-3</v>
      </c>
      <c r="L60" s="43">
        <v>0.74080551692225971</v>
      </c>
      <c r="M60" s="42">
        <v>2.3865577898612838</v>
      </c>
    </row>
    <row r="61" spans="1:13" x14ac:dyDescent="0.2">
      <c r="A61" s="41">
        <v>60</v>
      </c>
      <c r="B61" s="42">
        <v>5</v>
      </c>
      <c r="C61" s="41">
        <v>617.44521369637164</v>
      </c>
      <c r="D61" s="43">
        <v>4692.5836240924245</v>
      </c>
      <c r="E61" s="44">
        <v>113.41629999999998</v>
      </c>
      <c r="F61" s="44">
        <v>169.56864594632319</v>
      </c>
      <c r="G61" s="44">
        <v>282.98494594632314</v>
      </c>
      <c r="H61" s="45">
        <v>0.458315879156658</v>
      </c>
      <c r="I61" s="43">
        <v>16888410.889834944</v>
      </c>
      <c r="J61" s="43">
        <v>155555.55555555556</v>
      </c>
      <c r="K61" s="43">
        <v>9.2107870047846672E-3</v>
      </c>
      <c r="L61" s="43">
        <v>0.75001630392704433</v>
      </c>
      <c r="M61" s="42">
        <v>2.4150637919047258</v>
      </c>
    </row>
    <row r="62" spans="1:13" x14ac:dyDescent="0.2">
      <c r="A62" s="41">
        <v>61</v>
      </c>
      <c r="B62" s="42">
        <v>5.083333333333333</v>
      </c>
      <c r="C62" s="41">
        <v>617.45841105909653</v>
      </c>
      <c r="D62" s="43">
        <v>4692.6839240491336</v>
      </c>
      <c r="E62" s="44">
        <v>113.41629999999998</v>
      </c>
      <c r="F62" s="44">
        <v>169.30641727280758</v>
      </c>
      <c r="G62" s="44">
        <v>282.72271727280759</v>
      </c>
      <c r="H62" s="45">
        <v>0.45788139283399992</v>
      </c>
      <c r="I62" s="43">
        <v>17038252.949993555</v>
      </c>
      <c r="J62" s="43">
        <v>155555.55555555556</v>
      </c>
      <c r="K62" s="43">
        <v>9.1297832009011471E-3</v>
      </c>
      <c r="L62" s="43">
        <v>0.75914608712794551</v>
      </c>
      <c r="M62" s="42">
        <v>2.4432570331937478</v>
      </c>
    </row>
    <row r="63" spans="1:13" x14ac:dyDescent="0.2">
      <c r="A63" s="41">
        <v>62</v>
      </c>
      <c r="B63" s="42">
        <v>5.166666666666667</v>
      </c>
      <c r="C63" s="41">
        <v>617.47118350621668</v>
      </c>
      <c r="D63" s="43">
        <v>4692.7809946472471</v>
      </c>
      <c r="E63" s="44">
        <v>113.41629999999998</v>
      </c>
      <c r="F63" s="44">
        <v>171.96850503805581</v>
      </c>
      <c r="G63" s="44">
        <v>285.38480503805579</v>
      </c>
      <c r="H63" s="45">
        <v>0.46218319601174157</v>
      </c>
      <c r="I63" s="43">
        <v>15617153.879026908</v>
      </c>
      <c r="J63" s="43">
        <v>155555.55555555556</v>
      </c>
      <c r="K63" s="43">
        <v>9.9605572667411085E-3</v>
      </c>
      <c r="L63" s="43">
        <v>0.76910664439468657</v>
      </c>
      <c r="M63" s="42">
        <v>2.4739449953780621</v>
      </c>
    </row>
    <row r="64" spans="1:13" x14ac:dyDescent="0.2">
      <c r="A64" s="41">
        <v>63</v>
      </c>
      <c r="B64" s="42">
        <v>5.25</v>
      </c>
      <c r="C64" s="41">
        <v>617.48355123412534</v>
      </c>
      <c r="D64" s="43">
        <v>4692.8749893793529</v>
      </c>
      <c r="E64" s="44">
        <v>113.41629999999998</v>
      </c>
      <c r="F64" s="44">
        <v>176.75749939063891</v>
      </c>
      <c r="G64" s="44">
        <v>290.17379939063892</v>
      </c>
      <c r="H64" s="45">
        <v>0.46992960186661958</v>
      </c>
      <c r="I64" s="43">
        <v>13377399.583803628</v>
      </c>
      <c r="J64" s="43">
        <v>155555.55555555556</v>
      </c>
      <c r="K64" s="43">
        <v>1.1628235710615298E-2</v>
      </c>
      <c r="L64" s="43">
        <v>0.7807348801053019</v>
      </c>
      <c r="M64" s="42">
        <v>2.5096772175054975</v>
      </c>
    </row>
    <row r="65" spans="1:13" x14ac:dyDescent="0.2">
      <c r="A65" s="41">
        <v>64</v>
      </c>
      <c r="B65" s="42">
        <v>5.333333333333333</v>
      </c>
      <c r="C65" s="41">
        <v>617.49553317925506</v>
      </c>
      <c r="D65" s="43">
        <v>4692.9660521623382</v>
      </c>
      <c r="E65" s="44">
        <v>113.41629999999998</v>
      </c>
      <c r="F65" s="44">
        <v>182.61004818888708</v>
      </c>
      <c r="G65" s="44">
        <v>296.02634818888703</v>
      </c>
      <c r="H65" s="45">
        <v>0.479398363684928</v>
      </c>
      <c r="I65" s="43">
        <v>11109199.945138428</v>
      </c>
      <c r="J65" s="43">
        <v>155555.55555555556</v>
      </c>
      <c r="K65" s="43">
        <v>1.4002408483396617E-2</v>
      </c>
      <c r="L65" s="43">
        <v>0.79473728858869852</v>
      </c>
      <c r="M65" s="42">
        <v>2.5525703826343875</v>
      </c>
    </row>
    <row r="66" spans="1:13" x14ac:dyDescent="0.2">
      <c r="A66" s="41">
        <v>65</v>
      </c>
      <c r="B66" s="42">
        <v>5.416666666666667</v>
      </c>
      <c r="C66" s="41">
        <v>617.50714711482283</v>
      </c>
      <c r="D66" s="43">
        <v>4693.0543180726536</v>
      </c>
      <c r="E66" s="44">
        <v>113.41629999999998</v>
      </c>
      <c r="F66" s="44">
        <v>186.64845351852816</v>
      </c>
      <c r="G66" s="44">
        <v>300.06475351852816</v>
      </c>
      <c r="H66" s="45">
        <v>0.4859291992335959</v>
      </c>
      <c r="I66" s="43">
        <v>9793841.309937818</v>
      </c>
      <c r="J66" s="43">
        <v>155555.55555555556</v>
      </c>
      <c r="K66" s="43">
        <v>1.5882997348314519E-2</v>
      </c>
      <c r="L66" s="43">
        <v>0.81062028593701307</v>
      </c>
      <c r="M66" s="42">
        <v>2.6010454697751841</v>
      </c>
    </row>
    <row r="67" spans="1:13" x14ac:dyDescent="0.2">
      <c r="A67" s="41">
        <v>66</v>
      </c>
      <c r="B67" s="42">
        <v>5.5</v>
      </c>
      <c r="C67" s="41">
        <v>617.51840973879541</v>
      </c>
      <c r="D67" s="43">
        <v>4693.1399140148451</v>
      </c>
      <c r="E67" s="44">
        <v>113.41629999999998</v>
      </c>
      <c r="F67" s="44">
        <v>187.74661400550826</v>
      </c>
      <c r="G67" s="44">
        <v>301.16291400550824</v>
      </c>
      <c r="H67" s="45">
        <v>0.48769868113389103</v>
      </c>
      <c r="I67" s="43">
        <v>9467843.5190305728</v>
      </c>
      <c r="J67" s="43">
        <v>155555.55555555556</v>
      </c>
      <c r="K67" s="43">
        <v>1.6429882395382379E-2</v>
      </c>
      <c r="L67" s="43">
        <v>0.82705016833239542</v>
      </c>
      <c r="M67" s="42">
        <v>2.6509887559219973</v>
      </c>
    </row>
    <row r="68" spans="1:13" x14ac:dyDescent="0.2">
      <c r="A68" s="41">
        <v>67</v>
      </c>
      <c r="B68" s="42">
        <v>5.583333333333333</v>
      </c>
      <c r="C68" s="41">
        <v>617.52933675399174</v>
      </c>
      <c r="D68" s="43">
        <v>4693.2229593303373</v>
      </c>
      <c r="E68" s="44">
        <v>113.41629999999998</v>
      </c>
      <c r="F68" s="44">
        <v>185.2866910799936</v>
      </c>
      <c r="G68" s="44">
        <v>298.70299107999358</v>
      </c>
      <c r="H68" s="45">
        <v>0.48370655983747923</v>
      </c>
      <c r="I68" s="43">
        <v>10221066.67286393</v>
      </c>
      <c r="J68" s="43">
        <v>155555.55555555556</v>
      </c>
      <c r="K68" s="43">
        <v>1.5219111716445646E-2</v>
      </c>
      <c r="L68" s="43">
        <v>0.84226928004884105</v>
      </c>
      <c r="M68" s="42">
        <v>2.6970685544503765</v>
      </c>
    </row>
    <row r="69" spans="1:13" x14ac:dyDescent="0.2">
      <c r="A69" s="41">
        <v>68</v>
      </c>
      <c r="B69" s="42">
        <v>5.666666666666667</v>
      </c>
      <c r="C69" s="41">
        <v>617.5399429411292</v>
      </c>
      <c r="D69" s="43">
        <v>4693.3035663525816</v>
      </c>
      <c r="E69" s="44">
        <v>113.41629999999998</v>
      </c>
      <c r="F69" s="44">
        <v>181.29374053814962</v>
      </c>
      <c r="G69" s="44">
        <v>294.7100405381496</v>
      </c>
      <c r="H69" s="45">
        <v>0.47723235380459372</v>
      </c>
      <c r="I69" s="43">
        <v>11587750.980561489</v>
      </c>
      <c r="J69" s="43">
        <v>155555.55555555556</v>
      </c>
      <c r="K69" s="43">
        <v>1.3424136902536203E-2</v>
      </c>
      <c r="L69" s="43">
        <v>0.85569341695137724</v>
      </c>
      <c r="M69" s="42">
        <v>2.737567017960167</v>
      </c>
    </row>
    <row r="70" spans="1:13" x14ac:dyDescent="0.2">
      <c r="A70" s="41">
        <v>69</v>
      </c>
      <c r="B70" s="42">
        <v>5.75</v>
      </c>
      <c r="C70" s="41">
        <v>617.55024222552925</v>
      </c>
      <c r="D70" s="43">
        <v>4693.3818409140222</v>
      </c>
      <c r="E70" s="44">
        <v>113.41629999999998</v>
      </c>
      <c r="F70" s="44">
        <v>177.84016038077945</v>
      </c>
      <c r="G70" s="44">
        <v>291.25646038077946</v>
      </c>
      <c r="H70" s="45">
        <v>0.47163200735076816</v>
      </c>
      <c r="I70" s="43">
        <v>12934370.723366696</v>
      </c>
      <c r="J70" s="43">
        <v>155555.55555555556</v>
      </c>
      <c r="K70" s="43">
        <v>1.2026526754373552E-2</v>
      </c>
      <c r="L70" s="43">
        <v>0.86771994370575078</v>
      </c>
      <c r="M70" s="42">
        <v>2.7737321176368139</v>
      </c>
    </row>
    <row r="71" spans="1:13" x14ac:dyDescent="0.2">
      <c r="A71" s="41">
        <v>70</v>
      </c>
      <c r="B71" s="42">
        <v>5.833333333333333</v>
      </c>
      <c r="C71" s="41">
        <v>617.5602477381143</v>
      </c>
      <c r="D71" s="43">
        <v>4693.4578828096692</v>
      </c>
      <c r="E71" s="44">
        <v>113.41629999999998</v>
      </c>
      <c r="F71" s="44">
        <v>174.3863819722292</v>
      </c>
      <c r="G71" s="44">
        <v>287.80268197222915</v>
      </c>
      <c r="H71" s="45">
        <v>0.46603174836194478</v>
      </c>
      <c r="I71" s="43">
        <v>14456429.835828347</v>
      </c>
      <c r="J71" s="43">
        <v>155555.55555555556</v>
      </c>
      <c r="K71" s="43">
        <v>1.0760302323747438E-2</v>
      </c>
      <c r="L71" s="43">
        <v>0.87848024602949826</v>
      </c>
      <c r="M71" s="42">
        <v>2.8059956180371515</v>
      </c>
    </row>
    <row r="72" spans="1:13" x14ac:dyDescent="0.2">
      <c r="A72" s="41">
        <v>71</v>
      </c>
      <c r="B72" s="42">
        <v>5.916666666666667</v>
      </c>
      <c r="C72" s="41">
        <v>617.56997187125933</v>
      </c>
      <c r="D72" s="43">
        <v>4693.5317862215716</v>
      </c>
      <c r="E72" s="44">
        <v>113.41629999999998</v>
      </c>
      <c r="F72" s="44">
        <v>171.19831476723499</v>
      </c>
      <c r="G72" s="44">
        <v>284.61461476723497</v>
      </c>
      <c r="H72" s="45">
        <v>0.46086213341112164</v>
      </c>
      <c r="I72" s="43">
        <v>16039085.941875778</v>
      </c>
      <c r="J72" s="43">
        <v>155555.55555555556</v>
      </c>
      <c r="K72" s="43">
        <v>9.6985299610760287E-3</v>
      </c>
      <c r="L72" s="43">
        <v>0.88817877599057427</v>
      </c>
      <c r="M72" s="42">
        <v>2.8349993848393353</v>
      </c>
    </row>
    <row r="73" spans="1:13" x14ac:dyDescent="0.2">
      <c r="A73" s="41">
        <v>72</v>
      </c>
      <c r="B73" s="42">
        <v>6</v>
      </c>
      <c r="C73" s="41">
        <v>617.57942632999595</v>
      </c>
      <c r="D73" s="43">
        <v>4693.6036401079691</v>
      </c>
      <c r="E73" s="44">
        <v>113.41629999999998</v>
      </c>
      <c r="F73" s="44">
        <v>169.60550468949216</v>
      </c>
      <c r="G73" s="44">
        <v>283.02180468949211</v>
      </c>
      <c r="H73" s="45">
        <v>0.4582759603430554</v>
      </c>
      <c r="I73" s="43">
        <v>16902116.70416208</v>
      </c>
      <c r="J73" s="43">
        <v>155555.55555555556</v>
      </c>
      <c r="K73" s="43">
        <v>9.2033180386957465E-3</v>
      </c>
      <c r="L73" s="43">
        <v>0.89738209402927005</v>
      </c>
      <c r="M73" s="42">
        <v>2.8624553638446089</v>
      </c>
    </row>
    <row r="74" spans="1:13" x14ac:dyDescent="0.2">
      <c r="A74" s="41">
        <v>73</v>
      </c>
      <c r="B74" s="42">
        <v>6.083333333333333</v>
      </c>
      <c r="C74" s="41">
        <v>617.58862217901526</v>
      </c>
      <c r="D74" s="43">
        <v>4693.6735285605164</v>
      </c>
      <c r="E74" s="44">
        <v>113.41629999999998</v>
      </c>
      <c r="F74" s="44">
        <v>169.34212101869181</v>
      </c>
      <c r="G74" s="44">
        <v>282.75842101869182</v>
      </c>
      <c r="H74" s="45">
        <v>0.45784266559355591</v>
      </c>
      <c r="I74" s="43">
        <v>17051680.17635354</v>
      </c>
      <c r="J74" s="43">
        <v>155555.55555555556</v>
      </c>
      <c r="K74" s="43">
        <v>9.1225940169387312E-3</v>
      </c>
      <c r="L74" s="43">
        <v>0.90650468804620876</v>
      </c>
      <c r="M74" s="42">
        <v>2.8896062108953706</v>
      </c>
    </row>
    <row r="75" spans="1:13" x14ac:dyDescent="0.2">
      <c r="A75" s="41">
        <v>74</v>
      </c>
      <c r="B75" s="42">
        <v>6.166666666666667</v>
      </c>
      <c r="C75" s="41">
        <v>617.59756988586548</v>
      </c>
      <c r="D75" s="43">
        <v>4693.7415311325776</v>
      </c>
      <c r="E75" s="44">
        <v>113.41629999999998</v>
      </c>
      <c r="F75" s="44">
        <v>172.00370421389741</v>
      </c>
      <c r="G75" s="44">
        <v>285.42000421389741</v>
      </c>
      <c r="H75" s="45">
        <v>0.4621456076432493</v>
      </c>
      <c r="I75" s="43">
        <v>15628987.880614521</v>
      </c>
      <c r="J75" s="43">
        <v>155555.55555555556</v>
      </c>
      <c r="K75" s="43">
        <v>9.9530153036012994E-3</v>
      </c>
      <c r="L75" s="43">
        <v>0.91645770334981003</v>
      </c>
      <c r="M75" s="42">
        <v>2.919155463118456</v>
      </c>
    </row>
    <row r="76" spans="1:13" x14ac:dyDescent="0.2">
      <c r="A76" s="41">
        <v>75</v>
      </c>
      <c r="B76" s="42">
        <v>6.25</v>
      </c>
      <c r="C76" s="41">
        <v>617.60627936069886</v>
      </c>
      <c r="D76" s="43">
        <v>4693.8077231413117</v>
      </c>
      <c r="E76" s="44">
        <v>113.41629999999998</v>
      </c>
      <c r="F76" s="44">
        <v>176.7926308799145</v>
      </c>
      <c r="G76" s="44">
        <v>290.20893087991448</v>
      </c>
      <c r="H76" s="45">
        <v>0.46989310273904222</v>
      </c>
      <c r="I76" s="43">
        <v>13387080.213213932</v>
      </c>
      <c r="J76" s="43">
        <v>155555.55555555556</v>
      </c>
      <c r="K76" s="43">
        <v>1.1619826958384245E-2</v>
      </c>
      <c r="L76" s="43">
        <v>0.92807753030819429</v>
      </c>
      <c r="M76" s="42">
        <v>2.9535566449224073</v>
      </c>
    </row>
    <row r="77" spans="1:13" x14ac:dyDescent="0.2">
      <c r="A77" s="41">
        <v>76</v>
      </c>
      <c r="B77" s="42">
        <v>6.333333333333333</v>
      </c>
      <c r="C77" s="41">
        <v>617.61475999288666</v>
      </c>
      <c r="D77" s="43">
        <v>4693.8721759459386</v>
      </c>
      <c r="E77" s="44">
        <v>113.41629999999998</v>
      </c>
      <c r="F77" s="44">
        <v>182.64530676650071</v>
      </c>
      <c r="G77" s="44">
        <v>296.06160676650069</v>
      </c>
      <c r="H77" s="45">
        <v>0.4793629070165204</v>
      </c>
      <c r="I77" s="43">
        <v>11116855.172068218</v>
      </c>
      <c r="J77" s="43">
        <v>155555.55555555556</v>
      </c>
      <c r="K77" s="43">
        <v>1.399276622280719E-2</v>
      </c>
      <c r="L77" s="43">
        <v>0.94207029653100149</v>
      </c>
      <c r="M77" s="42">
        <v>2.994844772861152</v>
      </c>
    </row>
    <row r="78" spans="1:13" x14ac:dyDescent="0.2">
      <c r="A78" s="41">
        <v>77</v>
      </c>
      <c r="B78" s="42">
        <v>6.416666666666667</v>
      </c>
      <c r="C78" s="41">
        <v>617.62302068478368</v>
      </c>
      <c r="D78" s="43">
        <v>4693.9349572043557</v>
      </c>
      <c r="E78" s="44">
        <v>113.41629999999998</v>
      </c>
      <c r="F78" s="44">
        <v>186.68347760324994</v>
      </c>
      <c r="G78" s="44">
        <v>300.09977760324989</v>
      </c>
      <c r="H78" s="45">
        <v>0.48589474088986695</v>
      </c>
      <c r="I78" s="43">
        <v>9800311.8651076518</v>
      </c>
      <c r="J78" s="43">
        <v>155555.55555555556</v>
      </c>
      <c r="K78" s="43">
        <v>1.5872510762579378E-2</v>
      </c>
      <c r="L78" s="43">
        <v>0.95794280729358083</v>
      </c>
      <c r="M78" s="42">
        <v>3.0414963531974535</v>
      </c>
    </row>
    <row r="79" spans="1:13" x14ac:dyDescent="0.2">
      <c r="A79" s="41">
        <v>78</v>
      </c>
      <c r="B79" s="42">
        <v>6.5</v>
      </c>
      <c r="C79" s="41">
        <v>617.63106988290065</v>
      </c>
      <c r="D79" s="43">
        <v>4693.9961311100451</v>
      </c>
      <c r="E79" s="44">
        <v>113.41629999999998</v>
      </c>
      <c r="F79" s="44">
        <v>187.78086652374185</v>
      </c>
      <c r="G79" s="44">
        <v>301.19716652374183</v>
      </c>
      <c r="H79" s="45">
        <v>0.48766517944255477</v>
      </c>
      <c r="I79" s="43">
        <v>9473902.9010303151</v>
      </c>
      <c r="J79" s="43">
        <v>155555.55555555556</v>
      </c>
      <c r="K79" s="43">
        <v>1.6419374061627592E-2</v>
      </c>
      <c r="L79" s="43">
        <v>0.97436218135520847</v>
      </c>
      <c r="M79" s="42">
        <v>3.089550332558598</v>
      </c>
    </row>
    <row r="80" spans="1:13" x14ac:dyDescent="0.2">
      <c r="A80" s="41">
        <v>79</v>
      </c>
      <c r="B80" s="42">
        <v>6.583333333333333</v>
      </c>
      <c r="C80" s="41">
        <v>617.63891560671232</v>
      </c>
      <c r="D80" s="43">
        <v>4694.0557586110135</v>
      </c>
      <c r="E80" s="44">
        <v>113.41629999999998</v>
      </c>
      <c r="F80" s="44">
        <v>185.31956968482177</v>
      </c>
      <c r="G80" s="44">
        <v>298.73586968482175</v>
      </c>
      <c r="H80" s="45">
        <v>0.48367397541874574</v>
      </c>
      <c r="I80" s="43">
        <v>10227481.476306878</v>
      </c>
      <c r="J80" s="43">
        <v>155555.55555555556</v>
      </c>
      <c r="K80" s="43">
        <v>1.5209566100502617E-2</v>
      </c>
      <c r="L80" s="43">
        <v>0.98957174745571108</v>
      </c>
      <c r="M80" s="42">
        <v>3.1338776080172144</v>
      </c>
    </row>
    <row r="81" spans="1:13" x14ac:dyDescent="0.2">
      <c r="A81" s="41">
        <v>80</v>
      </c>
      <c r="B81" s="42">
        <v>6.666666666666667</v>
      </c>
      <c r="C81" s="41">
        <v>617.64656547530819</v>
      </c>
      <c r="D81" s="43">
        <v>4694.113897612343</v>
      </c>
      <c r="E81" s="44">
        <v>113.41629999999998</v>
      </c>
      <c r="F81" s="44">
        <v>181.32504215396884</v>
      </c>
      <c r="G81" s="44">
        <v>294.74134215396884</v>
      </c>
      <c r="H81" s="45">
        <v>0.47720064941533591</v>
      </c>
      <c r="I81" s="43">
        <v>11594923.070290972</v>
      </c>
      <c r="J81" s="43">
        <v>155555.55555555556</v>
      </c>
      <c r="K81" s="43">
        <v>1.3415833344692639E-2</v>
      </c>
      <c r="L81" s="43">
        <v>1.0029875808004036</v>
      </c>
      <c r="M81" s="42">
        <v>3.1728286514824826</v>
      </c>
    </row>
    <row r="82" spans="1:13" x14ac:dyDescent="0.2">
      <c r="A82" s="41">
        <v>81</v>
      </c>
      <c r="B82" s="42">
        <v>6.75</v>
      </c>
      <c r="C82" s="41">
        <v>617.65402673207154</v>
      </c>
      <c r="D82" s="43">
        <v>4694.1706031637432</v>
      </c>
      <c r="E82" s="44">
        <v>113.41629999999998</v>
      </c>
      <c r="F82" s="44">
        <v>177.87004791385209</v>
      </c>
      <c r="G82" s="44">
        <v>291.28634791385207</v>
      </c>
      <c r="H82" s="45">
        <v>0.47160114774125395</v>
      </c>
      <c r="I82" s="43">
        <v>12942255.461295193</v>
      </c>
      <c r="J82" s="43">
        <v>155555.55555555556</v>
      </c>
      <c r="K82" s="43">
        <v>1.2019199900724906E-2</v>
      </c>
      <c r="L82" s="43">
        <v>1.0150067807011285</v>
      </c>
      <c r="M82" s="42">
        <v>3.2076065367230546</v>
      </c>
    </row>
    <row r="83" spans="1:13" x14ac:dyDescent="0.2">
      <c r="A83" s="41">
        <v>82</v>
      </c>
      <c r="B83" s="42">
        <v>6.833333333333333</v>
      </c>
      <c r="C83" s="41">
        <v>617.66130626755557</v>
      </c>
      <c r="D83" s="43">
        <v>4694.2259276334225</v>
      </c>
      <c r="E83" s="44">
        <v>113.41629999999998</v>
      </c>
      <c r="F83" s="44">
        <v>174.41491883382488</v>
      </c>
      <c r="G83" s="44">
        <v>287.83121883382489</v>
      </c>
      <c r="H83" s="45">
        <v>0.4660017001439678</v>
      </c>
      <c r="I83" s="43">
        <v>14465113.778228302</v>
      </c>
      <c r="J83" s="43">
        <v>155555.55555555556</v>
      </c>
      <c r="K83" s="43">
        <v>1.0753842516585316E-2</v>
      </c>
      <c r="L83" s="43">
        <v>1.0257606232177139</v>
      </c>
      <c r="M83" s="42">
        <v>3.2386283853867015</v>
      </c>
    </row>
    <row r="84" spans="1:13" x14ac:dyDescent="0.2">
      <c r="A84" s="41">
        <v>83</v>
      </c>
      <c r="B84" s="42">
        <v>6.916666666666667</v>
      </c>
      <c r="C84" s="41">
        <v>617.66841064070866</v>
      </c>
      <c r="D84" s="43">
        <v>4694.2799208693859</v>
      </c>
      <c r="E84" s="44">
        <v>113.41629999999998</v>
      </c>
      <c r="F84" s="44">
        <v>171.22560325632134</v>
      </c>
      <c r="G84" s="44">
        <v>284.64190325632131</v>
      </c>
      <c r="H84" s="45">
        <v>0.46083286493648218</v>
      </c>
      <c r="I84" s="43">
        <v>16048575.788042413</v>
      </c>
      <c r="J84" s="43">
        <v>155555.55555555556</v>
      </c>
      <c r="K84" s="43">
        <v>9.6927950249303743E-3</v>
      </c>
      <c r="L84" s="43">
        <v>1.0354534182426443</v>
      </c>
      <c r="M84" s="42">
        <v>3.2665127990000462</v>
      </c>
    </row>
    <row r="85" spans="1:13" x14ac:dyDescent="0.2">
      <c r="A85" s="41">
        <v>84</v>
      </c>
      <c r="B85" s="42">
        <v>7</v>
      </c>
      <c r="C85" s="41">
        <v>617.6753460985841</v>
      </c>
      <c r="D85" s="43">
        <v>4694.3326303492395</v>
      </c>
      <c r="E85" s="44">
        <v>113.41629999999998</v>
      </c>
      <c r="F85" s="44">
        <v>169.63184708379401</v>
      </c>
      <c r="G85" s="44">
        <v>283.04814708379399</v>
      </c>
      <c r="H85" s="45">
        <v>0.45824744159145714</v>
      </c>
      <c r="I85" s="43">
        <v>16911915.938949421</v>
      </c>
      <c r="J85" s="43">
        <v>155555.55555555556</v>
      </c>
      <c r="K85" s="43">
        <v>9.1979853800774492E-3</v>
      </c>
      <c r="L85" s="43">
        <v>1.0446514036227217</v>
      </c>
      <c r="M85" s="42">
        <v>3.2929065928200552</v>
      </c>
    </row>
    <row r="86" spans="1:13" x14ac:dyDescent="0.2">
      <c r="A86" s="41">
        <v>85</v>
      </c>
      <c r="B86" s="42">
        <v>7.083333333333333</v>
      </c>
      <c r="C86" s="41">
        <v>617.68211859466282</v>
      </c>
      <c r="D86" s="43">
        <v>4694.3841013194378</v>
      </c>
      <c r="E86" s="44">
        <v>113.41629999999998</v>
      </c>
      <c r="F86" s="44">
        <v>169.36775763304126</v>
      </c>
      <c r="G86" s="44">
        <v>282.78405763304124</v>
      </c>
      <c r="H86" s="45">
        <v>0.45781486806907329</v>
      </c>
      <c r="I86" s="43">
        <v>17061325.155099433</v>
      </c>
      <c r="J86" s="43">
        <v>155555.55555555556</v>
      </c>
      <c r="K86" s="43">
        <v>9.1174369013805358E-3</v>
      </c>
      <c r="L86" s="43">
        <v>1.0537688405241021</v>
      </c>
      <c r="M86" s="42">
        <v>3.3190047501595452</v>
      </c>
    </row>
    <row r="87" spans="1:13" x14ac:dyDescent="0.2">
      <c r="A87" s="41">
        <v>86</v>
      </c>
      <c r="B87" s="42">
        <v>7.166666666666667</v>
      </c>
      <c r="C87" s="41">
        <v>617.68873380589741</v>
      </c>
      <c r="D87" s="43">
        <v>4694.4343769248198</v>
      </c>
      <c r="E87" s="44">
        <v>113.41629999999998</v>
      </c>
      <c r="F87" s="44">
        <v>172.02909377613136</v>
      </c>
      <c r="G87" s="44">
        <v>285.44539377613137</v>
      </c>
      <c r="H87" s="45">
        <v>0.46211850427861256</v>
      </c>
      <c r="I87" s="43">
        <v>15637527.034471644</v>
      </c>
      <c r="J87" s="43">
        <v>155555.55555555556</v>
      </c>
      <c r="K87" s="43">
        <v>9.947580279966655E-3</v>
      </c>
      <c r="L87" s="43">
        <v>1.0637164208040688</v>
      </c>
      <c r="M87" s="42">
        <v>3.3474059281895472</v>
      </c>
    </row>
    <row r="88" spans="1:13" x14ac:dyDescent="0.2">
      <c r="A88" s="41">
        <v>87</v>
      </c>
      <c r="B88" s="42">
        <v>7.25</v>
      </c>
      <c r="C88" s="41">
        <v>617.69519714858359</v>
      </c>
      <c r="D88" s="43">
        <v>4694.4834983292349</v>
      </c>
      <c r="E88" s="44">
        <v>113.41629999999998</v>
      </c>
      <c r="F88" s="44">
        <v>176.81808400462756</v>
      </c>
      <c r="G88" s="44">
        <v>290.23438400462754</v>
      </c>
      <c r="H88" s="45">
        <v>0.4698666678070561</v>
      </c>
      <c r="I88" s="43">
        <v>13394096.369374475</v>
      </c>
      <c r="J88" s="43">
        <v>155555.55555555556</v>
      </c>
      <c r="K88" s="43">
        <v>1.1613740208054084E-2</v>
      </c>
      <c r="L88" s="43">
        <v>1.0753301610121229</v>
      </c>
      <c r="M88" s="42">
        <v>3.3804675166628244</v>
      </c>
    </row>
    <row r="89" spans="1:13" x14ac:dyDescent="0.2">
      <c r="A89" s="41">
        <v>88</v>
      </c>
      <c r="B89" s="42">
        <v>7.333333333333333</v>
      </c>
      <c r="C89" s="41">
        <v>617.70151379314973</v>
      </c>
      <c r="D89" s="43">
        <v>4694.5315048279381</v>
      </c>
      <c r="E89" s="44">
        <v>113.41629999999998</v>
      </c>
      <c r="F89" s="44">
        <v>182.6709622000956</v>
      </c>
      <c r="G89" s="44">
        <v>296.08726220009555</v>
      </c>
      <c r="H89" s="45">
        <v>0.47933711604800527</v>
      </c>
      <c r="I89" s="43">
        <v>11122427.208272237</v>
      </c>
      <c r="J89" s="43">
        <v>155555.55555555556</v>
      </c>
      <c r="K89" s="43">
        <v>1.3985756224132631E-2</v>
      </c>
      <c r="L89" s="43">
        <v>1.0893159172362554</v>
      </c>
      <c r="M89" s="42">
        <v>3.4201436490154205</v>
      </c>
    </row>
    <row r="90" spans="1:13" x14ac:dyDescent="0.2">
      <c r="A90" s="41">
        <v>89</v>
      </c>
      <c r="B90" s="42">
        <v>7.416666666666667</v>
      </c>
      <c r="C90" s="41">
        <v>617.70768867795255</v>
      </c>
      <c r="D90" s="43">
        <v>4694.5784339524398</v>
      </c>
      <c r="E90" s="44">
        <v>113.41629999999998</v>
      </c>
      <c r="F90" s="44">
        <v>186.70906945277159</v>
      </c>
      <c r="G90" s="44">
        <v>300.12536945277157</v>
      </c>
      <c r="H90" s="45">
        <v>0.48586957059756564</v>
      </c>
      <c r="I90" s="43">
        <v>9805041.3106744662</v>
      </c>
      <c r="J90" s="43">
        <v>155555.55555555556</v>
      </c>
      <c r="K90" s="43">
        <v>1.5864854683091106E-2</v>
      </c>
      <c r="L90" s="43">
        <v>1.1051807719193465</v>
      </c>
      <c r="M90" s="42">
        <v>3.464968210969952</v>
      </c>
    </row>
    <row r="91" spans="1:13" x14ac:dyDescent="0.2">
      <c r="A91" s="41">
        <v>90</v>
      </c>
      <c r="B91" s="42">
        <v>7.5</v>
      </c>
      <c r="C91" s="41">
        <v>617.71372652215223</v>
      </c>
      <c r="D91" s="43">
        <v>4694.6243215683571</v>
      </c>
      <c r="E91" s="44">
        <v>113.41629999999998</v>
      </c>
      <c r="F91" s="44">
        <v>187.80599695532058</v>
      </c>
      <c r="G91" s="44">
        <v>301.22229695532053</v>
      </c>
      <c r="H91" s="45">
        <v>0.48764060765050554</v>
      </c>
      <c r="I91" s="43">
        <v>9478349.8804369681</v>
      </c>
      <c r="J91" s="43">
        <v>155555.55555555556</v>
      </c>
      <c r="K91" s="43">
        <v>1.6411670545800131E-2</v>
      </c>
      <c r="L91" s="43">
        <v>1.1215924424651467</v>
      </c>
      <c r="M91" s="42">
        <v>3.5111340307882135</v>
      </c>
    </row>
    <row r="92" spans="1:13" x14ac:dyDescent="0.2">
      <c r="A92" s="41">
        <v>91</v>
      </c>
      <c r="B92" s="42">
        <v>7.583333333333333</v>
      </c>
      <c r="C92" s="41">
        <v>617.71963183774096</v>
      </c>
      <c r="D92" s="43">
        <v>4694.6692019668317</v>
      </c>
      <c r="E92" s="44">
        <v>113.41629999999998</v>
      </c>
      <c r="F92" s="44">
        <v>185.34378819959284</v>
      </c>
      <c r="G92" s="44">
        <v>298.76008819959281</v>
      </c>
      <c r="H92" s="45">
        <v>0.48364998099666906</v>
      </c>
      <c r="I92" s="43">
        <v>10232208.041338721</v>
      </c>
      <c r="J92" s="43">
        <v>155555.55555555556</v>
      </c>
      <c r="K92" s="43">
        <v>1.5202540343892734E-2</v>
      </c>
      <c r="L92" s="43">
        <v>1.1367949828090393</v>
      </c>
      <c r="M92" s="42">
        <v>3.5537140393091482</v>
      </c>
    </row>
    <row r="93" spans="1:13" x14ac:dyDescent="0.2">
      <c r="A93" s="41">
        <v>92</v>
      </c>
      <c r="B93" s="42">
        <v>7.666666666666667</v>
      </c>
      <c r="C93" s="41">
        <v>617.72540894078804</v>
      </c>
      <c r="D93" s="43">
        <v>4694.7131079499886</v>
      </c>
      <c r="E93" s="44">
        <v>113.41629999999998</v>
      </c>
      <c r="F93" s="44">
        <v>181.34818855435509</v>
      </c>
      <c r="G93" s="44">
        <v>294.76448855435507</v>
      </c>
      <c r="H93" s="45">
        <v>0.47717721221762088</v>
      </c>
      <c r="I93" s="43">
        <v>11600228.136194803</v>
      </c>
      <c r="J93" s="43">
        <v>155555.55555555556</v>
      </c>
      <c r="K93" s="43">
        <v>1.3409697958456023E-2</v>
      </c>
      <c r="L93" s="43">
        <v>1.1502046807674953</v>
      </c>
      <c r="M93" s="42">
        <v>3.5911254877637471</v>
      </c>
    </row>
    <row r="94" spans="1:13" x14ac:dyDescent="0.2">
      <c r="A94" s="41">
        <v>93</v>
      </c>
      <c r="B94" s="42">
        <v>7.75</v>
      </c>
      <c r="C94" s="41">
        <v>617.73106196195931</v>
      </c>
      <c r="D94" s="43">
        <v>4694.7560709108902</v>
      </c>
      <c r="E94" s="44">
        <v>113.41629999999998</v>
      </c>
      <c r="F94" s="44">
        <v>177.89223227506102</v>
      </c>
      <c r="G94" s="44">
        <v>291.308532275061</v>
      </c>
      <c r="H94" s="45">
        <v>0.47157824855017594</v>
      </c>
      <c r="I94" s="43">
        <v>12948109.724722298</v>
      </c>
      <c r="J94" s="43">
        <v>155555.55555555556</v>
      </c>
      <c r="K94" s="43">
        <v>1.2013765627777132E-2</v>
      </c>
      <c r="L94" s="43">
        <v>1.1622184463952725</v>
      </c>
      <c r="M94" s="42">
        <v>3.6245255565792167</v>
      </c>
    </row>
    <row r="95" spans="1:13" x14ac:dyDescent="0.2">
      <c r="A95" s="41">
        <v>94</v>
      </c>
      <c r="B95" s="42">
        <v>7.833333333333333</v>
      </c>
      <c r="C95" s="41">
        <v>617.73659485636733</v>
      </c>
      <c r="D95" s="43">
        <v>4694.7981209083919</v>
      </c>
      <c r="E95" s="44">
        <v>113.41629999999998</v>
      </c>
      <c r="F95" s="44">
        <v>174.43617879130232</v>
      </c>
      <c r="G95" s="44">
        <v>287.8524787913023</v>
      </c>
      <c r="H95" s="45">
        <v>0.46597932061679487</v>
      </c>
      <c r="I95" s="43">
        <v>14471585.220386159</v>
      </c>
      <c r="J95" s="43">
        <v>155555.55555555556</v>
      </c>
      <c r="K95" s="43">
        <v>1.0749033584546361E-2</v>
      </c>
      <c r="L95" s="43">
        <v>1.1729674799798189</v>
      </c>
      <c r="M95" s="42">
        <v>3.654315979629378</v>
      </c>
    </row>
    <row r="96" spans="1:13" x14ac:dyDescent="0.2">
      <c r="A96" s="41">
        <v>95</v>
      </c>
      <c r="B96" s="42">
        <v>7.916666666666667</v>
      </c>
      <c r="C96" s="41">
        <v>617.74201141279957</v>
      </c>
      <c r="D96" s="43">
        <v>4694.8392867372768</v>
      </c>
      <c r="E96" s="44">
        <v>113.41629999999998</v>
      </c>
      <c r="F96" s="44">
        <v>171.24600633406385</v>
      </c>
      <c r="G96" s="44">
        <v>284.66230633406383</v>
      </c>
      <c r="H96" s="45">
        <v>0.46081098755616484</v>
      </c>
      <c r="I96" s="43">
        <v>16055673.247991217</v>
      </c>
      <c r="J96" s="43">
        <v>155555.55555555556</v>
      </c>
      <c r="K96" s="43">
        <v>9.6885102949524505E-3</v>
      </c>
      <c r="L96" s="43">
        <v>1.1826559902747713</v>
      </c>
      <c r="M96" s="42">
        <v>3.6810916560166835</v>
      </c>
    </row>
    <row r="97" spans="1:13" x14ac:dyDescent="0.2">
      <c r="A97" s="41">
        <v>96</v>
      </c>
      <c r="B97" s="42">
        <v>8</v>
      </c>
      <c r="C97" s="41">
        <v>617.74731526237019</v>
      </c>
      <c r="D97" s="43">
        <v>4694.8795959940135</v>
      </c>
      <c r="E97" s="44">
        <v>113.41629999999998</v>
      </c>
      <c r="F97" s="44">
        <v>169.65161193641961</v>
      </c>
      <c r="G97" s="44">
        <v>283.06791193641959</v>
      </c>
      <c r="H97" s="45">
        <v>0.45822604962061991</v>
      </c>
      <c r="I97" s="43">
        <v>16919270.49340057</v>
      </c>
      <c r="J97" s="43">
        <v>155555.55555555556</v>
      </c>
      <c r="K97" s="43">
        <v>9.1939871530649399E-3</v>
      </c>
      <c r="L97" s="43">
        <v>1.1918499774278362</v>
      </c>
      <c r="M97" s="42">
        <v>3.706434487628314</v>
      </c>
    </row>
    <row r="98" spans="1:13" x14ac:dyDescent="0.2">
      <c r="A98" s="41">
        <v>97</v>
      </c>
      <c r="B98" s="42">
        <v>8.0833333333333339</v>
      </c>
      <c r="C98" s="41">
        <v>617.75250988663834</v>
      </c>
      <c r="D98" s="43">
        <v>4694.9190751384513</v>
      </c>
      <c r="E98" s="44">
        <v>113.41629999999998</v>
      </c>
      <c r="F98" s="44">
        <v>169.38705884788928</v>
      </c>
      <c r="G98" s="44">
        <v>282.80335884788929</v>
      </c>
      <c r="H98" s="45">
        <v>0.4577939455070536</v>
      </c>
      <c r="I98" s="43">
        <v>17068588.695237391</v>
      </c>
      <c r="J98" s="43">
        <v>155555.55555555556</v>
      </c>
      <c r="K98" s="43">
        <v>9.1135569749220026E-3</v>
      </c>
      <c r="L98" s="43">
        <v>1.2009635344027583</v>
      </c>
      <c r="M98" s="42">
        <v>3.7314921235541747</v>
      </c>
    </row>
    <row r="99" spans="1:13" x14ac:dyDescent="0.2">
      <c r="A99" s="41">
        <v>98</v>
      </c>
      <c r="B99" s="42">
        <v>8.1666666666666661</v>
      </c>
      <c r="C99" s="41">
        <v>617.75759862522852</v>
      </c>
      <c r="D99" s="43">
        <v>4694.9577495517369</v>
      </c>
      <c r="E99" s="44">
        <v>113.41629999999998</v>
      </c>
      <c r="F99" s="44">
        <v>172.04827293840879</v>
      </c>
      <c r="G99" s="44">
        <v>285.46457293840876</v>
      </c>
      <c r="H99" s="45">
        <v>0.46209803582131237</v>
      </c>
      <c r="I99" s="43">
        <v>15643979.226457903</v>
      </c>
      <c r="J99" s="43">
        <v>155555.55555555556</v>
      </c>
      <c r="K99" s="43">
        <v>9.9434775068271627E-3</v>
      </c>
      <c r="L99" s="43">
        <v>1.2109070119095855</v>
      </c>
      <c r="M99" s="42">
        <v>3.7587596081777059</v>
      </c>
    </row>
    <row r="100" spans="1:13" x14ac:dyDescent="0.2">
      <c r="A100" s="41">
        <v>99</v>
      </c>
      <c r="B100" s="42">
        <v>8.25</v>
      </c>
      <c r="C100" s="41">
        <v>617.76258468299125</v>
      </c>
      <c r="D100" s="43">
        <v>4694.9956435907334</v>
      </c>
      <c r="E100" s="44">
        <v>113.41629999999998</v>
      </c>
      <c r="F100" s="44">
        <v>176.83737399550782</v>
      </c>
      <c r="G100" s="44">
        <v>290.25367399550782</v>
      </c>
      <c r="H100" s="45">
        <v>0.46984663880939526</v>
      </c>
      <c r="I100" s="43">
        <v>13399415.023179051</v>
      </c>
      <c r="J100" s="43">
        <v>155555.55555555556</v>
      </c>
      <c r="K100" s="43">
        <v>1.1609130345352162E-2</v>
      </c>
      <c r="L100" s="43">
        <v>1.2225161422549378</v>
      </c>
      <c r="M100" s="42">
        <v>3.790499795389374</v>
      </c>
    </row>
    <row r="101" spans="1:13" x14ac:dyDescent="0.2">
      <c r="A101" s="41">
        <v>100</v>
      </c>
      <c r="B101" s="42">
        <v>8.3333333333333339</v>
      </c>
      <c r="C101" s="41">
        <v>617.76747113673355</v>
      </c>
      <c r="D101" s="43">
        <v>4695.0327806391751</v>
      </c>
      <c r="E101" s="44">
        <v>113.41629999999998</v>
      </c>
      <c r="F101" s="44">
        <v>182.69046756174291</v>
      </c>
      <c r="G101" s="44">
        <v>296.10676756174291</v>
      </c>
      <c r="H101" s="45">
        <v>0.47931751248877935</v>
      </c>
      <c r="I101" s="43">
        <v>11126664.548082884</v>
      </c>
      <c r="J101" s="43">
        <v>155555.55555555556</v>
      </c>
      <c r="K101" s="43">
        <v>1.3980430063595084E-2</v>
      </c>
      <c r="L101" s="43">
        <v>1.2364965723185328</v>
      </c>
      <c r="M101" s="42">
        <v>3.8285878073701372</v>
      </c>
    </row>
    <row r="102" spans="1:13" x14ac:dyDescent="0.2">
      <c r="A102" s="41">
        <v>101</v>
      </c>
      <c r="B102" s="42">
        <v>8.4166666666666661</v>
      </c>
      <c r="C102" s="41">
        <v>617.77226094155037</v>
      </c>
      <c r="D102" s="43">
        <v>4695.0691831557824</v>
      </c>
      <c r="E102" s="44">
        <v>113.41629999999998</v>
      </c>
      <c r="F102" s="44">
        <v>186.7285871428858</v>
      </c>
      <c r="G102" s="44">
        <v>300.14488714288575</v>
      </c>
      <c r="H102" s="45">
        <v>0.48585037904653267</v>
      </c>
      <c r="I102" s="43">
        <v>9808649.0613965504</v>
      </c>
      <c r="J102" s="43">
        <v>155555.55555555556</v>
      </c>
      <c r="K102" s="43">
        <v>1.5859019379923421E-2</v>
      </c>
      <c r="L102" s="43">
        <v>1.2523555916984563</v>
      </c>
      <c r="M102" s="42">
        <v>3.8716150195479777</v>
      </c>
    </row>
    <row r="103" spans="1:13" x14ac:dyDescent="0.2">
      <c r="A103" s="41">
        <v>102</v>
      </c>
      <c r="B103" s="42">
        <v>8.5</v>
      </c>
      <c r="C103" s="41">
        <v>617.7769569367839</v>
      </c>
      <c r="D103" s="43">
        <v>4695.1048727195575</v>
      </c>
      <c r="E103" s="44">
        <v>113.41629999999998</v>
      </c>
      <c r="F103" s="44">
        <v>187.82522115343684</v>
      </c>
      <c r="G103" s="44">
        <v>301.24152115343679</v>
      </c>
      <c r="H103" s="45">
        <v>0.48762181523753784</v>
      </c>
      <c r="I103" s="43">
        <v>9481752.4732882474</v>
      </c>
      <c r="J103" s="43">
        <v>155555.55555555556</v>
      </c>
      <c r="K103" s="43">
        <v>1.6405781103628548E-2</v>
      </c>
      <c r="L103" s="43">
        <v>1.2687613728020848</v>
      </c>
      <c r="M103" s="42">
        <v>3.9159262001237174</v>
      </c>
    </row>
    <row r="104" spans="1:13" x14ac:dyDescent="0.2">
      <c r="A104" s="41">
        <v>103</v>
      </c>
      <c r="B104" s="42">
        <v>8.5833333333333339</v>
      </c>
      <c r="C104" s="41">
        <v>617.78156185163641</v>
      </c>
      <c r="D104" s="43">
        <v>4695.1398700724367</v>
      </c>
      <c r="E104" s="44">
        <v>113.41629999999998</v>
      </c>
      <c r="F104" s="44">
        <v>185.36237000076449</v>
      </c>
      <c r="G104" s="44">
        <v>298.77867000076446</v>
      </c>
      <c r="H104" s="45">
        <v>0.48363157538281754</v>
      </c>
      <c r="I104" s="43">
        <v>10235835.328838341</v>
      </c>
      <c r="J104" s="43">
        <v>155555.55555555556</v>
      </c>
      <c r="K104" s="43">
        <v>1.519715299808457E-2</v>
      </c>
      <c r="L104" s="43">
        <v>1.2839585258001693</v>
      </c>
      <c r="M104" s="42">
        <v>3.9567924836926718</v>
      </c>
    </row>
    <row r="105" spans="1:13" x14ac:dyDescent="0.2">
      <c r="A105" s="41">
        <v>104</v>
      </c>
      <c r="B105" s="42">
        <v>8.6666666666666661</v>
      </c>
      <c r="C105" s="41">
        <v>617.78607831045917</v>
      </c>
      <c r="D105" s="43">
        <v>4695.1741951594895</v>
      </c>
      <c r="E105" s="44">
        <v>113.41629999999998</v>
      </c>
      <c r="F105" s="44">
        <v>181.36599951069809</v>
      </c>
      <c r="G105" s="44">
        <v>294.78229951069807</v>
      </c>
      <c r="H105" s="45">
        <v>0.47715918156795956</v>
      </c>
      <c r="I105" s="43">
        <v>11604311.246310089</v>
      </c>
      <c r="J105" s="43">
        <v>155555.55555555556</v>
      </c>
      <c r="K105" s="43">
        <v>1.3404979602302441E-2</v>
      </c>
      <c r="L105" s="43">
        <v>1.2973635054024717</v>
      </c>
      <c r="M105" s="42">
        <v>3.9926958234365526</v>
      </c>
    </row>
    <row r="106" spans="1:13" x14ac:dyDescent="0.2">
      <c r="A106" s="41">
        <v>105</v>
      </c>
      <c r="B106" s="42">
        <v>8.75</v>
      </c>
      <c r="C106" s="41">
        <v>617.7905088377405</v>
      </c>
      <c r="D106" s="43">
        <v>4695.2078671668278</v>
      </c>
      <c r="E106" s="44">
        <v>113.41629999999998</v>
      </c>
      <c r="F106" s="44">
        <v>177.90935159783058</v>
      </c>
      <c r="G106" s="44">
        <v>291.32565159783053</v>
      </c>
      <c r="H106" s="45">
        <v>0.47156058150829527</v>
      </c>
      <c r="I106" s="43">
        <v>12952628.37369493</v>
      </c>
      <c r="J106" s="43">
        <v>155555.55555555556</v>
      </c>
      <c r="K106" s="43">
        <v>1.2009574510102386E-2</v>
      </c>
      <c r="L106" s="43">
        <v>1.309373079912574</v>
      </c>
      <c r="M106" s="42">
        <v>4.0247477087233294</v>
      </c>
    </row>
    <row r="107" spans="1:13" x14ac:dyDescent="0.2">
      <c r="A107" s="41">
        <v>106</v>
      </c>
      <c r="B107" s="42">
        <v>8.8333333333333339</v>
      </c>
      <c r="C107" s="41">
        <v>617.7948558628101</v>
      </c>
      <c r="D107" s="43">
        <v>4695.2409045573568</v>
      </c>
      <c r="E107" s="44">
        <v>113.41629999999998</v>
      </c>
      <c r="F107" s="44">
        <v>174.4526305078123</v>
      </c>
      <c r="G107" s="44">
        <v>287.86893050781225</v>
      </c>
      <c r="H107" s="45">
        <v>0.46596200628083173</v>
      </c>
      <c r="I107" s="43">
        <v>14476594.171303775</v>
      </c>
      <c r="J107" s="43">
        <v>155555.55555555556</v>
      </c>
      <c r="K107" s="43">
        <v>1.0745314382294802E-2</v>
      </c>
      <c r="L107" s="43">
        <v>1.3201183942948689</v>
      </c>
      <c r="M107" s="42">
        <v>4.0533343050923349</v>
      </c>
    </row>
    <row r="108" spans="1:13" x14ac:dyDescent="0.2">
      <c r="A108" s="41">
        <v>107</v>
      </c>
      <c r="B108" s="42">
        <v>8.9166666666666661</v>
      </c>
      <c r="C108" s="41">
        <v>617.79912172428158</v>
      </c>
      <c r="D108" s="43">
        <v>4695.2733251045402</v>
      </c>
      <c r="E108" s="44">
        <v>113.41629999999998</v>
      </c>
      <c r="F108" s="44">
        <v>171.26183804468269</v>
      </c>
      <c r="G108" s="44">
        <v>284.67813804468267</v>
      </c>
      <c r="H108" s="45">
        <v>0.46079401545626036</v>
      </c>
      <c r="I108" s="43">
        <v>16061181.731050458</v>
      </c>
      <c r="J108" s="43">
        <v>155555.55555555556</v>
      </c>
      <c r="K108" s="43">
        <v>9.6851874389059459E-3</v>
      </c>
      <c r="L108" s="43">
        <v>1.3298035817337748</v>
      </c>
      <c r="M108" s="42">
        <v>4.0790269562914157</v>
      </c>
    </row>
    <row r="109" spans="1:13" x14ac:dyDescent="0.2">
      <c r="A109" s="41">
        <v>108</v>
      </c>
      <c r="B109" s="42">
        <v>9</v>
      </c>
      <c r="C109" s="41">
        <v>617.80330867424709</v>
      </c>
      <c r="D109" s="43">
        <v>4695.3051459242779</v>
      </c>
      <c r="E109" s="44">
        <v>113.41629999999998</v>
      </c>
      <c r="F109" s="44">
        <v>169.66698937691677</v>
      </c>
      <c r="G109" s="44">
        <v>283.08328937691675</v>
      </c>
      <c r="H109" s="45">
        <v>0.45820940969770657</v>
      </c>
      <c r="I109" s="43">
        <v>16924993.743889242</v>
      </c>
      <c r="J109" s="43">
        <v>155555.55555555556</v>
      </c>
      <c r="K109" s="43">
        <v>9.1908781716222958E-3</v>
      </c>
      <c r="L109" s="43">
        <v>1.3389944599053971</v>
      </c>
      <c r="M109" s="42">
        <v>4.1033439105787171</v>
      </c>
    </row>
    <row r="110" spans="1:13" x14ac:dyDescent="0.2">
      <c r="A110" s="41">
        <v>109</v>
      </c>
      <c r="B110" s="42">
        <v>9.0833333333333339</v>
      </c>
      <c r="C110" s="41">
        <v>617.80741888224236</v>
      </c>
      <c r="D110" s="43">
        <v>4695.3363835050413</v>
      </c>
      <c r="E110" s="44">
        <v>113.41629999999998</v>
      </c>
      <c r="F110" s="44">
        <v>169.40211483409863</v>
      </c>
      <c r="G110" s="44">
        <v>282.81841483409858</v>
      </c>
      <c r="H110" s="45">
        <v>0.45777762809288214</v>
      </c>
      <c r="I110" s="43">
        <v>17074255.875011433</v>
      </c>
      <c r="J110" s="43">
        <v>155555.55555555556</v>
      </c>
      <c r="K110" s="43">
        <v>9.1105320603291819E-3</v>
      </c>
      <c r="L110" s="43">
        <v>1.3481049919657262</v>
      </c>
      <c r="M110" s="42">
        <v>4.1273865110654375</v>
      </c>
    </row>
    <row r="111" spans="1:13" x14ac:dyDescent="0.2">
      <c r="A111" s="41">
        <v>110</v>
      </c>
      <c r="B111" s="42">
        <v>9.1666666666666661</v>
      </c>
      <c r="C111" s="41">
        <v>617.8114544389955</v>
      </c>
      <c r="D111" s="43">
        <v>4695.3670537363651</v>
      </c>
      <c r="E111" s="44">
        <v>113.41629999999998</v>
      </c>
      <c r="F111" s="44">
        <v>172.06327202505199</v>
      </c>
      <c r="G111" s="44">
        <v>285.47957202505199</v>
      </c>
      <c r="H111" s="45">
        <v>0.46208203161963401</v>
      </c>
      <c r="I111" s="43">
        <v>15649026.222287612</v>
      </c>
      <c r="J111" s="43">
        <v>155555.55555555556</v>
      </c>
      <c r="K111" s="43">
        <v>9.9402706178618756E-3</v>
      </c>
      <c r="L111" s="43">
        <v>1.3580452625835882</v>
      </c>
      <c r="M111" s="42">
        <v>4.153548761287075</v>
      </c>
    </row>
    <row r="112" spans="1:13" x14ac:dyDescent="0.2">
      <c r="A112" s="41">
        <v>111</v>
      </c>
      <c r="B112" s="42">
        <v>9.25</v>
      </c>
      <c r="C112" s="41">
        <v>617.81541735997234</v>
      </c>
      <c r="D112" s="43">
        <v>4695.3971719357905</v>
      </c>
      <c r="E112" s="44">
        <v>113.41629999999998</v>
      </c>
      <c r="F112" s="44">
        <v>176.8524975916759</v>
      </c>
      <c r="G112" s="44">
        <v>290.26879759167588</v>
      </c>
      <c r="H112" s="45">
        <v>0.46983093887822119</v>
      </c>
      <c r="I112" s="43">
        <v>13403585.738579206</v>
      </c>
      <c r="J112" s="43">
        <v>155555.55555555556</v>
      </c>
      <c r="K112" s="43">
        <v>1.1605518000144088E-2</v>
      </c>
      <c r="L112" s="43">
        <v>1.3696507805837324</v>
      </c>
      <c r="M112" s="42">
        <v>4.1840015976436318</v>
      </c>
    </row>
    <row r="113" spans="1:13" x14ac:dyDescent="0.2">
      <c r="A113" s="41">
        <v>112</v>
      </c>
      <c r="B113" s="42">
        <v>9.3333333333333339</v>
      </c>
      <c r="C113" s="41">
        <v>617.8193095887334</v>
      </c>
      <c r="D113" s="43">
        <v>4695.4267528743731</v>
      </c>
      <c r="E113" s="44">
        <v>113.41629999999998</v>
      </c>
      <c r="F113" s="44">
        <v>182.70579758715857</v>
      </c>
      <c r="G113" s="44">
        <v>296.12209758715858</v>
      </c>
      <c r="H113" s="45">
        <v>0.47930210822364799</v>
      </c>
      <c r="I113" s="43">
        <v>11129995.458212841</v>
      </c>
      <c r="J113" s="43">
        <v>155555.55555555556</v>
      </c>
      <c r="K113" s="43">
        <v>1.3976246094581367E-2</v>
      </c>
      <c r="L113" s="43">
        <v>1.3836270266783137</v>
      </c>
      <c r="M113" s="42">
        <v>4.2205436492353412</v>
      </c>
    </row>
    <row r="114" spans="1:13" x14ac:dyDescent="0.2">
      <c r="A114" s="41">
        <v>113</v>
      </c>
      <c r="B114" s="42">
        <v>9.4166666666666661</v>
      </c>
      <c r="C114" s="41">
        <v>617.82313300011231</v>
      </c>
      <c r="D114" s="43">
        <v>4695.4558108008532</v>
      </c>
      <c r="E114" s="44">
        <v>113.41629999999998</v>
      </c>
      <c r="F114" s="44">
        <v>186.74396379253636</v>
      </c>
      <c r="G114" s="44">
        <v>300.16026379253634</v>
      </c>
      <c r="H114" s="45">
        <v>0.48583526216471695</v>
      </c>
      <c r="I114" s="43">
        <v>9811491.8646769617</v>
      </c>
      <c r="J114" s="43">
        <v>155555.55555555556</v>
      </c>
      <c r="K114" s="43">
        <v>1.5854424352690136E-2</v>
      </c>
      <c r="L114" s="43">
        <v>1.3994814510310039</v>
      </c>
      <c r="M114" s="42">
        <v>4.2618228573668695</v>
      </c>
    </row>
    <row r="115" spans="1:13" x14ac:dyDescent="0.2">
      <c r="A115" s="41">
        <v>114</v>
      </c>
      <c r="B115" s="42">
        <v>9.5</v>
      </c>
      <c r="C115" s="41">
        <v>617.82688940322657</v>
      </c>
      <c r="D115" s="43">
        <v>4695.4843594645217</v>
      </c>
      <c r="E115" s="44">
        <v>113.41629999999998</v>
      </c>
      <c r="F115" s="44">
        <v>187.84040232270354</v>
      </c>
      <c r="G115" s="44">
        <v>301.25670232270352</v>
      </c>
      <c r="H115" s="45">
        <v>0.48760697776313106</v>
      </c>
      <c r="I115" s="43">
        <v>9484439.9324453287</v>
      </c>
      <c r="J115" s="43">
        <v>155555.55555555556</v>
      </c>
      <c r="K115" s="43">
        <v>1.640113245099644E-2</v>
      </c>
      <c r="L115" s="43">
        <v>1.4158825834820004</v>
      </c>
      <c r="M115" s="42">
        <v>4.3043321131441719</v>
      </c>
    </row>
    <row r="116" spans="1:13" x14ac:dyDescent="0.2">
      <c r="A116" s="41">
        <v>115</v>
      </c>
      <c r="B116" s="42">
        <v>9.5833333333333339</v>
      </c>
      <c r="C116" s="41">
        <v>617.83058054433229</v>
      </c>
      <c r="D116" s="43">
        <v>4695.5124121369254</v>
      </c>
      <c r="E116" s="44">
        <v>113.41629999999998</v>
      </c>
      <c r="F116" s="44">
        <v>185.37707782245022</v>
      </c>
      <c r="G116" s="44">
        <v>298.79337782245022</v>
      </c>
      <c r="H116" s="45">
        <v>0.48361700963264376</v>
      </c>
      <c r="I116" s="43">
        <v>10238706.884288462</v>
      </c>
      <c r="J116" s="43">
        <v>155555.55555555556</v>
      </c>
      <c r="K116" s="43">
        <v>1.519289079309998E-2</v>
      </c>
      <c r="L116" s="43">
        <v>1.4310754742751004</v>
      </c>
      <c r="M116" s="42">
        <v>4.3435349744109093</v>
      </c>
    </row>
    <row r="117" spans="1:13" x14ac:dyDescent="0.2">
      <c r="A117" s="41">
        <v>116</v>
      </c>
      <c r="B117" s="42">
        <v>9.6666666666666661</v>
      </c>
      <c r="C117" s="41">
        <v>617.83420810953066</v>
      </c>
      <c r="D117" s="43">
        <v>4695.5399816324325</v>
      </c>
      <c r="E117" s="44">
        <v>113.41629999999998</v>
      </c>
      <c r="F117" s="44">
        <v>181.38012917373408</v>
      </c>
      <c r="G117" s="44">
        <v>294.79642917373405</v>
      </c>
      <c r="H117" s="45">
        <v>0.47714488013825235</v>
      </c>
      <c r="I117" s="43">
        <v>11607550.992001612</v>
      </c>
      <c r="J117" s="43">
        <v>155555.55555555556</v>
      </c>
      <c r="K117" s="43">
        <v>1.3401238182175023E-2</v>
      </c>
      <c r="L117" s="43">
        <v>1.4444767124572755</v>
      </c>
      <c r="M117" s="42">
        <v>4.377975698685546</v>
      </c>
    </row>
    <row r="118" spans="1:13" x14ac:dyDescent="0.2">
      <c r="A118" s="41">
        <v>117</v>
      </c>
      <c r="B118" s="42">
        <v>9.75</v>
      </c>
      <c r="C118" s="41">
        <v>617.83777372733653</v>
      </c>
      <c r="D118" s="43">
        <v>4695.567080327758</v>
      </c>
      <c r="E118" s="44">
        <v>113.41629999999998</v>
      </c>
      <c r="F118" s="44">
        <v>177.92296279085005</v>
      </c>
      <c r="G118" s="44">
        <v>291.33926279085006</v>
      </c>
      <c r="H118" s="45">
        <v>0.47154653726209944</v>
      </c>
      <c r="I118" s="43">
        <v>12956221.676377192</v>
      </c>
      <c r="J118" s="43">
        <v>155555.55555555556</v>
      </c>
      <c r="K118" s="43">
        <v>1.2006243752310656E-2</v>
      </c>
      <c r="L118" s="43">
        <v>1.4564829562095862</v>
      </c>
      <c r="M118" s="42">
        <v>4.4087209974610033</v>
      </c>
    </row>
    <row r="119" spans="1:13" x14ac:dyDescent="0.2">
      <c r="A119" s="41">
        <v>118</v>
      </c>
      <c r="B119" s="42">
        <v>9.8333333333333339</v>
      </c>
      <c r="C119" s="41">
        <v>617.84127897111557</v>
      </c>
      <c r="D119" s="43">
        <v>4695.5937201804782</v>
      </c>
      <c r="E119" s="44">
        <v>113.41629999999998</v>
      </c>
      <c r="F119" s="44">
        <v>174.46573944402857</v>
      </c>
      <c r="G119" s="44">
        <v>287.88203944402858</v>
      </c>
      <c r="H119" s="45">
        <v>0.46594821233607997</v>
      </c>
      <c r="I119" s="43">
        <v>14480586.064661032</v>
      </c>
      <c r="J119" s="43">
        <v>155555.55555555556</v>
      </c>
      <c r="K119" s="43">
        <v>1.0742352199071501E-2</v>
      </c>
      <c r="L119" s="43">
        <v>1.4672253084086577</v>
      </c>
      <c r="M119" s="42">
        <v>4.4361416238355513</v>
      </c>
    </row>
    <row r="120" spans="1:13" x14ac:dyDescent="0.2">
      <c r="A120" s="41">
        <v>119</v>
      </c>
      <c r="B120" s="42">
        <v>9.9166666666666661</v>
      </c>
      <c r="C120" s="41">
        <v>617.84472536139947</v>
      </c>
      <c r="D120" s="43">
        <v>4695.6199127466361</v>
      </c>
      <c r="E120" s="44">
        <v>113.41629999999998</v>
      </c>
      <c r="F120" s="44">
        <v>171.2744799576277</v>
      </c>
      <c r="G120" s="44">
        <v>284.69077995762768</v>
      </c>
      <c r="H120" s="45">
        <v>0.46078046517448518</v>
      </c>
      <c r="I120" s="43">
        <v>16065581.127570115</v>
      </c>
      <c r="J120" s="43">
        <v>155555.55555555556</v>
      </c>
      <c r="K120" s="43">
        <v>9.6825352485137902E-3</v>
      </c>
      <c r="L120" s="43">
        <v>1.4769078436571714</v>
      </c>
      <c r="M120" s="42">
        <v>4.4607858621804688</v>
      </c>
    </row>
    <row r="121" spans="1:13" x14ac:dyDescent="0.2">
      <c r="A121" s="41">
        <v>120</v>
      </c>
      <c r="B121" s="42">
        <v>10</v>
      </c>
      <c r="C121" s="41">
        <v>617.84811436808513</v>
      </c>
      <c r="D121" s="43">
        <v>4695.6456691974463</v>
      </c>
      <c r="E121" s="44">
        <v>113.41629999999998</v>
      </c>
      <c r="F121" s="44">
        <v>169.67929434044433</v>
      </c>
      <c r="G121" s="44">
        <v>283.09559434044434</v>
      </c>
      <c r="H121" s="45">
        <v>0.4581960966733471</v>
      </c>
      <c r="I121" s="43">
        <v>16929574.261595119</v>
      </c>
      <c r="J121" s="43">
        <v>155555.55555555556</v>
      </c>
      <c r="K121" s="43">
        <v>9.1883914593431128E-3</v>
      </c>
      <c r="L121" s="43">
        <v>1.4860962351165146</v>
      </c>
      <c r="M121" s="42">
        <v>4.4841101841304063</v>
      </c>
    </row>
    <row r="122" spans="1:13" x14ac:dyDescent="0.2">
      <c r="A122" s="41">
        <v>121</v>
      </c>
      <c r="B122" s="42">
        <v>10.083333333333334</v>
      </c>
      <c r="C122" s="41">
        <v>617.85144741252532</v>
      </c>
      <c r="D122" s="43">
        <v>4695.6710003351927</v>
      </c>
      <c r="E122" s="44">
        <v>113.41629999999998</v>
      </c>
      <c r="F122" s="44">
        <v>169.41418740868261</v>
      </c>
      <c r="G122" s="44">
        <v>282.83048740868259</v>
      </c>
      <c r="H122" s="45">
        <v>0.45776454614314938</v>
      </c>
      <c r="I122" s="43">
        <v>17078800.85477677</v>
      </c>
      <c r="J122" s="43">
        <v>155555.55555555556</v>
      </c>
      <c r="K122" s="43">
        <v>9.1081075819236003E-3</v>
      </c>
      <c r="L122" s="43">
        <v>1.4952043426984383</v>
      </c>
      <c r="M122" s="42">
        <v>4.5071710622589638</v>
      </c>
    </row>
    <row r="123" spans="1:13" x14ac:dyDescent="0.2">
      <c r="A123" s="41">
        <v>122</v>
      </c>
      <c r="B123" s="42">
        <v>10.166666666666666</v>
      </c>
      <c r="C123" s="41">
        <v>617.85472586951516</v>
      </c>
      <c r="D123" s="43">
        <v>4695.6959166083152</v>
      </c>
      <c r="E123" s="44">
        <v>113.41629999999998</v>
      </c>
      <c r="F123" s="44">
        <v>172.07532331330009</v>
      </c>
      <c r="G123" s="44">
        <v>285.49162331330007</v>
      </c>
      <c r="H123" s="45">
        <v>0.46206917477490184</v>
      </c>
      <c r="I123" s="43">
        <v>15653081.991239388</v>
      </c>
      <c r="J123" s="43">
        <v>155555.55555555556</v>
      </c>
      <c r="K123" s="43">
        <v>9.9376950585588104E-3</v>
      </c>
      <c r="L123" s="43">
        <v>1.5051420377569971</v>
      </c>
      <c r="M123" s="42">
        <v>4.5322647968764667</v>
      </c>
    </row>
    <row r="124" spans="1:13" x14ac:dyDescent="0.2">
      <c r="A124" s="41">
        <v>123</v>
      </c>
      <c r="B124" s="42">
        <v>10.25</v>
      </c>
      <c r="C124" s="41">
        <v>617.85795106918454</v>
      </c>
      <c r="D124" s="43">
        <v>4695.7204281258028</v>
      </c>
      <c r="E124" s="44">
        <v>113.41629999999998</v>
      </c>
      <c r="F124" s="44">
        <v>176.86467306107122</v>
      </c>
      <c r="G124" s="44">
        <v>290.28097306107122</v>
      </c>
      <c r="H124" s="45">
        <v>0.46981830137291064</v>
      </c>
      <c r="I124" s="43">
        <v>13406943.959262943</v>
      </c>
      <c r="J124" s="43">
        <v>155555.55555555556</v>
      </c>
      <c r="K124" s="43">
        <v>1.1602611007266965E-2</v>
      </c>
      <c r="L124" s="43">
        <v>1.516744648764264</v>
      </c>
      <c r="M124" s="42">
        <v>4.5614736182301856</v>
      </c>
    </row>
    <row r="125" spans="1:13" x14ac:dyDescent="0.2">
      <c r="A125" s="41">
        <v>124</v>
      </c>
      <c r="B125" s="42">
        <v>10.333333333333334</v>
      </c>
      <c r="C125" s="41">
        <v>617.86112429879631</v>
      </c>
      <c r="D125" s="43">
        <v>4695.7445446708516</v>
      </c>
      <c r="E125" s="44">
        <v>113.41629999999998</v>
      </c>
      <c r="F125" s="44">
        <v>182.71816332230856</v>
      </c>
      <c r="G125" s="44">
        <v>296.13446332230853</v>
      </c>
      <c r="H125" s="45">
        <v>0.47928968448757514</v>
      </c>
      <c r="I125" s="43">
        <v>11132682.684082758</v>
      </c>
      <c r="J125" s="43">
        <v>155555.55555555556</v>
      </c>
      <c r="K125" s="43">
        <v>1.3972872484541859E-2</v>
      </c>
      <c r="L125" s="43">
        <v>1.5307175212488058</v>
      </c>
      <c r="M125" s="42">
        <v>4.5965225482799266</v>
      </c>
    </row>
    <row r="126" spans="1:13" x14ac:dyDescent="0.2">
      <c r="A126" s="41">
        <v>125</v>
      </c>
      <c r="B126" s="42">
        <v>10.416666666666666</v>
      </c>
      <c r="C126" s="41">
        <v>617.86424680445919</v>
      </c>
      <c r="D126" s="43">
        <v>4695.76827571389</v>
      </c>
      <c r="E126" s="44">
        <v>113.41629999999998</v>
      </c>
      <c r="F126" s="44">
        <v>186.75639090052283</v>
      </c>
      <c r="G126" s="44">
        <v>300.17269090052281</v>
      </c>
      <c r="H126" s="45">
        <v>0.48582304681487914</v>
      </c>
      <c r="I126" s="43">
        <v>9813789.6872441508</v>
      </c>
      <c r="J126" s="43">
        <v>155555.55555555556</v>
      </c>
      <c r="K126" s="43">
        <v>1.5850712162473263E-2</v>
      </c>
      <c r="L126" s="43">
        <v>1.5465682334112791</v>
      </c>
      <c r="M126" s="42">
        <v>4.6361145516884115</v>
      </c>
    </row>
    <row r="127" spans="1:13" x14ac:dyDescent="0.2">
      <c r="A127" s="41">
        <v>126</v>
      </c>
      <c r="B127" s="42">
        <v>10.5</v>
      </c>
      <c r="C127" s="41">
        <v>617.86731979276044</v>
      </c>
      <c r="D127" s="43">
        <v>4695.7916304249793</v>
      </c>
      <c r="E127" s="44">
        <v>113.41629999999998</v>
      </c>
      <c r="F127" s="44">
        <v>187.85269453718365</v>
      </c>
      <c r="G127" s="44">
        <v>301.26899453718363</v>
      </c>
      <c r="H127" s="45">
        <v>0.48759496559590271</v>
      </c>
      <c r="I127" s="43">
        <v>9486616.2716032062</v>
      </c>
      <c r="J127" s="43">
        <v>155555.55555555556</v>
      </c>
      <c r="K127" s="43">
        <v>1.6397369842099368E-2</v>
      </c>
      <c r="L127" s="43">
        <v>1.5629656032533785</v>
      </c>
      <c r="M127" s="42">
        <v>4.6768857229814218</v>
      </c>
    </row>
    <row r="128" spans="1:13" x14ac:dyDescent="0.2">
      <c r="A128" s="41">
        <v>127</v>
      </c>
      <c r="B128" s="42">
        <v>10.583333333333334</v>
      </c>
      <c r="C128" s="41">
        <v>617.87034443231937</v>
      </c>
      <c r="D128" s="43">
        <v>4695.8146176856271</v>
      </c>
      <c r="E128" s="44">
        <v>113.41629999999998</v>
      </c>
      <c r="F128" s="44">
        <v>185.38900878473993</v>
      </c>
      <c r="G128" s="44">
        <v>298.80530878473991</v>
      </c>
      <c r="H128" s="45">
        <v>0.48360519561636062</v>
      </c>
      <c r="I128" s="43">
        <v>10241036.606141649</v>
      </c>
      <c r="J128" s="43">
        <v>155555.55555555556</v>
      </c>
      <c r="K128" s="43">
        <v>1.5189434579529516E-2</v>
      </c>
      <c r="L128" s="43">
        <v>1.5781550378329081</v>
      </c>
      <c r="M128" s="42">
        <v>4.7144851337743754</v>
      </c>
    </row>
    <row r="129" spans="1:13" x14ac:dyDescent="0.2">
      <c r="A129" s="41">
        <v>128</v>
      </c>
      <c r="B129" s="42">
        <v>10.666666666666666</v>
      </c>
      <c r="C129" s="41">
        <v>617.87332185526918</v>
      </c>
      <c r="D129" s="43">
        <v>4695.8372461000454</v>
      </c>
      <c r="E129" s="44">
        <v>113.41629999999998</v>
      </c>
      <c r="F129" s="44">
        <v>181.39161195691665</v>
      </c>
      <c r="G129" s="44">
        <v>294.80791195691666</v>
      </c>
      <c r="H129" s="45">
        <v>0.47713325940616114</v>
      </c>
      <c r="I129" s="43">
        <v>11610184.208827045</v>
      </c>
      <c r="J129" s="43">
        <v>155555.55555555556</v>
      </c>
      <c r="K129" s="43">
        <v>1.3398198750136028E-2</v>
      </c>
      <c r="L129" s="43">
        <v>1.591553236583044</v>
      </c>
      <c r="M129" s="42">
        <v>4.7475167767855035</v>
      </c>
    </row>
    <row r="130" spans="1:13" x14ac:dyDescent="0.2">
      <c r="A130" s="41">
        <v>129</v>
      </c>
      <c r="B130" s="42">
        <v>10.75</v>
      </c>
      <c r="C130" s="41">
        <v>617.87625315867081</v>
      </c>
      <c r="D130" s="43">
        <v>4695.8595240058985</v>
      </c>
      <c r="E130" s="44">
        <v>113.41629999999998</v>
      </c>
      <c r="F130" s="44">
        <v>177.9340439754597</v>
      </c>
      <c r="G130" s="44">
        <v>291.35034397545968</v>
      </c>
      <c r="H130" s="45">
        <v>0.471535105105651</v>
      </c>
      <c r="I130" s="43">
        <v>12959147.475608706</v>
      </c>
      <c r="J130" s="43">
        <v>155555.55555555556</v>
      </c>
      <c r="K130" s="43">
        <v>1.200353309107233E-2</v>
      </c>
      <c r="L130" s="43">
        <v>1.6035567696741164</v>
      </c>
      <c r="M130" s="42">
        <v>4.7770039212385385</v>
      </c>
    </row>
    <row r="131" spans="1:13" x14ac:dyDescent="0.2">
      <c r="A131" s="41">
        <v>130</v>
      </c>
      <c r="B131" s="42">
        <v>10.833333333333334</v>
      </c>
      <c r="C131" s="41">
        <v>617.87913940585952</v>
      </c>
      <c r="D131" s="43">
        <v>4695.8814594845326</v>
      </c>
      <c r="E131" s="44">
        <v>113.41629999999998</v>
      </c>
      <c r="F131" s="44">
        <v>174.47643045637767</v>
      </c>
      <c r="G131" s="44">
        <v>287.89273045637765</v>
      </c>
      <c r="H131" s="45">
        <v>0.46593696419854808</v>
      </c>
      <c r="I131" s="43">
        <v>14483842.117375989</v>
      </c>
      <c r="J131" s="43">
        <v>155555.55555555556</v>
      </c>
      <c r="K131" s="43">
        <v>1.073993725524932E-2</v>
      </c>
      <c r="L131" s="43">
        <v>1.6142967069293657</v>
      </c>
      <c r="M131" s="42">
        <v>4.803302267001099</v>
      </c>
    </row>
    <row r="132" spans="1:13" x14ac:dyDescent="0.2">
      <c r="A132" s="41">
        <v>131</v>
      </c>
      <c r="B132" s="42">
        <v>10.916666666666666</v>
      </c>
      <c r="C132" s="41">
        <v>617.88198162773153</v>
      </c>
      <c r="D132" s="43">
        <v>4695.9030603707597</v>
      </c>
      <c r="E132" s="44">
        <v>113.41629999999998</v>
      </c>
      <c r="F132" s="44">
        <v>171.28480787235975</v>
      </c>
      <c r="G132" s="44">
        <v>284.70110787235973</v>
      </c>
      <c r="H132" s="45">
        <v>0.46076939664489142</v>
      </c>
      <c r="I132" s="43">
        <v>16069175.758980252</v>
      </c>
      <c r="J132" s="43">
        <v>155555.55555555556</v>
      </c>
      <c r="K132" s="43">
        <v>9.6803692914133078E-3</v>
      </c>
      <c r="L132" s="43">
        <v>1.623977076220779</v>
      </c>
      <c r="M132" s="42">
        <v>4.8269377425947315</v>
      </c>
    </row>
    <row r="133" spans="1:13" x14ac:dyDescent="0.2">
      <c r="A133" s="41">
        <v>132</v>
      </c>
      <c r="B133" s="42">
        <v>11</v>
      </c>
      <c r="C133" s="41">
        <v>617.88478082397148</v>
      </c>
      <c r="D133" s="43">
        <v>4695.924334262183</v>
      </c>
      <c r="E133" s="44">
        <v>113.41629999999998</v>
      </c>
      <c r="F133" s="44">
        <v>169.68936402944408</v>
      </c>
      <c r="G133" s="44">
        <v>283.10566402944403</v>
      </c>
      <c r="H133" s="45">
        <v>0.4581852034806756</v>
      </c>
      <c r="I133" s="43">
        <v>16933323.226171561</v>
      </c>
      <c r="J133" s="43">
        <v>155555.55555555556</v>
      </c>
      <c r="K133" s="43">
        <v>9.1863571891862474E-3</v>
      </c>
      <c r="L133" s="43">
        <v>1.6331634334099652</v>
      </c>
      <c r="M133" s="42">
        <v>4.8493072756708404</v>
      </c>
    </row>
    <row r="134" spans="1:13" x14ac:dyDescent="0.2">
      <c r="A134" s="41">
        <v>133</v>
      </c>
      <c r="B134" s="42">
        <v>11.083333333333334</v>
      </c>
      <c r="C134" s="41">
        <v>617.88753796422509</v>
      </c>
      <c r="D134" s="43">
        <v>4695.9452885281107</v>
      </c>
      <c r="E134" s="44">
        <v>113.41629999999998</v>
      </c>
      <c r="F134" s="44">
        <v>169.42408339826869</v>
      </c>
      <c r="G134" s="44">
        <v>282.84038339826867</v>
      </c>
      <c r="H134" s="45">
        <v>0.45775382415083565</v>
      </c>
      <c r="I134" s="43">
        <v>17082526.928342484</v>
      </c>
      <c r="J134" s="43">
        <v>155555.55555555556</v>
      </c>
      <c r="K134" s="43">
        <v>9.1061209040136492E-3</v>
      </c>
      <c r="L134" s="43">
        <v>1.6422695543139789</v>
      </c>
      <c r="M134" s="42">
        <v>4.8714241358134691</v>
      </c>
    </row>
    <row r="135" spans="1:13" x14ac:dyDescent="0.2">
      <c r="A135" s="41">
        <v>134</v>
      </c>
      <c r="B135" s="42">
        <v>11.166666666666666</v>
      </c>
      <c r="C135" s="41">
        <v>617.89025398921854</v>
      </c>
      <c r="D135" s="43">
        <v>4695.9659303180615</v>
      </c>
      <c r="E135" s="44">
        <v>113.41629999999998</v>
      </c>
      <c r="F135" s="44">
        <v>172.08521805461828</v>
      </c>
      <c r="G135" s="44">
        <v>285.50151805461826</v>
      </c>
      <c r="H135" s="45">
        <v>0.4620586199755789</v>
      </c>
      <c r="I135" s="43">
        <v>15656412.4361705</v>
      </c>
      <c r="J135" s="43">
        <v>155555.55555555556</v>
      </c>
      <c r="K135" s="43">
        <v>9.9355811038920154E-3</v>
      </c>
      <c r="L135" s="43">
        <v>1.6522051354178708</v>
      </c>
      <c r="M135" s="42">
        <v>4.8954906860291931</v>
      </c>
    </row>
    <row r="136" spans="1:13" x14ac:dyDescent="0.2">
      <c r="A136" s="41">
        <v>135</v>
      </c>
      <c r="B136" s="42">
        <v>11.25</v>
      </c>
      <c r="C136" s="41">
        <v>617.8929298118295</v>
      </c>
      <c r="D136" s="43">
        <v>4695.9862665699038</v>
      </c>
      <c r="E136" s="44">
        <v>113.41629999999998</v>
      </c>
      <c r="F136" s="44">
        <v>176.87468588662645</v>
      </c>
      <c r="G136" s="44">
        <v>290.29098588662646</v>
      </c>
      <c r="H136" s="45">
        <v>0.46980790988340076</v>
      </c>
      <c r="I136" s="43">
        <v>13409706.034208275</v>
      </c>
      <c r="J136" s="43">
        <v>155555.55555555556</v>
      </c>
      <c r="K136" s="43">
        <v>1.1600221150167796E-2</v>
      </c>
      <c r="L136" s="43">
        <v>1.6638053565680386</v>
      </c>
      <c r="M136" s="42">
        <v>4.9235039849228883</v>
      </c>
    </row>
    <row r="137" spans="1:13" x14ac:dyDescent="0.2">
      <c r="A137" s="41">
        <v>136</v>
      </c>
      <c r="B137" s="42">
        <v>11.333333333333334</v>
      </c>
      <c r="C137" s="41">
        <v>617.89556631810842</v>
      </c>
      <c r="D137" s="43">
        <v>4696.0063040176237</v>
      </c>
      <c r="E137" s="44">
        <v>113.41629999999998</v>
      </c>
      <c r="F137" s="44">
        <v>182.72834875437789</v>
      </c>
      <c r="G137" s="44">
        <v>296.14464875437784</v>
      </c>
      <c r="H137" s="45">
        <v>0.47927945254411325</v>
      </c>
      <c r="I137" s="43">
        <v>11134896.369718425</v>
      </c>
      <c r="J137" s="43">
        <v>155555.55555555556</v>
      </c>
      <c r="K137" s="43">
        <v>1.3970094591862752E-2</v>
      </c>
      <c r="L137" s="43">
        <v>1.6777754511599015</v>
      </c>
      <c r="M137" s="42">
        <v>4.9571185212809397</v>
      </c>
    </row>
    <row r="138" spans="1:13" x14ac:dyDescent="0.2">
      <c r="A138" s="41">
        <v>137</v>
      </c>
      <c r="B138" s="42">
        <v>11.416666666666666</v>
      </c>
      <c r="C138" s="41">
        <v>617.89816436825902</v>
      </c>
      <c r="D138" s="43">
        <v>4696.0260491987683</v>
      </c>
      <c r="E138" s="44">
        <v>113.41629999999998</v>
      </c>
      <c r="F138" s="44">
        <v>186.76664286418014</v>
      </c>
      <c r="G138" s="44">
        <v>300.18294286418012</v>
      </c>
      <c r="H138" s="45">
        <v>0.4858129707685539</v>
      </c>
      <c r="I138" s="43">
        <v>9815685.5351534095</v>
      </c>
      <c r="J138" s="43">
        <v>155555.55555555556</v>
      </c>
      <c r="K138" s="43">
        <v>1.584765068098979E-2</v>
      </c>
      <c r="L138" s="43">
        <v>1.6936231018408912</v>
      </c>
      <c r="M138" s="42">
        <v>4.9950903778693405</v>
      </c>
    </row>
    <row r="139" spans="1:13" x14ac:dyDescent="0.2">
      <c r="A139" s="41">
        <v>138</v>
      </c>
      <c r="B139" s="42">
        <v>11.5</v>
      </c>
      <c r="C139" s="41">
        <v>617.90072479757191</v>
      </c>
      <c r="D139" s="43">
        <v>4696.045508461546</v>
      </c>
      <c r="E139" s="44">
        <v>113.41629999999998</v>
      </c>
      <c r="F139" s="44">
        <v>187.86285079559676</v>
      </c>
      <c r="G139" s="44">
        <v>301.27915079559671</v>
      </c>
      <c r="H139" s="45">
        <v>0.48758504190830593</v>
      </c>
      <c r="I139" s="43">
        <v>9488414.6415716466</v>
      </c>
      <c r="J139" s="43">
        <v>155555.55555555556</v>
      </c>
      <c r="K139" s="43">
        <v>1.6394261995467514E-2</v>
      </c>
      <c r="L139" s="43">
        <v>1.7100173638363587</v>
      </c>
      <c r="M139" s="42">
        <v>5.0341933165855242</v>
      </c>
    </row>
    <row r="140" spans="1:13" x14ac:dyDescent="0.2">
      <c r="A140" s="41">
        <v>139</v>
      </c>
      <c r="B140" s="42">
        <v>11.583333333333334</v>
      </c>
      <c r="C140" s="41">
        <v>617.90324841732149</v>
      </c>
      <c r="D140" s="43">
        <v>4696.0646879716433</v>
      </c>
      <c r="E140" s="44">
        <v>113.41629999999998</v>
      </c>
      <c r="F140" s="44">
        <v>185.39888146631395</v>
      </c>
      <c r="G140" s="44">
        <v>298.8151814663139</v>
      </c>
      <c r="H140" s="45">
        <v>0.48359542085543322</v>
      </c>
      <c r="I140" s="43">
        <v>10242964.630992878</v>
      </c>
      <c r="J140" s="43">
        <v>155555.55555555556</v>
      </c>
      <c r="K140" s="43">
        <v>1.5186575484687301E-2</v>
      </c>
      <c r="L140" s="43">
        <v>1.7252039393210461</v>
      </c>
      <c r="M140" s="42">
        <v>5.0702544081606638</v>
      </c>
    </row>
    <row r="141" spans="1:13" x14ac:dyDescent="0.2">
      <c r="A141" s="41">
        <v>140</v>
      </c>
      <c r="B141" s="42">
        <v>11.666666666666666</v>
      </c>
      <c r="C141" s="41">
        <v>617.90573601562176</v>
      </c>
      <c r="D141" s="43">
        <v>4696.0835937187248</v>
      </c>
      <c r="E141" s="44">
        <v>113.41629999999998</v>
      </c>
      <c r="F141" s="44">
        <v>181.40112791526704</v>
      </c>
      <c r="G141" s="44">
        <v>294.81742791526699</v>
      </c>
      <c r="H141" s="45">
        <v>0.47712363024222432</v>
      </c>
      <c r="I141" s="43">
        <v>11612366.644508999</v>
      </c>
      <c r="J141" s="43">
        <v>155555.55555555556</v>
      </c>
      <c r="K141" s="43">
        <v>1.339568068401554E-2</v>
      </c>
      <c r="L141" s="43">
        <v>1.7385996200050617</v>
      </c>
      <c r="M141" s="42">
        <v>5.1019347405748929</v>
      </c>
    </row>
    <row r="142" spans="1:13" x14ac:dyDescent="0.2">
      <c r="A142" s="41">
        <v>141</v>
      </c>
      <c r="B142" s="42">
        <v>11.75</v>
      </c>
      <c r="C142" s="41">
        <v>617.90818835824814</v>
      </c>
      <c r="D142" s="43">
        <v>4696.1022315226855</v>
      </c>
      <c r="E142" s="44">
        <v>113.41629999999998</v>
      </c>
      <c r="F142" s="44">
        <v>177.94324057296106</v>
      </c>
      <c r="G142" s="44">
        <v>291.35954057296101</v>
      </c>
      <c r="H142" s="45">
        <v>0.47152561830761469</v>
      </c>
      <c r="I142" s="43">
        <v>12961575.96030036</v>
      </c>
      <c r="J142" s="43">
        <v>155555.55555555556</v>
      </c>
      <c r="K142" s="43">
        <v>1.2001284105574987E-2</v>
      </c>
      <c r="L142" s="43">
        <v>1.7506009041106367</v>
      </c>
      <c r="M142" s="42">
        <v>5.1302157199978291</v>
      </c>
    </row>
    <row r="143" spans="1:13" x14ac:dyDescent="0.2">
      <c r="A143" s="41">
        <v>142</v>
      </c>
      <c r="B143" s="42">
        <v>11.833333333333334</v>
      </c>
      <c r="C143" s="41">
        <v>617.91060618942231</v>
      </c>
      <c r="D143" s="43">
        <v>4696.1206070396101</v>
      </c>
      <c r="E143" s="44">
        <v>113.41629999999998</v>
      </c>
      <c r="F143" s="44">
        <v>174.48531603241327</v>
      </c>
      <c r="G143" s="44">
        <v>287.90161603241324</v>
      </c>
      <c r="H143" s="45">
        <v>0.46592761663028676</v>
      </c>
      <c r="I143" s="43">
        <v>14486548.619969973</v>
      </c>
      <c r="J143" s="43">
        <v>155555.55555555556</v>
      </c>
      <c r="K143" s="43">
        <v>1.0737930727069066E-2</v>
      </c>
      <c r="L143" s="43">
        <v>1.7613388348377057</v>
      </c>
      <c r="M143" s="42">
        <v>5.1554384738277799</v>
      </c>
    </row>
    <row r="144" spans="1:13" x14ac:dyDescent="0.2">
      <c r="A144" s="41">
        <v>143</v>
      </c>
      <c r="B144" s="42">
        <v>11.916666666666666</v>
      </c>
      <c r="C144" s="41">
        <v>617.91299023256579</v>
      </c>
      <c r="D144" s="43">
        <v>4696.1387257674996</v>
      </c>
      <c r="E144" s="44">
        <v>113.41629999999998</v>
      </c>
      <c r="F144" s="44">
        <v>171.29340385521624</v>
      </c>
      <c r="G144" s="44">
        <v>284.70970385521622</v>
      </c>
      <c r="H144" s="45">
        <v>0.46076018526177798</v>
      </c>
      <c r="I144" s="43">
        <v>16072167.93989148</v>
      </c>
      <c r="J144" s="43">
        <v>155555.55555555556</v>
      </c>
      <c r="K144" s="43">
        <v>9.6785670817602139E-3</v>
      </c>
      <c r="L144" s="43">
        <v>1.771017401919466</v>
      </c>
      <c r="M144" s="42">
        <v>5.1781073976149106</v>
      </c>
    </row>
    <row r="145" spans="1:13" x14ac:dyDescent="0.2">
      <c r="A145" s="41">
        <v>144</v>
      </c>
      <c r="B145" s="42">
        <v>12</v>
      </c>
      <c r="C145" s="41">
        <v>617.91534119102141</v>
      </c>
      <c r="D145" s="43">
        <v>4696.1565930517627</v>
      </c>
      <c r="E145" s="44">
        <v>113.41629999999998</v>
      </c>
      <c r="F145" s="44">
        <v>169.69775680656073</v>
      </c>
      <c r="G145" s="44">
        <v>283.11405680656071</v>
      </c>
      <c r="H145" s="45">
        <v>0.45817612532626739</v>
      </c>
      <c r="I145" s="43">
        <v>16936448.235605706</v>
      </c>
      <c r="J145" s="43">
        <v>155555.55555555556</v>
      </c>
      <c r="K145" s="43">
        <v>9.1846621789643708E-3</v>
      </c>
      <c r="L145" s="43">
        <v>1.7802020640984304</v>
      </c>
      <c r="M145" s="42">
        <v>5.1995622969549675</v>
      </c>
    </row>
    <row r="146" spans="1:13" x14ac:dyDescent="0.2">
      <c r="A146" s="41">
        <v>145</v>
      </c>
      <c r="B146" s="42">
        <v>12.083333333333334</v>
      </c>
      <c r="C146" s="41">
        <v>617.91765974874556</v>
      </c>
      <c r="D146" s="43">
        <v>4696.1742140904662</v>
      </c>
      <c r="E146" s="44">
        <v>113.41629999999998</v>
      </c>
      <c r="F146" s="44">
        <v>169.43234275845828</v>
      </c>
      <c r="G146" s="44">
        <v>282.84864275845825</v>
      </c>
      <c r="H146" s="45">
        <v>0.4577448763537017</v>
      </c>
      <c r="I146" s="43">
        <v>17085637.12818642</v>
      </c>
      <c r="J146" s="43">
        <v>155555.55555555556</v>
      </c>
      <c r="K146" s="43">
        <v>9.1044632628263737E-3</v>
      </c>
      <c r="L146" s="43">
        <v>1.7893065273612567</v>
      </c>
      <c r="M146" s="42">
        <v>5.2207750263031283</v>
      </c>
    </row>
    <row r="147" spans="1:13" x14ac:dyDescent="0.2">
      <c r="A147" s="41">
        <v>146</v>
      </c>
      <c r="B147" s="42">
        <v>12.166666666666666</v>
      </c>
      <c r="C147" s="41">
        <v>617.91994657097052</v>
      </c>
      <c r="D147" s="43">
        <v>4696.1915939393757</v>
      </c>
      <c r="E147" s="44">
        <v>113.41629999999998</v>
      </c>
      <c r="F147" s="44">
        <v>172.09348757233988</v>
      </c>
      <c r="G147" s="44">
        <v>285.50978757233986</v>
      </c>
      <c r="H147" s="45">
        <v>0.46204979974626526</v>
      </c>
      <c r="I147" s="43">
        <v>15659196.159442181</v>
      </c>
      <c r="J147" s="43">
        <v>155555.55555555556</v>
      </c>
      <c r="K147" s="43">
        <v>9.9338148632718091E-3</v>
      </c>
      <c r="L147" s="43">
        <v>1.7992403422245284</v>
      </c>
      <c r="M147" s="42">
        <v>5.2438579887144243</v>
      </c>
    </row>
    <row r="148" spans="1:13" x14ac:dyDescent="0.2">
      <c r="A148" s="41">
        <v>147</v>
      </c>
      <c r="B148" s="42">
        <v>12.25</v>
      </c>
      <c r="C148" s="41">
        <v>617.92220230484179</v>
      </c>
      <c r="D148" s="43">
        <v>4696.2087375167976</v>
      </c>
      <c r="E148" s="44">
        <v>113.41629999999998</v>
      </c>
      <c r="F148" s="44">
        <v>176.88306527204563</v>
      </c>
      <c r="G148" s="44">
        <v>290.29936527204563</v>
      </c>
      <c r="H148" s="45">
        <v>0.4697992145115239</v>
      </c>
      <c r="I148" s="43">
        <v>13412017.762563042</v>
      </c>
      <c r="J148" s="43">
        <v>155555.55555555556</v>
      </c>
      <c r="K148" s="43">
        <v>1.1598221707531413E-2</v>
      </c>
      <c r="L148" s="43">
        <v>1.8108385639320599</v>
      </c>
      <c r="M148" s="42">
        <v>5.270726754303773</v>
      </c>
    </row>
    <row r="149" spans="1:13" x14ac:dyDescent="0.2">
      <c r="A149" s="41">
        <v>148</v>
      </c>
      <c r="B149" s="42">
        <v>12.333333333333334</v>
      </c>
      <c r="C149" s="41">
        <v>617.92442758002858</v>
      </c>
      <c r="D149" s="43">
        <v>4696.2256496082173</v>
      </c>
      <c r="E149" s="44">
        <v>113.41629999999998</v>
      </c>
      <c r="F149" s="44">
        <v>182.73688380628815</v>
      </c>
      <c r="G149" s="44">
        <v>296.1531838062881</v>
      </c>
      <c r="H149" s="45">
        <v>0.47927087939557583</v>
      </c>
      <c r="I149" s="43">
        <v>11136751.54963297</v>
      </c>
      <c r="J149" s="43">
        <v>155555.55555555556</v>
      </c>
      <c r="K149" s="43">
        <v>1.3967767428616305E-2</v>
      </c>
      <c r="L149" s="43">
        <v>1.8248063313606762</v>
      </c>
      <c r="M149" s="42">
        <v>5.3029684230103245</v>
      </c>
    </row>
    <row r="150" spans="1:13" x14ac:dyDescent="0.2">
      <c r="A150" s="41">
        <v>149</v>
      </c>
      <c r="B150" s="42">
        <v>12.416666666666666</v>
      </c>
      <c r="C150" s="41">
        <v>617.92662300930897</v>
      </c>
      <c r="D150" s="43">
        <v>4696.242334870748</v>
      </c>
      <c r="E150" s="44">
        <v>113.41629999999998</v>
      </c>
      <c r="F150" s="44">
        <v>186.77524480727672</v>
      </c>
      <c r="G150" s="44">
        <v>300.19154480727673</v>
      </c>
      <c r="H150" s="45">
        <v>0.48580451728287871</v>
      </c>
      <c r="I150" s="43">
        <v>9817276.4047336727</v>
      </c>
      <c r="J150" s="43">
        <v>155555.55555555556</v>
      </c>
      <c r="K150" s="43">
        <v>1.5845082601580834E-2</v>
      </c>
      <c r="L150" s="43">
        <v>1.840651413962257</v>
      </c>
      <c r="M150" s="42">
        <v>5.3393900907001317</v>
      </c>
    </row>
    <row r="151" spans="1:13" x14ac:dyDescent="0.2">
      <c r="A151" s="41">
        <v>150</v>
      </c>
      <c r="B151" s="42">
        <v>12.5</v>
      </c>
      <c r="C151" s="41">
        <v>617.92878918913379</v>
      </c>
      <c r="D151" s="43">
        <v>4696.2587978374168</v>
      </c>
      <c r="E151" s="44">
        <v>113.41629999999998</v>
      </c>
      <c r="F151" s="44">
        <v>187.87138332581253</v>
      </c>
      <c r="G151" s="44">
        <v>301.28768332581251</v>
      </c>
      <c r="H151" s="45">
        <v>0.48757670559608007</v>
      </c>
      <c r="I151" s="43">
        <v>9489925.6392582059</v>
      </c>
      <c r="J151" s="43">
        <v>155555.55555555556</v>
      </c>
      <c r="K151" s="43">
        <v>1.6391651680814939E-2</v>
      </c>
      <c r="L151" s="43">
        <v>1.8570430656430719</v>
      </c>
      <c r="M151" s="42">
        <v>5.376897347299467</v>
      </c>
    </row>
    <row r="152" spans="1:13" x14ac:dyDescent="0.2">
      <c r="A152" s="41">
        <v>151</v>
      </c>
      <c r="B152" s="42">
        <v>12.583333333333334</v>
      </c>
      <c r="C152" s="41">
        <v>617.93092670016574</v>
      </c>
      <c r="D152" s="43">
        <v>4696.2750429212601</v>
      </c>
      <c r="E152" s="44">
        <v>113.41629999999998</v>
      </c>
      <c r="F152" s="44">
        <v>185.40718620122738</v>
      </c>
      <c r="G152" s="44">
        <v>298.82348620122735</v>
      </c>
      <c r="H152" s="45">
        <v>0.48358719929585814</v>
      </c>
      <c r="I152" s="43">
        <v>10244586.605529312</v>
      </c>
      <c r="J152" s="43">
        <v>155555.55555555556</v>
      </c>
      <c r="K152" s="43">
        <v>1.5184171069586892E-2</v>
      </c>
      <c r="L152" s="43">
        <v>1.8722272367126587</v>
      </c>
      <c r="M152" s="42">
        <v>5.4114874833766793</v>
      </c>
    </row>
    <row r="153" spans="1:13" x14ac:dyDescent="0.2">
      <c r="A153" s="41">
        <v>152</v>
      </c>
      <c r="B153" s="42">
        <v>12.666666666666666</v>
      </c>
      <c r="C153" s="41">
        <v>617.93303610779878</v>
      </c>
      <c r="D153" s="43">
        <v>4696.2910744192714</v>
      </c>
      <c r="E153" s="44">
        <v>113.41629999999998</v>
      </c>
      <c r="F153" s="44">
        <v>181.40914251559275</v>
      </c>
      <c r="G153" s="44">
        <v>294.82544251559273</v>
      </c>
      <c r="H153" s="45">
        <v>0.47711552108076682</v>
      </c>
      <c r="I153" s="43">
        <v>11614204.926279178</v>
      </c>
      <c r="J153" s="43">
        <v>155555.55555555556</v>
      </c>
      <c r="K153" s="43">
        <v>1.3393560432499672E-2</v>
      </c>
      <c r="L153" s="43">
        <v>1.8856207971451584</v>
      </c>
      <c r="M153" s="42">
        <v>5.441876039200646</v>
      </c>
    </row>
    <row r="154" spans="1:13" x14ac:dyDescent="0.2">
      <c r="A154" s="41">
        <v>153</v>
      </c>
      <c r="B154" s="42">
        <v>12.75</v>
      </c>
      <c r="C154" s="41">
        <v>617.93511796265659</v>
      </c>
      <c r="D154" s="43">
        <v>4696.3068965161901</v>
      </c>
      <c r="E154" s="44">
        <v>113.41629999999998</v>
      </c>
      <c r="F154" s="44">
        <v>177.95099567503948</v>
      </c>
      <c r="G154" s="44">
        <v>291.36729567503949</v>
      </c>
      <c r="H154" s="45">
        <v>0.47151761925375402</v>
      </c>
      <c r="I154" s="43">
        <v>12963623.995353511</v>
      </c>
      <c r="J154" s="43">
        <v>155555.55555555556</v>
      </c>
      <c r="K154" s="43">
        <v>1.1999388104075727E-2</v>
      </c>
      <c r="L154" s="43">
        <v>1.897620185249234</v>
      </c>
      <c r="M154" s="42">
        <v>5.4690042664399501</v>
      </c>
    </row>
    <row r="155" spans="1:13" x14ac:dyDescent="0.2">
      <c r="A155" s="41">
        <v>154</v>
      </c>
      <c r="B155" s="42">
        <v>12.833333333333334</v>
      </c>
      <c r="C155" s="41">
        <v>617.93717280107194</v>
      </c>
      <c r="D155" s="43">
        <v>4696.3225132881471</v>
      </c>
      <c r="E155" s="44">
        <v>113.41629999999998</v>
      </c>
      <c r="F155" s="44">
        <v>174.49281790013191</v>
      </c>
      <c r="G155" s="44">
        <v>287.90911790013189</v>
      </c>
      <c r="H155" s="45">
        <v>0.4659197254553521</v>
      </c>
      <c r="I155" s="43">
        <v>14488833.87320731</v>
      </c>
      <c r="J155" s="43">
        <v>155555.55555555556</v>
      </c>
      <c r="K155" s="43">
        <v>1.0736237085526132E-2</v>
      </c>
      <c r="L155" s="43">
        <v>1.9083564223347602</v>
      </c>
      <c r="M155" s="42">
        <v>5.4931992703659764</v>
      </c>
    </row>
    <row r="156" spans="1:13" x14ac:dyDescent="0.2">
      <c r="A156" s="41">
        <v>155</v>
      </c>
      <c r="B156" s="42">
        <v>12.916666666666666</v>
      </c>
      <c r="C156" s="41">
        <v>617.93920114554749</v>
      </c>
      <c r="D156" s="43">
        <v>4696.3379287061607</v>
      </c>
      <c r="E156" s="44">
        <v>113.41629999999998</v>
      </c>
      <c r="F156" s="44">
        <v>171.30066985637461</v>
      </c>
      <c r="G156" s="44">
        <v>284.71696985637459</v>
      </c>
      <c r="H156" s="45">
        <v>0.4607523997968746</v>
      </c>
      <c r="I156" s="43">
        <v>16074697.413582243</v>
      </c>
      <c r="J156" s="43">
        <v>155555.55555555556</v>
      </c>
      <c r="K156" s="43">
        <v>9.6770440869462081E-3</v>
      </c>
      <c r="L156" s="43">
        <v>1.9180334664217065</v>
      </c>
      <c r="M156" s="42">
        <v>5.5149447991783438</v>
      </c>
    </row>
    <row r="157" spans="1:13" x14ac:dyDescent="0.2">
      <c r="A157" s="41">
        <v>156</v>
      </c>
      <c r="B157" s="42">
        <v>13</v>
      </c>
      <c r="C157" s="41">
        <v>617.94120350519802</v>
      </c>
      <c r="D157" s="43">
        <v>4696.3531466395052</v>
      </c>
      <c r="E157" s="44">
        <v>113.41629999999998</v>
      </c>
      <c r="F157" s="44">
        <v>169.70485935995117</v>
      </c>
      <c r="G157" s="44">
        <v>283.12115935995115</v>
      </c>
      <c r="H157" s="45">
        <v>0.45816844346028396</v>
      </c>
      <c r="I157" s="43">
        <v>16939093.093940109</v>
      </c>
      <c r="J157" s="43">
        <v>155555.55555555556</v>
      </c>
      <c r="K157" s="43">
        <v>9.1832280921346921E-3</v>
      </c>
      <c r="L157" s="43">
        <v>1.9272166945138411</v>
      </c>
      <c r="M157" s="42">
        <v>5.535526039690283</v>
      </c>
    </row>
    <row r="158" spans="1:13" x14ac:dyDescent="0.2">
      <c r="A158" s="41">
        <v>157</v>
      </c>
      <c r="B158" s="42">
        <v>13.083333333333334</v>
      </c>
      <c r="C158" s="41">
        <v>617.94318037617745</v>
      </c>
      <c r="D158" s="43">
        <v>4696.3681708589484</v>
      </c>
      <c r="E158" s="44">
        <v>113.41629999999998</v>
      </c>
      <c r="F158" s="44">
        <v>169.43934048643419</v>
      </c>
      <c r="G158" s="44">
        <v>282.85564048643414</v>
      </c>
      <c r="H158" s="45">
        <v>0.4577372960313984</v>
      </c>
      <c r="I158" s="43">
        <v>17088272.492747732</v>
      </c>
      <c r="J158" s="43">
        <v>155555.55555555556</v>
      </c>
      <c r="K158" s="43">
        <v>9.1030591665467297E-3</v>
      </c>
      <c r="L158" s="43">
        <v>1.9363197536803878</v>
      </c>
      <c r="M158" s="42">
        <v>5.5558752666962956</v>
      </c>
    </row>
    <row r="159" spans="1:13" x14ac:dyDescent="0.2">
      <c r="A159" s="41">
        <v>158</v>
      </c>
      <c r="B159" s="42">
        <v>13.166666666666666</v>
      </c>
      <c r="C159" s="41">
        <v>617.94513224208754</v>
      </c>
      <c r="D159" s="43">
        <v>4696.3830050398656</v>
      </c>
      <c r="E159" s="44">
        <v>113.41629999999998</v>
      </c>
      <c r="F159" s="44">
        <v>172.10050189515539</v>
      </c>
      <c r="G159" s="44">
        <v>285.51680189515537</v>
      </c>
      <c r="H159" s="45">
        <v>0.46204231896643644</v>
      </c>
      <c r="I159" s="43">
        <v>15661557.573076535</v>
      </c>
      <c r="J159" s="43">
        <v>155555.55555555556</v>
      </c>
      <c r="K159" s="43">
        <v>9.9323170655112852E-3</v>
      </c>
      <c r="L159" s="43">
        <v>1.946252070745899</v>
      </c>
      <c r="M159" s="42">
        <v>5.5780189705420771</v>
      </c>
    </row>
    <row r="160" spans="1:13" x14ac:dyDescent="0.2">
      <c r="A160" s="41">
        <v>159</v>
      </c>
      <c r="B160" s="42">
        <v>13.25</v>
      </c>
      <c r="C160" s="41">
        <v>617.94705957437361</v>
      </c>
      <c r="D160" s="43">
        <v>4696.3976527652394</v>
      </c>
      <c r="E160" s="44">
        <v>113.41629999999998</v>
      </c>
      <c r="F160" s="44">
        <v>176.89018077948765</v>
      </c>
      <c r="G160" s="44">
        <v>290.30648077948763</v>
      </c>
      <c r="H160" s="45">
        <v>0.46979183132523267</v>
      </c>
      <c r="I160" s="43">
        <v>13413980.983207287</v>
      </c>
      <c r="J160" s="43">
        <v>155555.55555555556</v>
      </c>
      <c r="K160" s="43">
        <v>1.1596524234699054E-2</v>
      </c>
      <c r="L160" s="43">
        <v>1.9578485949805982</v>
      </c>
      <c r="M160" s="42">
        <v>5.603794950392019</v>
      </c>
    </row>
    <row r="161" spans="1:13" x14ac:dyDescent="0.2">
      <c r="A161" s="41">
        <v>160</v>
      </c>
      <c r="B161" s="42">
        <v>13.333333333333334</v>
      </c>
      <c r="C161" s="41">
        <v>617.94896283270316</v>
      </c>
      <c r="D161" s="43">
        <v>4696.4121175285436</v>
      </c>
      <c r="E161" s="44">
        <v>113.41629999999998</v>
      </c>
      <c r="F161" s="44">
        <v>182.74413954083599</v>
      </c>
      <c r="G161" s="44">
        <v>296.16043954083597</v>
      </c>
      <c r="H161" s="45">
        <v>0.47926359190445839</v>
      </c>
      <c r="I161" s="43">
        <v>11138328.789829817</v>
      </c>
      <c r="J161" s="43">
        <v>155555.55555555556</v>
      </c>
      <c r="K161" s="43">
        <v>1.3965789526485356E-2</v>
      </c>
      <c r="L161" s="43">
        <v>1.9718143845070835</v>
      </c>
      <c r="M161" s="42">
        <v>5.6347260545828215</v>
      </c>
    </row>
    <row r="162" spans="1:13" x14ac:dyDescent="0.2">
      <c r="A162" s="41">
        <v>161</v>
      </c>
      <c r="B162" s="42">
        <v>13.416666666666666</v>
      </c>
      <c r="C162" s="41">
        <v>617.9508424653319</v>
      </c>
      <c r="D162" s="43">
        <v>4696.4264027365225</v>
      </c>
      <c r="E162" s="44">
        <v>113.41629999999998</v>
      </c>
      <c r="F162" s="44">
        <v>186.78256540920475</v>
      </c>
      <c r="G162" s="44">
        <v>300.1988654092047</v>
      </c>
      <c r="H162" s="45">
        <v>0.4857973236375131</v>
      </c>
      <c r="I162" s="43">
        <v>9818630.4086252097</v>
      </c>
      <c r="J162" s="43">
        <v>155555.55555555556</v>
      </c>
      <c r="K162" s="43">
        <v>1.584289754087365E-2</v>
      </c>
      <c r="L162" s="43">
        <v>1.9876572820479572</v>
      </c>
      <c r="M162" s="42">
        <v>5.66966819330771</v>
      </c>
    </row>
    <row r="163" spans="1:13" x14ac:dyDescent="0.2">
      <c r="A163" s="41">
        <v>162</v>
      </c>
      <c r="B163" s="42">
        <v>13.5</v>
      </c>
      <c r="C163" s="41">
        <v>617.95269890945542</v>
      </c>
      <c r="D163" s="43">
        <v>4696.4405117118613</v>
      </c>
      <c r="E163" s="44">
        <v>113.41629999999998</v>
      </c>
      <c r="F163" s="44">
        <v>187.87865269456563</v>
      </c>
      <c r="G163" s="44">
        <v>301.29495269456561</v>
      </c>
      <c r="H163" s="45">
        <v>0.48756960399441901</v>
      </c>
      <c r="I163" s="43">
        <v>9491213.049751237</v>
      </c>
      <c r="J163" s="43">
        <v>155555.55555555556</v>
      </c>
      <c r="K163" s="43">
        <v>1.6389428278573162E-2</v>
      </c>
      <c r="L163" s="43">
        <v>2.0040467103265303</v>
      </c>
      <c r="M163" s="42">
        <v>5.7056528467585483</v>
      </c>
    </row>
    <row r="164" spans="1:13" x14ac:dyDescent="0.2">
      <c r="A164" s="41">
        <v>163</v>
      </c>
      <c r="B164" s="42">
        <v>13.583333333333334</v>
      </c>
      <c r="C164" s="41">
        <v>617.95453259154806</v>
      </c>
      <c r="D164" s="43">
        <v>4696.4544476957653</v>
      </c>
      <c r="E164" s="44">
        <v>113.41629999999998</v>
      </c>
      <c r="F164" s="44">
        <v>185.41426903477696</v>
      </c>
      <c r="G164" s="44">
        <v>298.83056903477694</v>
      </c>
      <c r="H164" s="45">
        <v>0.48358018798172037</v>
      </c>
      <c r="I164" s="43">
        <v>10245970.043826511</v>
      </c>
      <c r="J164" s="43">
        <v>155555.55555555556</v>
      </c>
      <c r="K164" s="43">
        <v>1.5182120862170802E-2</v>
      </c>
      <c r="L164" s="43">
        <v>2.019228831188701</v>
      </c>
      <c r="M164" s="42">
        <v>5.7388397049772069</v>
      </c>
    </row>
    <row r="165" spans="1:13" x14ac:dyDescent="0.2">
      <c r="A165" s="41">
        <v>164</v>
      </c>
      <c r="B165" s="42">
        <v>13.666666666666666</v>
      </c>
      <c r="C165" s="41">
        <v>617.95634392769023</v>
      </c>
      <c r="D165" s="43">
        <v>4696.4682138504459</v>
      </c>
      <c r="E165" s="44">
        <v>113.41629999999998</v>
      </c>
      <c r="F165" s="44">
        <v>181.41598508812623</v>
      </c>
      <c r="G165" s="44">
        <v>294.83228508812624</v>
      </c>
      <c r="H165" s="45">
        <v>0.47710859834238689</v>
      </c>
      <c r="I165" s="43">
        <v>11615774.510449365</v>
      </c>
      <c r="J165" s="43">
        <v>155555.55555555556</v>
      </c>
      <c r="K165" s="43">
        <v>1.3391750624602799E-2</v>
      </c>
      <c r="L165" s="43">
        <v>2.0326205818133039</v>
      </c>
      <c r="M165" s="42">
        <v>5.7679961596549232</v>
      </c>
    </row>
    <row r="166" spans="1:13" x14ac:dyDescent="0.2">
      <c r="A166" s="41">
        <v>165</v>
      </c>
      <c r="B166" s="42">
        <v>13.75</v>
      </c>
      <c r="C166" s="41">
        <v>617.95813332388252</v>
      </c>
      <c r="D166" s="43">
        <v>4696.4818132615073</v>
      </c>
      <c r="E166" s="44">
        <v>113.41629999999998</v>
      </c>
      <c r="F166" s="44">
        <v>177.95762356577899</v>
      </c>
      <c r="G166" s="44">
        <v>291.37392356577897</v>
      </c>
      <c r="H166" s="45">
        <v>0.47151078342238578</v>
      </c>
      <c r="I166" s="43">
        <v>12965374.489105104</v>
      </c>
      <c r="J166" s="43">
        <v>155555.55555555556</v>
      </c>
      <c r="K166" s="43">
        <v>1.1997768031017538E-2</v>
      </c>
      <c r="L166" s="43">
        <v>2.0446183498443213</v>
      </c>
      <c r="M166" s="42">
        <v>5.7940250714428867</v>
      </c>
    </row>
    <row r="167" spans="1:13" x14ac:dyDescent="0.2">
      <c r="A167" s="41">
        <v>166</v>
      </c>
      <c r="B167" s="42">
        <v>13.833333333333334</v>
      </c>
      <c r="C167" s="41">
        <v>617.95990117634926</v>
      </c>
      <c r="D167" s="43">
        <v>4696.4952489402549</v>
      </c>
      <c r="E167" s="44">
        <v>113.41629999999998</v>
      </c>
      <c r="F167" s="44">
        <v>174.49923592840889</v>
      </c>
      <c r="G167" s="44">
        <v>287.91553592840887</v>
      </c>
      <c r="H167" s="45">
        <v>0.4659129749039258</v>
      </c>
      <c r="I167" s="43">
        <v>14490789.123185519</v>
      </c>
      <c r="J167" s="43">
        <v>155555.55555555556</v>
      </c>
      <c r="K167" s="43">
        <v>1.073478843927581E-2</v>
      </c>
      <c r="L167" s="43">
        <v>2.0553531382835972</v>
      </c>
      <c r="M167" s="42">
        <v>5.8172401096203368</v>
      </c>
    </row>
    <row r="168" spans="1:13" x14ac:dyDescent="0.2">
      <c r="A168" s="41">
        <v>167</v>
      </c>
      <c r="B168" s="42">
        <v>13.916666666666666</v>
      </c>
      <c r="C168" s="41">
        <v>617.96164787183125</v>
      </c>
      <c r="D168" s="43">
        <v>4696.5085238259171</v>
      </c>
      <c r="E168" s="44">
        <v>113.41629999999998</v>
      </c>
      <c r="F168" s="44">
        <v>171.30689237671538</v>
      </c>
      <c r="G168" s="44">
        <v>284.72319237671536</v>
      </c>
      <c r="H168" s="45">
        <v>0.46074573293870263</v>
      </c>
      <c r="I168" s="43">
        <v>16076863.805756297</v>
      </c>
      <c r="J168" s="43">
        <v>155555.55555555556</v>
      </c>
      <c r="K168" s="43">
        <v>9.6757400843228598E-3</v>
      </c>
      <c r="L168" s="43">
        <v>2.06502887836792</v>
      </c>
      <c r="M168" s="42">
        <v>5.8381052864361944</v>
      </c>
    </row>
    <row r="169" spans="1:13" x14ac:dyDescent="0.2">
      <c r="A169" s="41">
        <v>168</v>
      </c>
      <c r="B169" s="42">
        <v>14</v>
      </c>
      <c r="C169" s="41">
        <v>617.96337378786745</v>
      </c>
      <c r="D169" s="43">
        <v>4696.5216407877924</v>
      </c>
      <c r="E169" s="44">
        <v>113.41629999999998</v>
      </c>
      <c r="F169" s="44">
        <v>169.71094797272056</v>
      </c>
      <c r="G169" s="44">
        <v>283.12724797272051</v>
      </c>
      <c r="H169" s="45">
        <v>0.45816185874781562</v>
      </c>
      <c r="I169" s="43">
        <v>16941360.567539264</v>
      </c>
      <c r="J169" s="43">
        <v>155555.55555555556</v>
      </c>
      <c r="K169" s="43">
        <v>9.1819989861741096E-3</v>
      </c>
      <c r="L169" s="43">
        <v>2.0742108773540942</v>
      </c>
      <c r="M169" s="42">
        <v>5.8578536838052484</v>
      </c>
    </row>
    <row r="170" spans="1:13" x14ac:dyDescent="0.2">
      <c r="A170" s="41">
        <v>169</v>
      </c>
      <c r="B170" s="42">
        <v>14.083333333333334</v>
      </c>
      <c r="C170" s="41">
        <v>617.96507929306711</v>
      </c>
      <c r="D170" s="43">
        <v>4696.5346026273101</v>
      </c>
      <c r="E170" s="44">
        <v>113.41629999999998</v>
      </c>
      <c r="F170" s="44">
        <v>169.44534514536238</v>
      </c>
      <c r="G170" s="44">
        <v>282.86164514536233</v>
      </c>
      <c r="H170" s="45">
        <v>0.45773079195501998</v>
      </c>
      <c r="I170" s="43">
        <v>17090534.049922876</v>
      </c>
      <c r="J170" s="43">
        <v>155555.55555555556</v>
      </c>
      <c r="K170" s="43">
        <v>9.1018545764084847E-3</v>
      </c>
      <c r="L170" s="43">
        <v>2.0833127319305027</v>
      </c>
      <c r="M170" s="42">
        <v>5.8773798322741246</v>
      </c>
    </row>
    <row r="171" spans="1:13" x14ac:dyDescent="0.2">
      <c r="A171" s="41">
        <v>170</v>
      </c>
      <c r="B171" s="42">
        <v>14.166666666666666</v>
      </c>
      <c r="C171" s="41">
        <v>617.96676474737262</v>
      </c>
      <c r="D171" s="43">
        <v>4696.5474120800318</v>
      </c>
      <c r="E171" s="44">
        <v>113.41629999999998</v>
      </c>
      <c r="F171" s="44">
        <v>172.10652664528698</v>
      </c>
      <c r="G171" s="44">
        <v>285.52282664528695</v>
      </c>
      <c r="H171" s="45">
        <v>0.46203589405331508</v>
      </c>
      <c r="I171" s="43">
        <v>15663586.002277046</v>
      </c>
      <c r="J171" s="43">
        <v>155555.55555555556</v>
      </c>
      <c r="K171" s="43">
        <v>9.9310308337402526E-3</v>
      </c>
      <c r="L171" s="43">
        <v>2.0932437627642431</v>
      </c>
      <c r="M171" s="42">
        <v>5.8986283337664425</v>
      </c>
    </row>
    <row r="172" spans="1:13" x14ac:dyDescent="0.2">
      <c r="A172" s="41">
        <v>171</v>
      </c>
      <c r="B172" s="42">
        <v>14.25</v>
      </c>
      <c r="C172" s="41">
        <v>617.96843050231223</v>
      </c>
      <c r="D172" s="43">
        <v>4696.5600718175729</v>
      </c>
      <c r="E172" s="44">
        <v>113.41629999999998</v>
      </c>
      <c r="F172" s="44">
        <v>176.89629830565417</v>
      </c>
      <c r="G172" s="44">
        <v>290.31259830565415</v>
      </c>
      <c r="H172" s="45">
        <v>0.46978548413820292</v>
      </c>
      <c r="I172" s="43">
        <v>13415668.981622893</v>
      </c>
      <c r="J172" s="43">
        <v>155555.55555555556</v>
      </c>
      <c r="K172" s="43">
        <v>1.15950651263563E-2</v>
      </c>
      <c r="L172" s="43">
        <v>2.1048388278905992</v>
      </c>
      <c r="M172" s="42">
        <v>5.9233628934886919</v>
      </c>
    </row>
    <row r="173" spans="1:13" x14ac:dyDescent="0.2">
      <c r="A173" s="41">
        <v>172</v>
      </c>
      <c r="B173" s="42">
        <v>14.333333333333334</v>
      </c>
      <c r="C173" s="41">
        <v>617.97007690124474</v>
      </c>
      <c r="D173" s="43">
        <v>4696.57258444946</v>
      </c>
      <c r="E173" s="44">
        <v>113.41629999999998</v>
      </c>
      <c r="F173" s="44">
        <v>182.75038353915934</v>
      </c>
      <c r="G173" s="44">
        <v>296.16668353915929</v>
      </c>
      <c r="H173" s="45">
        <v>0.4792573210409482</v>
      </c>
      <c r="I173" s="43">
        <v>11139686.198136369</v>
      </c>
      <c r="J173" s="43">
        <v>155555.55555555556</v>
      </c>
      <c r="K173" s="43">
        <v>1.3964087747963625E-2</v>
      </c>
      <c r="L173" s="43">
        <v>2.1188029156385628</v>
      </c>
      <c r="M173" s="42">
        <v>5.9530451875998631</v>
      </c>
    </row>
    <row r="174" spans="1:13" x14ac:dyDescent="0.2">
      <c r="A174" s="41">
        <v>173</v>
      </c>
      <c r="B174" s="42">
        <v>14.416666666666666</v>
      </c>
      <c r="C174" s="41">
        <v>617.97170427959531</v>
      </c>
      <c r="D174" s="43">
        <v>4696.584952524925</v>
      </c>
      <c r="E174" s="44">
        <v>113.41629999999998</v>
      </c>
      <c r="F174" s="44">
        <v>186.78887112629332</v>
      </c>
      <c r="G174" s="44">
        <v>300.20517112629329</v>
      </c>
      <c r="H174" s="45">
        <v>0.48579112772850902</v>
      </c>
      <c r="I174" s="43">
        <v>9819796.7821284421</v>
      </c>
      <c r="J174" s="43">
        <v>155555.55555555556</v>
      </c>
      <c r="K174" s="43">
        <v>1.5841015756930855E-2</v>
      </c>
      <c r="L174" s="43">
        <v>2.1346439313954937</v>
      </c>
      <c r="M174" s="42">
        <v>5.986577717743601</v>
      </c>
    </row>
    <row r="175" spans="1:13" x14ac:dyDescent="0.2">
      <c r="A175" s="41">
        <v>174</v>
      </c>
      <c r="B175" s="42">
        <v>14.5</v>
      </c>
      <c r="C175" s="41">
        <v>617.97331296508366</v>
      </c>
      <c r="D175" s="43">
        <v>4696.5971785346364</v>
      </c>
      <c r="E175" s="44">
        <v>113.41629999999998</v>
      </c>
      <c r="F175" s="44">
        <v>187.88492006908288</v>
      </c>
      <c r="G175" s="44">
        <v>301.30122006908289</v>
      </c>
      <c r="H175" s="45">
        <v>0.48756348170346769</v>
      </c>
      <c r="I175" s="43">
        <v>9492323.0816043559</v>
      </c>
      <c r="J175" s="43">
        <v>155555.55555555556</v>
      </c>
      <c r="K175" s="43">
        <v>1.6387511699534795E-2</v>
      </c>
      <c r="L175" s="43">
        <v>2.1510314430950284</v>
      </c>
      <c r="M175" s="42">
        <v>6.0211119527633619</v>
      </c>
    </row>
    <row r="176" spans="1:13" x14ac:dyDescent="0.2">
      <c r="A176" s="41">
        <v>175</v>
      </c>
      <c r="B176" s="42">
        <v>14.583333333333334</v>
      </c>
      <c r="C176" s="41">
        <v>617.97490327794355</v>
      </c>
      <c r="D176" s="43">
        <v>4696.6092649123702</v>
      </c>
      <c r="E176" s="44">
        <v>113.41629999999998</v>
      </c>
      <c r="F176" s="44">
        <v>185.42038116071589</v>
      </c>
      <c r="G176" s="44">
        <v>298.8366811607159</v>
      </c>
      <c r="H176" s="45">
        <v>0.48357413800396615</v>
      </c>
      <c r="I176" s="43">
        <v>10247163.962196166</v>
      </c>
      <c r="J176" s="43">
        <v>155555.55555555556</v>
      </c>
      <c r="K176" s="43">
        <v>1.5180351961716536E-2</v>
      </c>
      <c r="L176" s="43">
        <v>2.166211795056745</v>
      </c>
      <c r="M176" s="42">
        <v>6.0529622674068309</v>
      </c>
    </row>
    <row r="177" spans="1:13" x14ac:dyDescent="0.2">
      <c r="A177" s="41">
        <v>176</v>
      </c>
      <c r="B177" s="42">
        <v>14.666666666666666</v>
      </c>
      <c r="C177" s="41">
        <v>617.97647553113563</v>
      </c>
      <c r="D177" s="43">
        <v>4696.6212140366306</v>
      </c>
      <c r="E177" s="44">
        <v>113.41629999999998</v>
      </c>
      <c r="F177" s="44">
        <v>181.42189520573621</v>
      </c>
      <c r="G177" s="44">
        <v>294.83819520573616</v>
      </c>
      <c r="H177" s="45">
        <v>0.47710261940364307</v>
      </c>
      <c r="I177" s="43">
        <v>11617130.297103094</v>
      </c>
      <c r="J177" s="43">
        <v>155555.55555555556</v>
      </c>
      <c r="K177" s="43">
        <v>1.3390187729438284E-2</v>
      </c>
      <c r="L177" s="43">
        <v>2.1796019827861834</v>
      </c>
      <c r="M177" s="42">
        <v>6.0809453755553475</v>
      </c>
    </row>
    <row r="178" spans="1:13" x14ac:dyDescent="0.2">
      <c r="A178" s="41">
        <v>177</v>
      </c>
      <c r="B178" s="42">
        <v>14.75</v>
      </c>
      <c r="C178" s="41">
        <v>617.97803003055265</v>
      </c>
      <c r="D178" s="43">
        <v>4696.6330282321996</v>
      </c>
      <c r="E178" s="44">
        <v>113.41629999999998</v>
      </c>
      <c r="F178" s="44">
        <v>177.96335335626941</v>
      </c>
      <c r="G178" s="44">
        <v>291.37965335626939</v>
      </c>
      <c r="H178" s="45">
        <v>0.47150487427823878</v>
      </c>
      <c r="I178" s="43">
        <v>12966887.891242214</v>
      </c>
      <c r="J178" s="43">
        <v>155555.55555555556</v>
      </c>
      <c r="K178" s="43">
        <v>1.1996367737598563E-2</v>
      </c>
      <c r="L178" s="43">
        <v>2.1915983505237819</v>
      </c>
      <c r="M178" s="42">
        <v>6.1059275163833115</v>
      </c>
    </row>
    <row r="179" spans="1:13" x14ac:dyDescent="0.2">
      <c r="A179" s="41">
        <v>178</v>
      </c>
      <c r="B179" s="42">
        <v>14.833333333333334</v>
      </c>
      <c r="C179" s="41">
        <v>617.97956707521826</v>
      </c>
      <c r="D179" s="43">
        <v>4696.6447097716582</v>
      </c>
      <c r="E179" s="44">
        <v>113.41629999999998</v>
      </c>
      <c r="F179" s="44">
        <v>174.50478917599006</v>
      </c>
      <c r="G179" s="44">
        <v>287.92108917599001</v>
      </c>
      <c r="H179" s="45">
        <v>0.46590713433886932</v>
      </c>
      <c r="I179" s="43">
        <v>14492481.037744598</v>
      </c>
      <c r="J179" s="43">
        <v>155555.55555555556</v>
      </c>
      <c r="K179" s="43">
        <v>1.0733535213910067E-2</v>
      </c>
      <c r="L179" s="43">
        <v>2.2023318857376921</v>
      </c>
      <c r="M179" s="42">
        <v>6.1282095228478912</v>
      </c>
    </row>
    <row r="180" spans="1:13" x14ac:dyDescent="0.2">
      <c r="A180" s="41">
        <v>179</v>
      </c>
      <c r="B180" s="42">
        <v>14.916666666666666</v>
      </c>
      <c r="C180" s="41">
        <v>617.98108695747771</v>
      </c>
      <c r="D180" s="43">
        <v>4696.6562608768309</v>
      </c>
      <c r="E180" s="44">
        <v>113.41629999999998</v>
      </c>
      <c r="F180" s="44">
        <v>171.31228114050714</v>
      </c>
      <c r="G180" s="44">
        <v>284.72858114050712</v>
      </c>
      <c r="H180" s="45">
        <v>0.46073995976530402</v>
      </c>
      <c r="I180" s="43">
        <v>16078740.056728687</v>
      </c>
      <c r="J180" s="43">
        <v>155555.55555555556</v>
      </c>
      <c r="K180" s="43">
        <v>9.6746110084949179E-3</v>
      </c>
      <c r="L180" s="43">
        <v>2.212006496746187</v>
      </c>
      <c r="M180" s="42">
        <v>6.1482365841100544</v>
      </c>
    </row>
    <row r="181" spans="1:13" x14ac:dyDescent="0.2">
      <c r="A181" s="41">
        <v>180</v>
      </c>
      <c r="B181" s="42">
        <v>15</v>
      </c>
      <c r="C181" s="41">
        <v>617.98258996318452</v>
      </c>
      <c r="D181" s="43">
        <v>4696.6676837202021</v>
      </c>
      <c r="E181" s="44">
        <v>113.41629999999998</v>
      </c>
      <c r="F181" s="44">
        <v>169.71622530058139</v>
      </c>
      <c r="G181" s="44">
        <v>283.13252530058139</v>
      </c>
      <c r="H181" s="45">
        <v>0.45815615180590868</v>
      </c>
      <c r="I181" s="43">
        <v>16943326.049026635</v>
      </c>
      <c r="J181" s="43">
        <v>155555.55555555556</v>
      </c>
      <c r="K181" s="43">
        <v>9.1809338441251314E-3</v>
      </c>
      <c r="L181" s="43">
        <v>2.2211874305903123</v>
      </c>
      <c r="M181" s="42">
        <v>6.1671921553432405</v>
      </c>
    </row>
    <row r="182" spans="1:13" x14ac:dyDescent="0.2">
      <c r="A182" s="41">
        <v>181</v>
      </c>
      <c r="B182" s="42">
        <v>15.083333333333334</v>
      </c>
      <c r="C182" s="41">
        <v>617.98407637187915</v>
      </c>
      <c r="D182" s="43">
        <v>4696.6789804262817</v>
      </c>
      <c r="E182" s="44">
        <v>113.41629999999998</v>
      </c>
      <c r="F182" s="44">
        <v>169.45055412348094</v>
      </c>
      <c r="G182" s="44">
        <v>282.86685412348095</v>
      </c>
      <c r="H182" s="45">
        <v>0.45772515011092696</v>
      </c>
      <c r="I182" s="43">
        <v>17092496.065475669</v>
      </c>
      <c r="J182" s="43">
        <v>155555.55555555556</v>
      </c>
      <c r="K182" s="43">
        <v>9.1008097915994228E-3</v>
      </c>
      <c r="L182" s="43">
        <v>2.2302882403819115</v>
      </c>
      <c r="M182" s="42">
        <v>6.185934827030346</v>
      </c>
    </row>
    <row r="183" spans="1:13" x14ac:dyDescent="0.2">
      <c r="A183" s="41">
        <v>182</v>
      </c>
      <c r="B183" s="42">
        <v>15.166666666666666</v>
      </c>
      <c r="C183" s="41">
        <v>617.98554645696152</v>
      </c>
      <c r="D183" s="43">
        <v>4696.6901530729074</v>
      </c>
      <c r="E183" s="44">
        <v>113.41629999999998</v>
      </c>
      <c r="F183" s="44">
        <v>172.11175743598031</v>
      </c>
      <c r="G183" s="44">
        <v>285.52805743598026</v>
      </c>
      <c r="H183" s="45">
        <v>0.46203031619909468</v>
      </c>
      <c r="I183" s="43">
        <v>15665347.239811465</v>
      </c>
      <c r="J183" s="43">
        <v>155555.55555555556</v>
      </c>
      <c r="K183" s="43">
        <v>9.9299142990096709E-3</v>
      </c>
      <c r="L183" s="43">
        <v>2.240218154680921</v>
      </c>
      <c r="M183" s="42">
        <v>6.2063312534415802</v>
      </c>
    </row>
    <row r="184" spans="1:13" x14ac:dyDescent="0.2">
      <c r="A184" s="41">
        <v>183</v>
      </c>
      <c r="B184" s="42">
        <v>15.25</v>
      </c>
      <c r="C184" s="41">
        <v>617.98700048586034</v>
      </c>
      <c r="D184" s="43">
        <v>4696.7012036925389</v>
      </c>
      <c r="E184" s="44">
        <v>113.41629999999998</v>
      </c>
      <c r="F184" s="44">
        <v>176.90161404863898</v>
      </c>
      <c r="G184" s="44">
        <v>290.31791404863895</v>
      </c>
      <c r="H184" s="45">
        <v>0.46977996919092391</v>
      </c>
      <c r="I184" s="43">
        <v>13417135.841576746</v>
      </c>
      <c r="J184" s="43">
        <v>155555.55555555556</v>
      </c>
      <c r="K184" s="43">
        <v>1.1593797468571735E-2</v>
      </c>
      <c r="L184" s="43">
        <v>2.2518119521494926</v>
      </c>
      <c r="M184" s="42">
        <v>6.2300746335795516</v>
      </c>
    </row>
    <row r="185" spans="1:13" x14ac:dyDescent="0.2">
      <c r="A185" s="41">
        <v>184</v>
      </c>
      <c r="B185" s="42">
        <v>15.333333333333334</v>
      </c>
      <c r="C185" s="41">
        <v>617.98843872019381</v>
      </c>
      <c r="D185" s="43">
        <v>4696.7121342734736</v>
      </c>
      <c r="E185" s="44">
        <v>113.41629999999998</v>
      </c>
      <c r="F185" s="44">
        <v>182.75581362320526</v>
      </c>
      <c r="G185" s="44">
        <v>296.17211362320523</v>
      </c>
      <c r="H185" s="45">
        <v>0.47925186794198732</v>
      </c>
      <c r="I185" s="43">
        <v>11140866.739799038</v>
      </c>
      <c r="J185" s="43">
        <v>155555.55555555556</v>
      </c>
      <c r="K185" s="43">
        <v>1.3962608043758139E-2</v>
      </c>
      <c r="L185" s="43">
        <v>2.2657745601932509</v>
      </c>
      <c r="M185" s="42">
        <v>6.2585684603365941</v>
      </c>
    </row>
    <row r="186" spans="1:13" x14ac:dyDescent="0.2">
      <c r="A186" s="41">
        <v>185</v>
      </c>
      <c r="B186" s="42">
        <v>15.416666666666666</v>
      </c>
      <c r="C186" s="41">
        <v>617.98986141592752</v>
      </c>
      <c r="D186" s="43">
        <v>4696.7229467610496</v>
      </c>
      <c r="E186" s="44">
        <v>113.41629999999998</v>
      </c>
      <c r="F186" s="44">
        <v>186.79435932417499</v>
      </c>
      <c r="G186" s="44">
        <v>300.21065932417497</v>
      </c>
      <c r="H186" s="45">
        <v>0.48578573544287212</v>
      </c>
      <c r="I186" s="43">
        <v>9820811.9992318414</v>
      </c>
      <c r="J186" s="43">
        <v>155555.55555555556</v>
      </c>
      <c r="K186" s="43">
        <v>1.5839378206987643E-2</v>
      </c>
      <c r="L186" s="43">
        <v>2.2816139384002385</v>
      </c>
      <c r="M186" s="42">
        <v>6.2907596256871141</v>
      </c>
    </row>
    <row r="187" spans="1:13" x14ac:dyDescent="0.2">
      <c r="A187" s="41">
        <v>186</v>
      </c>
      <c r="B187" s="42">
        <v>15.5</v>
      </c>
      <c r="C187" s="41">
        <v>617.99126882352539</v>
      </c>
      <c r="D187" s="43">
        <v>4696.7336430587929</v>
      </c>
      <c r="E187" s="44">
        <v>113.41629999999998</v>
      </c>
      <c r="F187" s="44">
        <v>187.89037926118277</v>
      </c>
      <c r="G187" s="44">
        <v>301.30667926118275</v>
      </c>
      <c r="H187" s="45">
        <v>0.48755814921913465</v>
      </c>
      <c r="I187" s="43">
        <v>9493290.0308519229</v>
      </c>
      <c r="J187" s="43">
        <v>155555.55555555556</v>
      </c>
      <c r="K187" s="43">
        <v>1.6385842531937908E-2</v>
      </c>
      <c r="L187" s="43">
        <v>2.2979997809321766</v>
      </c>
      <c r="M187" s="42">
        <v>6.3239138095123373</v>
      </c>
    </row>
    <row r="188" spans="1:13" x14ac:dyDescent="0.2">
      <c r="A188" s="41">
        <v>187</v>
      </c>
      <c r="B188" s="42">
        <v>15.583333333333334</v>
      </c>
      <c r="C188" s="41">
        <v>617.9926611880976</v>
      </c>
      <c r="D188" s="43">
        <v>4696.7442250295417</v>
      </c>
      <c r="E188" s="44">
        <v>113.41629999999998</v>
      </c>
      <c r="F188" s="44">
        <v>185.4257093357792</v>
      </c>
      <c r="G188" s="44">
        <v>298.84200933577915</v>
      </c>
      <c r="H188" s="45">
        <v>0.48356886433125623</v>
      </c>
      <c r="I188" s="43">
        <v>10248204.808182847</v>
      </c>
      <c r="J188" s="43">
        <v>155555.55555555556</v>
      </c>
      <c r="K188" s="43">
        <v>1.5178810188429264E-2</v>
      </c>
      <c r="L188" s="43">
        <v>2.313178591120606</v>
      </c>
      <c r="M188" s="42">
        <v>6.3544925572299613</v>
      </c>
    </row>
    <row r="189" spans="1:13" x14ac:dyDescent="0.2">
      <c r="A189" s="41">
        <v>188</v>
      </c>
      <c r="B189" s="42">
        <v>15.666666666666666</v>
      </c>
      <c r="C189" s="41">
        <v>617.99403874954237</v>
      </c>
      <c r="D189" s="43">
        <v>4696.7546944965216</v>
      </c>
      <c r="E189" s="44">
        <v>113.41629999999998</v>
      </c>
      <c r="F189" s="44">
        <v>181.42705131198849</v>
      </c>
      <c r="G189" s="44">
        <v>294.8433513119885</v>
      </c>
      <c r="H189" s="45">
        <v>0.47709740357460179</v>
      </c>
      <c r="I189" s="43">
        <v>11618313.183798052</v>
      </c>
      <c r="J189" s="43">
        <v>155555.55555555556</v>
      </c>
      <c r="K189" s="43">
        <v>1.3388824444195617E-2</v>
      </c>
      <c r="L189" s="43">
        <v>2.3265674155648015</v>
      </c>
      <c r="M189" s="42">
        <v>6.3813594660004958</v>
      </c>
    </row>
    <row r="190" spans="1:13" x14ac:dyDescent="0.2">
      <c r="A190" s="41">
        <v>189</v>
      </c>
      <c r="B190" s="42">
        <v>15.75</v>
      </c>
      <c r="C190" s="41">
        <v>617.99540174268384</v>
      </c>
      <c r="D190" s="43">
        <v>4696.7650532443968</v>
      </c>
      <c r="E190" s="44">
        <v>113.41629999999998</v>
      </c>
      <c r="F190" s="44">
        <v>177.96835600683977</v>
      </c>
      <c r="G190" s="44">
        <v>291.38465600683975</v>
      </c>
      <c r="H190" s="45">
        <v>0.47149971534604435</v>
      </c>
      <c r="I190" s="43">
        <v>12968209.315116273</v>
      </c>
      <c r="J190" s="43">
        <v>155555.55555555556</v>
      </c>
      <c r="K190" s="43">
        <v>1.1995145341634305E-2</v>
      </c>
      <c r="L190" s="43">
        <v>2.338562560906436</v>
      </c>
      <c r="M190" s="42">
        <v>6.4053458970547528</v>
      </c>
    </row>
    <row r="191" spans="1:13" x14ac:dyDescent="0.2">
      <c r="A191" s="41">
        <v>190</v>
      </c>
      <c r="B191" s="42">
        <v>15.833333333333334</v>
      </c>
      <c r="C191" s="41">
        <v>617.99675039740532</v>
      </c>
      <c r="D191" s="43">
        <v>4696.7753030202812</v>
      </c>
      <c r="E191" s="44">
        <v>113.41629999999998</v>
      </c>
      <c r="F191" s="44">
        <v>174.50964139469662</v>
      </c>
      <c r="G191" s="44">
        <v>287.92594139469657</v>
      </c>
      <c r="H191" s="45">
        <v>0.46590203137725988</v>
      </c>
      <c r="I191" s="43">
        <v>14493959.459913636</v>
      </c>
      <c r="J191" s="43">
        <v>155555.55555555556</v>
      </c>
      <c r="K191" s="43">
        <v>1.073244036495204E-2</v>
      </c>
      <c r="L191" s="43">
        <v>2.349295001271388</v>
      </c>
      <c r="M191" s="42">
        <v>6.4267404455099246</v>
      </c>
    </row>
    <row r="192" spans="1:13" x14ac:dyDescent="0.2">
      <c r="A192" s="41">
        <v>191</v>
      </c>
      <c r="B192" s="42">
        <v>15.916666666666666</v>
      </c>
      <c r="C192" s="41">
        <v>617.99808493877936</v>
      </c>
      <c r="D192" s="43">
        <v>4696.7854455347233</v>
      </c>
      <c r="E192" s="44">
        <v>113.41629999999998</v>
      </c>
      <c r="F192" s="44">
        <v>171.31699319887434</v>
      </c>
      <c r="G192" s="44">
        <v>284.73329319887432</v>
      </c>
      <c r="H192" s="45">
        <v>0.46073491186802107</v>
      </c>
      <c r="I192" s="43">
        <v>16080380.795480663</v>
      </c>
      <c r="J192" s="43">
        <v>155555.55555555556</v>
      </c>
      <c r="K192" s="43">
        <v>9.6736238733397366E-3</v>
      </c>
      <c r="L192" s="43">
        <v>2.3589686251447279</v>
      </c>
      <c r="M192" s="42">
        <v>6.445970375805623</v>
      </c>
    </row>
    <row r="193" spans="1:13" x14ac:dyDescent="0.2">
      <c r="A193" s="41">
        <v>192</v>
      </c>
      <c r="B193" s="42">
        <v>16</v>
      </c>
      <c r="C193" s="41">
        <v>617.99940558719197</v>
      </c>
      <c r="D193" s="43">
        <v>4696.7954824626586</v>
      </c>
      <c r="E193" s="44">
        <v>113.41629999999998</v>
      </c>
      <c r="F193" s="44">
        <v>169.72084336633108</v>
      </c>
      <c r="G193" s="44">
        <v>283.13714336633109</v>
      </c>
      <c r="H193" s="45">
        <v>0.45815115808616097</v>
      </c>
      <c r="I193" s="43">
        <v>16945046.102615368</v>
      </c>
      <c r="J193" s="43">
        <v>155555.55555555556</v>
      </c>
      <c r="K193" s="43">
        <v>9.1800019081415465E-3</v>
      </c>
      <c r="L193" s="43">
        <v>2.3681486270528693</v>
      </c>
      <c r="M193" s="42">
        <v>6.4641719288091464</v>
      </c>
    </row>
    <row r="194" spans="1:13" x14ac:dyDescent="0.2">
      <c r="A194" s="41">
        <v>193</v>
      </c>
      <c r="B194" s="42">
        <v>16.083333333333332</v>
      </c>
      <c r="C194" s="41">
        <v>618.00071255846399</v>
      </c>
      <c r="D194" s="43">
        <v>4696.8054154443262</v>
      </c>
      <c r="E194" s="44">
        <v>113.41629999999998</v>
      </c>
      <c r="F194" s="44">
        <v>169.45511574754713</v>
      </c>
      <c r="G194" s="44">
        <v>282.87141574754708</v>
      </c>
      <c r="H194" s="45">
        <v>0.45772020970086974</v>
      </c>
      <c r="I194" s="43">
        <v>17094214.354192063</v>
      </c>
      <c r="J194" s="43">
        <v>155555.55555555556</v>
      </c>
      <c r="K194" s="43">
        <v>9.0998949897576446E-3</v>
      </c>
      <c r="L194" s="43">
        <v>2.3772485220426272</v>
      </c>
      <c r="M194" s="42">
        <v>6.4821695078018884</v>
      </c>
    </row>
    <row r="195" spans="1:13" x14ac:dyDescent="0.2">
      <c r="A195" s="41">
        <v>194</v>
      </c>
      <c r="B195" s="42">
        <v>16.166666666666668</v>
      </c>
      <c r="C195" s="41">
        <v>618.00200606396993</v>
      </c>
      <c r="D195" s="43">
        <v>4696.815246086172</v>
      </c>
      <c r="E195" s="44">
        <v>113.41629999999998</v>
      </c>
      <c r="F195" s="44">
        <v>172.11634151064868</v>
      </c>
      <c r="G195" s="44">
        <v>285.53264151064866</v>
      </c>
      <c r="H195" s="45">
        <v>0.46202542824932663</v>
      </c>
      <c r="I195" s="43">
        <v>15666890.816588352</v>
      </c>
      <c r="J195" s="43">
        <v>155555.55555555556</v>
      </c>
      <c r="K195" s="43">
        <v>9.9289359565109675E-3</v>
      </c>
      <c r="L195" s="43">
        <v>2.3871774579991381</v>
      </c>
      <c r="M195" s="42">
        <v>6.5017556378844903</v>
      </c>
    </row>
    <row r="196" spans="1:13" x14ac:dyDescent="0.2">
      <c r="A196" s="41">
        <v>195</v>
      </c>
      <c r="B196" s="42">
        <v>16.25</v>
      </c>
      <c r="C196" s="41">
        <v>618.00328631075024</v>
      </c>
      <c r="D196" s="43">
        <v>4696.824975961702</v>
      </c>
      <c r="E196" s="44">
        <v>113.41629999999998</v>
      </c>
      <c r="F196" s="44">
        <v>176.90627594072873</v>
      </c>
      <c r="G196" s="44">
        <v>290.32257594072871</v>
      </c>
      <c r="H196" s="45">
        <v>0.46977513286999895</v>
      </c>
      <c r="I196" s="43">
        <v>13418422.347366894</v>
      </c>
      <c r="J196" s="43">
        <v>155555.55555555556</v>
      </c>
      <c r="K196" s="43">
        <v>1.1592685900670009E-2</v>
      </c>
      <c r="L196" s="43">
        <v>2.3987701438998079</v>
      </c>
      <c r="M196" s="42">
        <v>6.5245564794837998</v>
      </c>
    </row>
    <row r="197" spans="1:13" x14ac:dyDescent="0.2">
      <c r="A197" s="41">
        <v>196</v>
      </c>
      <c r="B197" s="42">
        <v>16.333333333333332</v>
      </c>
      <c r="C197" s="41">
        <v>618.00455350162304</v>
      </c>
      <c r="D197" s="43">
        <v>4696.8346066123349</v>
      </c>
      <c r="E197" s="44">
        <v>113.41629999999998</v>
      </c>
      <c r="F197" s="44">
        <v>182.76057919778063</v>
      </c>
      <c r="G197" s="44">
        <v>296.17687919778064</v>
      </c>
      <c r="H197" s="45">
        <v>0.47924708243594327</v>
      </c>
      <c r="I197" s="43">
        <v>11141902.868378248</v>
      </c>
      <c r="J197" s="43">
        <v>155555.55555555556</v>
      </c>
      <c r="K197" s="43">
        <v>1.396130960691074E-2</v>
      </c>
      <c r="L197" s="43">
        <v>2.4127314535067188</v>
      </c>
      <c r="M197" s="42">
        <v>6.5519202202803788</v>
      </c>
    </row>
    <row r="198" spans="1:13" x14ac:dyDescent="0.2">
      <c r="A198" s="41">
        <v>197</v>
      </c>
      <c r="B198" s="42">
        <v>16.416666666666668</v>
      </c>
      <c r="C198" s="41">
        <v>618.00580783529063</v>
      </c>
      <c r="D198" s="43">
        <v>4696.8441395482087</v>
      </c>
      <c r="E198" s="44">
        <v>113.41629999999998</v>
      </c>
      <c r="F198" s="44">
        <v>186.7991793080848</v>
      </c>
      <c r="G198" s="44">
        <v>300.21547930808481</v>
      </c>
      <c r="H198" s="45">
        <v>0.48578099995477309</v>
      </c>
      <c r="I198" s="43">
        <v>9821703.655518638</v>
      </c>
      <c r="J198" s="43">
        <v>155555.55555555556</v>
      </c>
      <c r="K198" s="43">
        <v>1.5837940240454283E-2</v>
      </c>
      <c r="L198" s="43">
        <v>2.4285693937471731</v>
      </c>
      <c r="M198" s="42">
        <v>6.5828359931326625</v>
      </c>
    </row>
    <row r="199" spans="1:13" x14ac:dyDescent="0.2">
      <c r="A199" s="41">
        <v>198</v>
      </c>
      <c r="B199" s="42">
        <v>16.5</v>
      </c>
      <c r="C199" s="41">
        <v>618.00704950644354</v>
      </c>
      <c r="D199" s="43">
        <v>4696.853576248971</v>
      </c>
      <c r="E199" s="44">
        <v>113.41629999999998</v>
      </c>
      <c r="F199" s="44">
        <v>187.89517712589068</v>
      </c>
      <c r="G199" s="44">
        <v>301.31147712589063</v>
      </c>
      <c r="H199" s="45">
        <v>0.48755346296862762</v>
      </c>
      <c r="I199" s="43">
        <v>9494139.8873737659</v>
      </c>
      <c r="J199" s="43">
        <v>155555.55555555556</v>
      </c>
      <c r="K199" s="43">
        <v>1.6384375772936371E-2</v>
      </c>
      <c r="L199" s="43">
        <v>2.4449537695201093</v>
      </c>
      <c r="M199" s="42">
        <v>6.614678091594322</v>
      </c>
    </row>
    <row r="200" spans="1:13" x14ac:dyDescent="0.2">
      <c r="A200" s="41">
        <v>199</v>
      </c>
      <c r="B200" s="42">
        <v>16.583333333333332</v>
      </c>
      <c r="C200" s="41">
        <v>618.0082787058609</v>
      </c>
      <c r="D200" s="43">
        <v>4696.8629181645429</v>
      </c>
      <c r="E200" s="44">
        <v>113.41629999999998</v>
      </c>
      <c r="F200" s="44">
        <v>185.43039529645674</v>
      </c>
      <c r="G200" s="44">
        <v>298.84669529645669</v>
      </c>
      <c r="H200" s="45">
        <v>0.48356422655414272</v>
      </c>
      <c r="I200" s="43">
        <v>10249120.24647324</v>
      </c>
      <c r="J200" s="43">
        <v>155555.55555555556</v>
      </c>
      <c r="K200" s="43">
        <v>1.517745443654862E-2</v>
      </c>
      <c r="L200" s="43">
        <v>2.4601312239566582</v>
      </c>
      <c r="M200" s="42">
        <v>6.6440479784899891</v>
      </c>
    </row>
    <row r="201" spans="1:13" x14ac:dyDescent="0.2">
      <c r="A201" s="41">
        <v>200</v>
      </c>
      <c r="B201" s="42">
        <v>16.666666666666668</v>
      </c>
      <c r="C201" s="41">
        <v>618.00949562050914</v>
      </c>
      <c r="D201" s="43">
        <v>4696.8721667158698</v>
      </c>
      <c r="E201" s="44">
        <v>113.41629999999998</v>
      </c>
      <c r="F201" s="44">
        <v>181.431589049161</v>
      </c>
      <c r="G201" s="44">
        <v>294.84788904916098</v>
      </c>
      <c r="H201" s="45">
        <v>0.47709281352242094</v>
      </c>
      <c r="I201" s="43">
        <v>11619354.262233833</v>
      </c>
      <c r="J201" s="43">
        <v>155555.55555555556</v>
      </c>
      <c r="K201" s="43">
        <v>1.3387624823623361E-2</v>
      </c>
      <c r="L201" s="43">
        <v>2.4735188487802815</v>
      </c>
      <c r="M201" s="42">
        <v>6.6698537968000862</v>
      </c>
    </row>
    <row r="202" spans="1:13" x14ac:dyDescent="0.2">
      <c r="A202" s="41">
        <v>201</v>
      </c>
      <c r="B202" s="42">
        <v>16.75</v>
      </c>
      <c r="C202" s="41">
        <v>618.01070043363541</v>
      </c>
      <c r="D202" s="43">
        <v>4696.881323295629</v>
      </c>
      <c r="E202" s="44">
        <v>113.41629999999998</v>
      </c>
      <c r="F202" s="44">
        <v>177.9727616753448</v>
      </c>
      <c r="G202" s="44">
        <v>291.38906167534481</v>
      </c>
      <c r="H202" s="45">
        <v>0.47149517228567045</v>
      </c>
      <c r="I202" s="43">
        <v>12969373.11127596</v>
      </c>
      <c r="J202" s="43">
        <v>155555.55555555556</v>
      </c>
      <c r="K202" s="43">
        <v>1.1994068967012054E-2</v>
      </c>
      <c r="L202" s="43">
        <v>2.4855129177472937</v>
      </c>
      <c r="M202" s="42">
        <v>6.692893726566842</v>
      </c>
    </row>
    <row r="203" spans="1:13" x14ac:dyDescent="0.2">
      <c r="A203" s="41">
        <v>202</v>
      </c>
      <c r="B203" s="42">
        <v>16.833333333333332</v>
      </c>
      <c r="C203" s="41">
        <v>618.01189332486126</v>
      </c>
      <c r="D203" s="43">
        <v>4696.8903892689459</v>
      </c>
      <c r="E203" s="44">
        <v>113.41629999999998</v>
      </c>
      <c r="F203" s="44">
        <v>174.51391744766661</v>
      </c>
      <c r="G203" s="44">
        <v>287.93021744766656</v>
      </c>
      <c r="H203" s="45">
        <v>0.4658975345905107</v>
      </c>
      <c r="I203" s="43">
        <v>14495262.400469312</v>
      </c>
      <c r="J203" s="43">
        <v>155555.55555555556</v>
      </c>
      <c r="K203" s="43">
        <v>1.0731475654453771E-2</v>
      </c>
      <c r="L203" s="43">
        <v>2.4962443934017475</v>
      </c>
      <c r="M203" s="42">
        <v>6.713444712672163</v>
      </c>
    </row>
    <row r="204" spans="1:13" x14ac:dyDescent="0.2">
      <c r="A204" s="41">
        <v>203</v>
      </c>
      <c r="B204" s="42">
        <v>16.916666666666668</v>
      </c>
      <c r="C204" s="41">
        <v>618.01307447026988</v>
      </c>
      <c r="D204" s="43">
        <v>4696.8993659740509</v>
      </c>
      <c r="E204" s="44">
        <v>113.41629999999998</v>
      </c>
      <c r="F204" s="44">
        <v>171.32114848920128</v>
      </c>
      <c r="G204" s="44">
        <v>284.73744848920126</v>
      </c>
      <c r="H204" s="45">
        <v>0.46073046065127998</v>
      </c>
      <c r="I204" s="43">
        <v>16081827.746537006</v>
      </c>
      <c r="J204" s="43">
        <v>155555.55555555556</v>
      </c>
      <c r="K204" s="43">
        <v>9.6727534958862028E-3</v>
      </c>
      <c r="L204" s="43">
        <v>2.5059171468976338</v>
      </c>
      <c r="M204" s="42">
        <v>6.7319169683761642</v>
      </c>
    </row>
    <row r="205" spans="1:13" x14ac:dyDescent="0.2">
      <c r="A205" s="41">
        <v>204</v>
      </c>
      <c r="B205" s="42">
        <v>17</v>
      </c>
      <c r="C205" s="41">
        <v>618.01424404249451</v>
      </c>
      <c r="D205" s="43">
        <v>4696.9082547229582</v>
      </c>
      <c r="E205" s="44">
        <v>113.41629999999998</v>
      </c>
      <c r="F205" s="44">
        <v>169.72491844330597</v>
      </c>
      <c r="G205" s="44">
        <v>283.14121844330595</v>
      </c>
      <c r="H205" s="45">
        <v>0.45814675175000857</v>
      </c>
      <c r="I205" s="43">
        <v>16946563.996414606</v>
      </c>
      <c r="J205" s="43">
        <v>155555.55555555556</v>
      </c>
      <c r="K205" s="43">
        <v>9.1791796607540357E-3</v>
      </c>
      <c r="L205" s="43">
        <v>2.5150963265583877</v>
      </c>
      <c r="M205" s="42">
        <v>6.7494018480756512</v>
      </c>
    </row>
    <row r="206" spans="1:13" x14ac:dyDescent="0.2">
      <c r="A206" s="41">
        <v>205</v>
      </c>
      <c r="B206" s="42">
        <v>17.083333333333332</v>
      </c>
      <c r="C206" s="41">
        <v>618.01540221080188</v>
      </c>
      <c r="D206" s="43">
        <v>4696.9170568020936</v>
      </c>
      <c r="E206" s="44">
        <v>113.41629999999998</v>
      </c>
      <c r="F206" s="44">
        <v>169.45914363406345</v>
      </c>
      <c r="G206" s="44">
        <v>282.87544363406346</v>
      </c>
      <c r="H206" s="45">
        <v>0.45771584756972788</v>
      </c>
      <c r="I206" s="43">
        <v>17095731.674862519</v>
      </c>
      <c r="J206" s="43">
        <v>155555.55555555556</v>
      </c>
      <c r="K206" s="43">
        <v>9.0990873344300137E-3</v>
      </c>
      <c r="L206" s="43">
        <v>2.5241954138928175</v>
      </c>
      <c r="M206" s="42">
        <v>6.7666912568505593</v>
      </c>
    </row>
    <row r="207" spans="1:13" x14ac:dyDescent="0.2">
      <c r="A207" s="41">
        <v>206</v>
      </c>
      <c r="B207" s="42">
        <v>17.166666666666668</v>
      </c>
      <c r="C207" s="41">
        <v>618.01654914117341</v>
      </c>
      <c r="D207" s="43">
        <v>4696.9257734729181</v>
      </c>
      <c r="E207" s="44">
        <v>113.41629999999998</v>
      </c>
      <c r="F207" s="44">
        <v>172.12039182313634</v>
      </c>
      <c r="G207" s="44">
        <v>285.53669182313632</v>
      </c>
      <c r="H207" s="45">
        <v>0.46202110966111237</v>
      </c>
      <c r="I207" s="43">
        <v>15668254.733526601</v>
      </c>
      <c r="J207" s="43">
        <v>155555.55555555556</v>
      </c>
      <c r="K207" s="43">
        <v>9.9280716455739694E-3</v>
      </c>
      <c r="L207" s="43">
        <v>2.5341234855383914</v>
      </c>
      <c r="M207" s="42">
        <v>6.7855072629729936</v>
      </c>
    </row>
    <row r="208" spans="1:13" x14ac:dyDescent="0.2">
      <c r="A208" s="41">
        <v>207</v>
      </c>
      <c r="B208" s="42">
        <v>17.25</v>
      </c>
      <c r="C208" s="41">
        <v>618.01768499638547</v>
      </c>
      <c r="D208" s="43">
        <v>4696.934405972529</v>
      </c>
      <c r="E208" s="44">
        <v>113.41629999999998</v>
      </c>
      <c r="F208" s="44">
        <v>176.91039763054911</v>
      </c>
      <c r="G208" s="44">
        <v>290.32669763054912</v>
      </c>
      <c r="H208" s="45">
        <v>0.46977085717578959</v>
      </c>
      <c r="I208" s="43">
        <v>13419559.835069183</v>
      </c>
      <c r="J208" s="43">
        <v>155555.55555555556</v>
      </c>
      <c r="K208" s="43">
        <v>1.1591703265038842E-2</v>
      </c>
      <c r="L208" s="43">
        <v>2.5457151888034302</v>
      </c>
      <c r="M208" s="42">
        <v>6.8074123171247862</v>
      </c>
    </row>
    <row r="209" spans="1:13" x14ac:dyDescent="0.2">
      <c r="A209" s="41">
        <v>208</v>
      </c>
      <c r="B209" s="42">
        <v>17.333333333333332</v>
      </c>
      <c r="C209" s="41">
        <v>618.01880993608552</v>
      </c>
      <c r="D209" s="43">
        <v>4696.9429555142506</v>
      </c>
      <c r="E209" s="44">
        <v>113.41629999999998</v>
      </c>
      <c r="F209" s="44">
        <v>182.76479520914319</v>
      </c>
      <c r="G209" s="44">
        <v>296.18109520914317</v>
      </c>
      <c r="H209" s="45">
        <v>0.47924284899965053</v>
      </c>
      <c r="I209" s="43">
        <v>11142819.555136655</v>
      </c>
      <c r="J209" s="43">
        <v>155555.55555555556</v>
      </c>
      <c r="K209" s="43">
        <v>1.3960161051324487E-2</v>
      </c>
      <c r="L209" s="43">
        <v>2.5596753498547549</v>
      </c>
      <c r="M209" s="42">
        <v>6.8337020571533458</v>
      </c>
    </row>
    <row r="210" spans="1:13" x14ac:dyDescent="0.2">
      <c r="A210" s="41">
        <v>209</v>
      </c>
      <c r="B210" s="42">
        <v>17.416666666666668</v>
      </c>
      <c r="C210" s="41">
        <v>618.0199241168674</v>
      </c>
      <c r="D210" s="43">
        <v>4696.9514232881929</v>
      </c>
      <c r="E210" s="44">
        <v>113.41629999999998</v>
      </c>
      <c r="F210" s="44">
        <v>186.80344611234457</v>
      </c>
      <c r="G210" s="44">
        <v>300.21974611234452</v>
      </c>
      <c r="H210" s="45">
        <v>0.48577680815282753</v>
      </c>
      <c r="I210" s="43">
        <v>9822493.0146504603</v>
      </c>
      <c r="J210" s="43">
        <v>155555.55555555556</v>
      </c>
      <c r="K210" s="43">
        <v>1.5836667465534575E-2</v>
      </c>
      <c r="L210" s="43">
        <v>2.5755120173202894</v>
      </c>
      <c r="M210" s="42">
        <v>6.863405778093604</v>
      </c>
    </row>
    <row r="211" spans="1:13" x14ac:dyDescent="0.2">
      <c r="A211" s="41">
        <v>210</v>
      </c>
      <c r="B211" s="42">
        <v>17.5</v>
      </c>
      <c r="C211" s="41">
        <v>618.02102769234398</v>
      </c>
      <c r="D211" s="43">
        <v>4696.9598104618144</v>
      </c>
      <c r="E211" s="44">
        <v>113.41629999999998</v>
      </c>
      <c r="F211" s="44">
        <v>187.89942697015664</v>
      </c>
      <c r="G211" s="44">
        <v>301.31572697015662</v>
      </c>
      <c r="H211" s="45">
        <v>0.48754931218967212</v>
      </c>
      <c r="I211" s="43">
        <v>9494892.7059192117</v>
      </c>
      <c r="J211" s="43">
        <v>155555.55555555556</v>
      </c>
      <c r="K211" s="43">
        <v>1.6383076710132876E-2</v>
      </c>
      <c r="L211" s="43">
        <v>2.5918950940304222</v>
      </c>
      <c r="M211" s="42">
        <v>6.8940010046597386</v>
      </c>
    </row>
    <row r="212" spans="1:13" x14ac:dyDescent="0.2">
      <c r="A212" s="41">
        <v>211</v>
      </c>
      <c r="B212" s="42">
        <v>17.583333333333332</v>
      </c>
      <c r="C212" s="41">
        <v>618.02212081321773</v>
      </c>
      <c r="D212" s="43">
        <v>4696.9681181804544</v>
      </c>
      <c r="E212" s="44">
        <v>113.41629999999998</v>
      </c>
      <c r="F212" s="44">
        <v>185.43454855382777</v>
      </c>
      <c r="G212" s="44">
        <v>298.85084855382775</v>
      </c>
      <c r="H212" s="45">
        <v>0.48356011619873424</v>
      </c>
      <c r="I212" s="43">
        <v>10249931.654110918</v>
      </c>
      <c r="J212" s="43">
        <v>155555.55555555556</v>
      </c>
      <c r="K212" s="43">
        <v>1.5176252955127485E-2</v>
      </c>
      <c r="L212" s="43">
        <v>2.6070713469855495</v>
      </c>
      <c r="M212" s="42">
        <v>6.9222221604973315</v>
      </c>
    </row>
    <row r="213" spans="1:13" x14ac:dyDescent="0.2">
      <c r="A213" s="41">
        <v>212</v>
      </c>
      <c r="B213" s="42">
        <v>17.666666666666668</v>
      </c>
      <c r="C213" s="41">
        <v>618.02320362734872</v>
      </c>
      <c r="D213" s="43">
        <v>4696.976347567851</v>
      </c>
      <c r="E213" s="44">
        <v>113.41629999999998</v>
      </c>
      <c r="F213" s="44">
        <v>181.43561336509993</v>
      </c>
      <c r="G213" s="44">
        <v>294.8519133650999</v>
      </c>
      <c r="H213" s="45">
        <v>0.47708874300274273</v>
      </c>
      <c r="I213" s="43">
        <v>11620277.590945207</v>
      </c>
      <c r="J213" s="43">
        <v>155555.55555555556</v>
      </c>
      <c r="K213" s="43">
        <v>1.3386561064321571E-2</v>
      </c>
      <c r="L213" s="43">
        <v>2.6204579080498713</v>
      </c>
      <c r="M213" s="42">
        <v>6.9470197042543367</v>
      </c>
    </row>
    <row r="214" spans="1:13" x14ac:dyDescent="0.2">
      <c r="A214" s="41">
        <v>213</v>
      </c>
      <c r="B214" s="42">
        <v>17.75</v>
      </c>
      <c r="C214" s="41">
        <v>618.02427627982263</v>
      </c>
      <c r="D214" s="43">
        <v>4696.9844997266518</v>
      </c>
      <c r="E214" s="44">
        <v>113.41629999999998</v>
      </c>
      <c r="F214" s="44">
        <v>177.97667120447809</v>
      </c>
      <c r="G214" s="44">
        <v>291.39297120447804</v>
      </c>
      <c r="H214" s="45">
        <v>0.47149114102525019</v>
      </c>
      <c r="I214" s="43">
        <v>12970405.89644468</v>
      </c>
      <c r="J214" s="43">
        <v>155555.55555555556</v>
      </c>
      <c r="K214" s="43">
        <v>1.1993113923920832E-2</v>
      </c>
      <c r="L214" s="43">
        <v>2.6324510219737922</v>
      </c>
      <c r="M214" s="42">
        <v>6.9691602716898977</v>
      </c>
    </row>
    <row r="215" spans="1:13" x14ac:dyDescent="0.2">
      <c r="A215" s="41">
        <v>214</v>
      </c>
      <c r="B215" s="42">
        <v>17.833333333333332</v>
      </c>
      <c r="C215" s="41">
        <v>618.02533891301414</v>
      </c>
      <c r="D215" s="43">
        <v>4696.9925757389074</v>
      </c>
      <c r="E215" s="44">
        <v>113.41629999999998</v>
      </c>
      <c r="F215" s="44">
        <v>174.51771420673595</v>
      </c>
      <c r="G215" s="44">
        <v>287.93401420673592</v>
      </c>
      <c r="H215" s="45">
        <v>0.46589354202394939</v>
      </c>
      <c r="I215" s="43">
        <v>14496419.352312557</v>
      </c>
      <c r="J215" s="43">
        <v>155555.55555555556</v>
      </c>
      <c r="K215" s="43">
        <v>1.0730619180848985E-2</v>
      </c>
      <c r="L215" s="43">
        <v>2.6431816411546412</v>
      </c>
      <c r="M215" s="42">
        <v>6.9889097279087142</v>
      </c>
    </row>
    <row r="216" spans="1:13" x14ac:dyDescent="0.2">
      <c r="A216" s="41">
        <v>215</v>
      </c>
      <c r="B216" s="42">
        <v>17.916666666666668</v>
      </c>
      <c r="C216" s="41">
        <v>618.02639166665085</v>
      </c>
      <c r="D216" s="43">
        <v>4697.0005766665463</v>
      </c>
      <c r="E216" s="44">
        <v>113.41629999999998</v>
      </c>
      <c r="F216" s="44">
        <v>171.32484018679293</v>
      </c>
      <c r="G216" s="44">
        <v>284.7411401867929</v>
      </c>
      <c r="H216" s="45">
        <v>0.46072650622398614</v>
      </c>
      <c r="I216" s="43">
        <v>16083113.327855257</v>
      </c>
      <c r="J216" s="43">
        <v>155555.55555555556</v>
      </c>
      <c r="K216" s="43">
        <v>9.6719803177746731E-3</v>
      </c>
      <c r="L216" s="43">
        <v>2.6528536214724157</v>
      </c>
      <c r="M216" s="42">
        <v>7.0066620772261903</v>
      </c>
    </row>
    <row r="217" spans="1:13" x14ac:dyDescent="0.2">
      <c r="A217" s="41">
        <v>216</v>
      </c>
      <c r="B217" s="42">
        <v>18</v>
      </c>
      <c r="C217" s="41">
        <v>618.027434677874</v>
      </c>
      <c r="D217" s="43">
        <v>4697.0085035518423</v>
      </c>
      <c r="E217" s="44">
        <v>113.41629999999998</v>
      </c>
      <c r="F217" s="44">
        <v>169.72854098038434</v>
      </c>
      <c r="G217" s="44">
        <v>283.14484098038429</v>
      </c>
      <c r="H217" s="45">
        <v>0.45814283491794178</v>
      </c>
      <c r="I217" s="43">
        <v>16947913.392351996</v>
      </c>
      <c r="J217" s="43">
        <v>155555.55555555556</v>
      </c>
      <c r="K217" s="43">
        <v>9.1784488128050252E-3</v>
      </c>
      <c r="L217" s="43">
        <v>2.6620320702852207</v>
      </c>
      <c r="M217" s="42">
        <v>7.0234660195669942</v>
      </c>
    </row>
    <row r="218" spans="1:13" x14ac:dyDescent="0.2">
      <c r="A218" s="41">
        <v>217</v>
      </c>
      <c r="B218" s="42">
        <v>18.083333333333332</v>
      </c>
      <c r="C218" s="41">
        <v>618.02846808129846</v>
      </c>
      <c r="D218" s="43">
        <v>4697.0163574178687</v>
      </c>
      <c r="E218" s="44">
        <v>113.41629999999998</v>
      </c>
      <c r="F218" s="44">
        <v>169.46272628138468</v>
      </c>
      <c r="G218" s="44">
        <v>282.87902628138465</v>
      </c>
      <c r="H218" s="45">
        <v>0.45771196779914897</v>
      </c>
      <c r="I218" s="43">
        <v>17097081.336885698</v>
      </c>
      <c r="J218" s="43">
        <v>155555.55555555556</v>
      </c>
      <c r="K218" s="43">
        <v>9.0983690426713875E-3</v>
      </c>
      <c r="L218" s="43">
        <v>2.6711304393278921</v>
      </c>
      <c r="M218" s="42">
        <v>7.0400825796038706</v>
      </c>
    </row>
    <row r="219" spans="1:13" x14ac:dyDescent="0.2">
      <c r="A219" s="41">
        <v>218</v>
      </c>
      <c r="B219" s="42">
        <v>18.166666666666668</v>
      </c>
      <c r="C219" s="41">
        <v>618.02949200907017</v>
      </c>
      <c r="D219" s="43">
        <v>4697.0241392689331</v>
      </c>
      <c r="E219" s="44">
        <v>113.41629999999998</v>
      </c>
      <c r="F219" s="44">
        <v>172.12399647012643</v>
      </c>
      <c r="G219" s="44">
        <v>285.54029647012641</v>
      </c>
      <c r="H219" s="45">
        <v>0.46201726642834035</v>
      </c>
      <c r="I219" s="43">
        <v>15669468.632038256</v>
      </c>
      <c r="J219" s="43">
        <v>155555.55555555556</v>
      </c>
      <c r="K219" s="43">
        <v>9.9273025275089487E-3</v>
      </c>
      <c r="L219" s="43">
        <v>2.6810577418554011</v>
      </c>
      <c r="M219" s="42">
        <v>7.0581668813976126</v>
      </c>
    </row>
    <row r="220" spans="1:13" x14ac:dyDescent="0.2">
      <c r="A220" s="41">
        <v>219</v>
      </c>
      <c r="B220" s="42">
        <v>18.25</v>
      </c>
      <c r="C220" s="41">
        <v>618.03050659092321</v>
      </c>
      <c r="D220" s="43">
        <v>4697.0318500910171</v>
      </c>
      <c r="E220" s="44">
        <v>113.41629999999998</v>
      </c>
      <c r="F220" s="44">
        <v>176.91406787080766</v>
      </c>
      <c r="G220" s="44">
        <v>290.33036787080766</v>
      </c>
      <c r="H220" s="45">
        <v>0.46976704996696622</v>
      </c>
      <c r="I220" s="43">
        <v>13420572.778760822</v>
      </c>
      <c r="J220" s="43">
        <v>155555.55555555556</v>
      </c>
      <c r="K220" s="43">
        <v>1.1590828358811572E-2</v>
      </c>
      <c r="L220" s="43">
        <v>2.6926485702142129</v>
      </c>
      <c r="M220" s="42">
        <v>7.0792208456818297</v>
      </c>
    </row>
    <row r="221" spans="1:13" x14ac:dyDescent="0.2">
      <c r="A221" s="41">
        <v>220</v>
      </c>
      <c r="B221" s="42">
        <v>18.333333333333332</v>
      </c>
      <c r="C221" s="41">
        <v>618.03151195423357</v>
      </c>
      <c r="D221" s="43">
        <v>4697.0394908521757</v>
      </c>
      <c r="E221" s="44">
        <v>113.41629999999998</v>
      </c>
      <c r="F221" s="44">
        <v>182.7685515377666</v>
      </c>
      <c r="G221" s="44">
        <v>296.18485153776658</v>
      </c>
      <c r="H221" s="45">
        <v>0.47923907731051041</v>
      </c>
      <c r="I221" s="43">
        <v>11143636.327866014</v>
      </c>
      <c r="J221" s="43">
        <v>155555.55555555556</v>
      </c>
      <c r="K221" s="43">
        <v>1.3959137841439605E-2</v>
      </c>
      <c r="L221" s="43">
        <v>2.7066077080556523</v>
      </c>
      <c r="M221" s="42">
        <v>7.1044901872543882</v>
      </c>
    </row>
    <row r="222" spans="1:13" x14ac:dyDescent="0.2">
      <c r="A222" s="41">
        <v>221</v>
      </c>
      <c r="B222" s="42">
        <v>18.416666666666668</v>
      </c>
      <c r="C222" s="41">
        <v>618.03250822407347</v>
      </c>
      <c r="D222" s="43">
        <v>4697.0470625029584</v>
      </c>
      <c r="E222" s="44">
        <v>113.41629999999998</v>
      </c>
      <c r="F222" s="44">
        <v>186.80724979973488</v>
      </c>
      <c r="G222" s="44">
        <v>300.22354979973488</v>
      </c>
      <c r="H222" s="45">
        <v>0.48577307148847587</v>
      </c>
      <c r="I222" s="43">
        <v>9823196.72594776</v>
      </c>
      <c r="J222" s="43">
        <v>155555.55555555556</v>
      </c>
      <c r="K222" s="43">
        <v>1.5835532962977211E-2</v>
      </c>
      <c r="L222" s="43">
        <v>2.7224432410186297</v>
      </c>
      <c r="M222" s="42">
        <v>7.1330423669628757</v>
      </c>
    </row>
    <row r="223" spans="1:13" x14ac:dyDescent="0.2">
      <c r="A223" s="41">
        <v>222</v>
      </c>
      <c r="B223" s="42">
        <v>18.5</v>
      </c>
      <c r="C223" s="41">
        <v>618.03349552326256</v>
      </c>
      <c r="D223" s="43">
        <v>4697.0545659767959</v>
      </c>
      <c r="E223" s="44">
        <v>113.41629999999998</v>
      </c>
      <c r="F223" s="44">
        <v>187.90321761510268</v>
      </c>
      <c r="G223" s="44">
        <v>301.31951761510265</v>
      </c>
      <c r="H223" s="45">
        <v>0.48754561006436764</v>
      </c>
      <c r="I223" s="43">
        <v>9495564.2088135313</v>
      </c>
      <c r="J223" s="43">
        <v>155555.55555555556</v>
      </c>
      <c r="K223" s="43">
        <v>1.6381918139332156E-2</v>
      </c>
      <c r="L223" s="43">
        <v>2.7388251591579618</v>
      </c>
      <c r="M223" s="42">
        <v>7.1624529926935017</v>
      </c>
    </row>
    <row r="224" spans="1:13" x14ac:dyDescent="0.2">
      <c r="A224" s="41">
        <v>223</v>
      </c>
      <c r="B224" s="42">
        <v>18.583333333333332</v>
      </c>
      <c r="C224" s="41">
        <v>618.03447397241848</v>
      </c>
      <c r="D224" s="43">
        <v>4697.0620021903806</v>
      </c>
      <c r="E224" s="44">
        <v>113.41629999999998</v>
      </c>
      <c r="F224" s="44">
        <v>185.43825505950528</v>
      </c>
      <c r="G224" s="44">
        <v>298.85455505950529</v>
      </c>
      <c r="H224" s="45">
        <v>0.48355644813567877</v>
      </c>
      <c r="I224" s="43">
        <v>10250655.810777282</v>
      </c>
      <c r="J224" s="43">
        <v>155555.55555555556</v>
      </c>
      <c r="K224" s="43">
        <v>1.5175180830089754E-2</v>
      </c>
      <c r="L224" s="43">
        <v>2.7540003399880515</v>
      </c>
      <c r="M224" s="42">
        <v>7.1895828082191588</v>
      </c>
    </row>
    <row r="225" spans="1:13" x14ac:dyDescent="0.2">
      <c r="A225" s="41">
        <v>224</v>
      </c>
      <c r="B225" s="42">
        <v>18.666666666666668</v>
      </c>
      <c r="C225" s="41">
        <v>618.03544369000633</v>
      </c>
      <c r="D225" s="43">
        <v>4697.0693720440486</v>
      </c>
      <c r="E225" s="44">
        <v>113.41629999999998</v>
      </c>
      <c r="F225" s="44">
        <v>181.43920673062871</v>
      </c>
      <c r="G225" s="44">
        <v>294.85550673062869</v>
      </c>
      <c r="H225" s="45">
        <v>0.4770851085338757</v>
      </c>
      <c r="I225" s="43">
        <v>11621102.077548034</v>
      </c>
      <c r="J225" s="43">
        <v>155555.55555555556</v>
      </c>
      <c r="K225" s="43">
        <v>1.338561132305075E-2</v>
      </c>
      <c r="L225" s="43">
        <v>2.7673859513111023</v>
      </c>
      <c r="M225" s="42">
        <v>7.2134224671909601</v>
      </c>
    </row>
    <row r="226" spans="1:13" x14ac:dyDescent="0.2">
      <c r="A226" s="41">
        <v>225</v>
      </c>
      <c r="B226" s="42">
        <v>18.75</v>
      </c>
      <c r="C226" s="41">
        <v>618.03640479238595</v>
      </c>
      <c r="D226" s="43">
        <v>4697.0766764221335</v>
      </c>
      <c r="E226" s="44">
        <v>113.41629999999998</v>
      </c>
      <c r="F226" s="44">
        <v>177.98016393506413</v>
      </c>
      <c r="G226" s="44">
        <v>291.39646393506411</v>
      </c>
      <c r="H226" s="45">
        <v>0.47148753969105028</v>
      </c>
      <c r="I226" s="43">
        <v>12971328.614071796</v>
      </c>
      <c r="J226" s="43">
        <v>155555.55555555556</v>
      </c>
      <c r="K226" s="43">
        <v>1.1992260791759059E-2</v>
      </c>
      <c r="L226" s="43">
        <v>2.7793782121028614</v>
      </c>
      <c r="M226" s="42">
        <v>7.2347086303696306</v>
      </c>
    </row>
    <row r="227" spans="1:13" x14ac:dyDescent="0.2">
      <c r="A227" s="41">
        <v>226</v>
      </c>
      <c r="B227" s="42">
        <v>18.833333333333332</v>
      </c>
      <c r="C227" s="41">
        <v>618.03735739385957</v>
      </c>
      <c r="D227" s="43">
        <v>4697.0839161933327</v>
      </c>
      <c r="E227" s="44">
        <v>113.41629999999998</v>
      </c>
      <c r="F227" s="44">
        <v>174.52110797989269</v>
      </c>
      <c r="G227" s="44">
        <v>287.93740797989267</v>
      </c>
      <c r="H227" s="45">
        <v>0.46588997337323973</v>
      </c>
      <c r="I227" s="43">
        <v>14497453.549865795</v>
      </c>
      <c r="J227" s="43">
        <v>155555.55555555556</v>
      </c>
      <c r="K227" s="43">
        <v>1.0729853696064821E-2</v>
      </c>
      <c r="L227" s="43">
        <v>2.7901080657989263</v>
      </c>
      <c r="M227" s="42">
        <v>7.253696632476327</v>
      </c>
    </row>
    <row r="228" spans="1:13" x14ac:dyDescent="0.2">
      <c r="A228" s="41">
        <v>227</v>
      </c>
      <c r="B228" s="42">
        <v>18.916666666666668</v>
      </c>
      <c r="C228" s="41">
        <v>618.03830160671544</v>
      </c>
      <c r="D228" s="43">
        <v>4697.091092211037</v>
      </c>
      <c r="E228" s="44">
        <v>113.41629999999998</v>
      </c>
      <c r="F228" s="44">
        <v>171.32814177488967</v>
      </c>
      <c r="G228" s="44">
        <v>284.74444177488965</v>
      </c>
      <c r="H228" s="45">
        <v>0.46072296981374605</v>
      </c>
      <c r="I228" s="43">
        <v>16084263.108541122</v>
      </c>
      <c r="J228" s="43">
        <v>155555.55555555556</v>
      </c>
      <c r="K228" s="43">
        <v>9.671288917982938E-3</v>
      </c>
      <c r="L228" s="43">
        <v>2.7997793547169092</v>
      </c>
      <c r="M228" s="42">
        <v>7.2707650759784279</v>
      </c>
    </row>
    <row r="229" spans="1:13" x14ac:dyDescent="0.2">
      <c r="A229" s="41">
        <v>228</v>
      </c>
      <c r="B229" s="42">
        <v>19</v>
      </c>
      <c r="C229" s="41">
        <v>618.03923754127311</v>
      </c>
      <c r="D229" s="43">
        <v>4697.0982053136759</v>
      </c>
      <c r="E229" s="44">
        <v>113.41629999999998</v>
      </c>
      <c r="F229" s="44">
        <v>169.73178239439238</v>
      </c>
      <c r="G229" s="44">
        <v>283.14808239439236</v>
      </c>
      <c r="H229" s="45">
        <v>0.45813933031312359</v>
      </c>
      <c r="I229" s="43">
        <v>16949120.87188543</v>
      </c>
      <c r="J229" s="43">
        <v>155555.55555555556</v>
      </c>
      <c r="K229" s="43">
        <v>9.1777949270268836E-3</v>
      </c>
      <c r="L229" s="43">
        <v>2.8089571496439363</v>
      </c>
      <c r="M229" s="42">
        <v>7.2869221365303725</v>
      </c>
    </row>
    <row r="230" spans="1:13" x14ac:dyDescent="0.2">
      <c r="A230" s="41">
        <v>229</v>
      </c>
      <c r="B230" s="42">
        <v>19.083333333333332</v>
      </c>
      <c r="C230" s="41">
        <v>618.04016530592639</v>
      </c>
      <c r="D230" s="43">
        <v>4697.1052563250405</v>
      </c>
      <c r="E230" s="44">
        <v>113.41629999999998</v>
      </c>
      <c r="F230" s="44">
        <v>169.46593364751382</v>
      </c>
      <c r="G230" s="44">
        <v>282.88223364751377</v>
      </c>
      <c r="H230" s="45">
        <v>0.45770849457249863</v>
      </c>
      <c r="I230" s="43">
        <v>17098289.673914716</v>
      </c>
      <c r="J230" s="43">
        <v>155555.55555555556</v>
      </c>
      <c r="K230" s="43">
        <v>9.0977260604534222E-3</v>
      </c>
      <c r="L230" s="43">
        <v>2.8180548757043895</v>
      </c>
      <c r="M230" s="42">
        <v>7.3028995012342577</v>
      </c>
    </row>
    <row r="231" spans="1:13" x14ac:dyDescent="0.2">
      <c r="A231" s="41">
        <v>230</v>
      </c>
      <c r="B231" s="42">
        <v>19.166666666666668</v>
      </c>
      <c r="C231" s="41">
        <v>618.04108500718462</v>
      </c>
      <c r="D231" s="43">
        <v>4697.112246054603</v>
      </c>
      <c r="E231" s="44">
        <v>113.41629999999998</v>
      </c>
      <c r="F231" s="44">
        <v>172.12722517230384</v>
      </c>
      <c r="G231" s="44">
        <v>285.54352517230382</v>
      </c>
      <c r="H231" s="45">
        <v>0.46201382416022457</v>
      </c>
      <c r="I231" s="43">
        <v>15670555.972874898</v>
      </c>
      <c r="J231" s="43">
        <v>155555.55555555556</v>
      </c>
      <c r="K231" s="43">
        <v>9.926613696719884E-3</v>
      </c>
      <c r="L231" s="43">
        <v>2.8279814894011093</v>
      </c>
      <c r="M231" s="42">
        <v>7.3202886963584008</v>
      </c>
    </row>
    <row r="232" spans="1:13" x14ac:dyDescent="0.2">
      <c r="A232" s="41">
        <v>231</v>
      </c>
      <c r="B232" s="42">
        <v>19.25</v>
      </c>
      <c r="C232" s="41">
        <v>618.04199674971414</v>
      </c>
      <c r="D232" s="43">
        <v>4697.1191752978275</v>
      </c>
      <c r="E232" s="44">
        <v>113.41629999999998</v>
      </c>
      <c r="F232" s="44">
        <v>176.91735698147531</v>
      </c>
      <c r="G232" s="44">
        <v>290.33365698147531</v>
      </c>
      <c r="H232" s="45">
        <v>0.46976363824520245</v>
      </c>
      <c r="I232" s="43">
        <v>13421480.571336547</v>
      </c>
      <c r="J232" s="43">
        <v>155555.55555555556</v>
      </c>
      <c r="K232" s="43">
        <v>1.159004438659072E-2</v>
      </c>
      <c r="L232" s="43">
        <v>2.8395715337877001</v>
      </c>
      <c r="M232" s="42">
        <v>7.340534139048037</v>
      </c>
    </row>
    <row r="233" spans="1:13" x14ac:dyDescent="0.2">
      <c r="A233" s="41">
        <v>232</v>
      </c>
      <c r="B233" s="42">
        <v>19.333333333333332</v>
      </c>
      <c r="C233" s="41">
        <v>618.04290063637734</v>
      </c>
      <c r="D233" s="43">
        <v>4697.1260448364683</v>
      </c>
      <c r="E233" s="44">
        <v>113.41629999999998</v>
      </c>
      <c r="F233" s="44">
        <v>182.77191947758695</v>
      </c>
      <c r="G233" s="44">
        <v>296.18821947758693</v>
      </c>
      <c r="H233" s="45">
        <v>0.47923569573020286</v>
      </c>
      <c r="I233" s="43">
        <v>11144368.677504024</v>
      </c>
      <c r="J233" s="43">
        <v>155555.55555555556</v>
      </c>
      <c r="K233" s="43">
        <v>1.3958220519889956E-2</v>
      </c>
      <c r="L233" s="43">
        <v>2.8535297543075901</v>
      </c>
      <c r="M233" s="42">
        <v>7.3648341174025456</v>
      </c>
    </row>
    <row r="234" spans="1:13" x14ac:dyDescent="0.2">
      <c r="A234" s="41">
        <v>233</v>
      </c>
      <c r="B234" s="42">
        <v>19.416666666666668</v>
      </c>
      <c r="C234" s="41">
        <v>618.0437967682717</v>
      </c>
      <c r="D234" s="43">
        <v>4697.1328554388647</v>
      </c>
      <c r="E234" s="44">
        <v>113.41629999999998</v>
      </c>
      <c r="F234" s="44">
        <v>186.81066188869113</v>
      </c>
      <c r="G234" s="44">
        <v>300.22696188869111</v>
      </c>
      <c r="H234" s="45">
        <v>0.48576971965185456</v>
      </c>
      <c r="I234" s="43">
        <v>9823828.0116534382</v>
      </c>
      <c r="J234" s="43">
        <v>155555.55555555556</v>
      </c>
      <c r="K234" s="43">
        <v>1.5834515361122875E-2</v>
      </c>
      <c r="L234" s="43">
        <v>2.8693642696687132</v>
      </c>
      <c r="M234" s="42">
        <v>7.3922923505032445</v>
      </c>
    </row>
    <row r="235" spans="1:13" x14ac:dyDescent="0.2">
      <c r="A235" s="41">
        <v>234</v>
      </c>
      <c r="B235" s="42">
        <v>19.5</v>
      </c>
      <c r="C235" s="41">
        <v>618.04468524476715</v>
      </c>
      <c r="D235" s="43">
        <v>4697.1396078602302</v>
      </c>
      <c r="E235" s="44">
        <v>113.41629999999998</v>
      </c>
      <c r="F235" s="44">
        <v>187.90661967128594</v>
      </c>
      <c r="G235" s="44">
        <v>301.32291967128594</v>
      </c>
      <c r="H235" s="45">
        <v>0.48754228758063278</v>
      </c>
      <c r="I235" s="43">
        <v>9496166.8959271535</v>
      </c>
      <c r="J235" s="43">
        <v>155555.55555555556</v>
      </c>
      <c r="K235" s="43">
        <v>1.638087843867533E-2</v>
      </c>
      <c r="L235" s="43">
        <v>2.8857451481073886</v>
      </c>
      <c r="M235" s="42">
        <v>7.4205776252785052</v>
      </c>
    </row>
    <row r="236" spans="1:13" x14ac:dyDescent="0.2">
      <c r="A236" s="41">
        <v>235</v>
      </c>
      <c r="B236" s="42">
        <v>19.583333333333332</v>
      </c>
      <c r="C236" s="41">
        <v>618.04556616354353</v>
      </c>
      <c r="D236" s="43">
        <v>4697.1463028429307</v>
      </c>
      <c r="E236" s="44">
        <v>113.41629999999998</v>
      </c>
      <c r="F236" s="44">
        <v>185.44158321780978</v>
      </c>
      <c r="G236" s="44">
        <v>298.85788321780979</v>
      </c>
      <c r="H236" s="45">
        <v>0.48355315462084847</v>
      </c>
      <c r="I236" s="43">
        <v>10251306.071623987</v>
      </c>
      <c r="J236" s="43">
        <v>155555.55555555556</v>
      </c>
      <c r="K236" s="43">
        <v>1.5174218238019385E-2</v>
      </c>
      <c r="L236" s="43">
        <v>2.9009193663454078</v>
      </c>
      <c r="M236" s="42">
        <v>7.4466706884956126</v>
      </c>
    </row>
    <row r="237" spans="1:13" x14ac:dyDescent="0.2">
      <c r="A237" s="41">
        <v>236</v>
      </c>
      <c r="B237" s="42">
        <v>19.666666666666668</v>
      </c>
      <c r="C237" s="41">
        <v>618.04643962062562</v>
      </c>
      <c r="D237" s="43">
        <v>4697.1529411167548</v>
      </c>
      <c r="E237" s="44">
        <v>113.41629999999998</v>
      </c>
      <c r="F237" s="44">
        <v>181.44243485119878</v>
      </c>
      <c r="G237" s="44">
        <v>294.85873485119873</v>
      </c>
      <c r="H237" s="45">
        <v>0.47708184361063766</v>
      </c>
      <c r="I237" s="43">
        <v>11621842.787214071</v>
      </c>
      <c r="J237" s="43">
        <v>155555.55555555556</v>
      </c>
      <c r="K237" s="43">
        <v>1.3384758200884642E-2</v>
      </c>
      <c r="L237" s="43">
        <v>2.9143041245462924</v>
      </c>
      <c r="M237" s="42">
        <v>7.4696003772723252</v>
      </c>
    </row>
    <row r="238" spans="1:13" x14ac:dyDescent="0.2">
      <c r="A238" s="41">
        <v>237</v>
      </c>
      <c r="B238" s="42">
        <v>19.75</v>
      </c>
      <c r="C238" s="41">
        <v>618.0473057104183</v>
      </c>
      <c r="D238" s="43">
        <v>4697.1595233991793</v>
      </c>
      <c r="E238" s="44">
        <v>113.41629999999998</v>
      </c>
      <c r="F238" s="44">
        <v>177.9833031468701</v>
      </c>
      <c r="G238" s="44">
        <v>291.39960314687005</v>
      </c>
      <c r="H238" s="45">
        <v>0.47148430298861826</v>
      </c>
      <c r="I238" s="43">
        <v>12972157.969413379</v>
      </c>
      <c r="J238" s="43">
        <v>155555.55555555556</v>
      </c>
      <c r="K238" s="43">
        <v>1.1991494084664621E-2</v>
      </c>
      <c r="L238" s="43">
        <v>2.9262956186309572</v>
      </c>
      <c r="M238" s="42">
        <v>7.4900748749299195</v>
      </c>
    </row>
    <row r="239" spans="1:13" x14ac:dyDescent="0.2">
      <c r="A239" s="41">
        <v>238</v>
      </c>
      <c r="B239" s="42">
        <v>19.833333333333332</v>
      </c>
      <c r="C239" s="41">
        <v>618.04816452574096</v>
      </c>
      <c r="D239" s="43">
        <v>4697.1660503956309</v>
      </c>
      <c r="E239" s="44">
        <v>113.41629999999998</v>
      </c>
      <c r="F239" s="44">
        <v>174.52415969287969</v>
      </c>
      <c r="G239" s="44">
        <v>287.9404596928797</v>
      </c>
      <c r="H239" s="45">
        <v>0.46588676452721239</v>
      </c>
      <c r="I239" s="43">
        <v>14498383.545524716</v>
      </c>
      <c r="J239" s="43">
        <v>155555.55555555556</v>
      </c>
      <c r="K239" s="43">
        <v>1.0729165431933384E-2</v>
      </c>
      <c r="L239" s="43">
        <v>2.9370247840628907</v>
      </c>
      <c r="M239" s="42">
        <v>7.5083395118459784</v>
      </c>
    </row>
    <row r="240" spans="1:13" x14ac:dyDescent="0.2">
      <c r="A240" s="41">
        <v>239</v>
      </c>
      <c r="B240" s="42">
        <v>19.916666666666668</v>
      </c>
      <c r="C240" s="41">
        <v>618.0490161578598</v>
      </c>
      <c r="D240" s="43">
        <v>4697.172522799734</v>
      </c>
      <c r="E240" s="44">
        <v>113.41629999999998</v>
      </c>
      <c r="F240" s="44">
        <v>171.3311119858503</v>
      </c>
      <c r="G240" s="44">
        <v>284.74741198585025</v>
      </c>
      <c r="H240" s="45">
        <v>0.46071978846597034</v>
      </c>
      <c r="I240" s="43">
        <v>16085297.526784714</v>
      </c>
      <c r="J240" s="43">
        <v>155555.55555555556</v>
      </c>
      <c r="K240" s="43">
        <v>9.6706669737708934E-3</v>
      </c>
      <c r="L240" s="43">
        <v>2.9466954510366614</v>
      </c>
      <c r="M240" s="42">
        <v>7.5247582586030912</v>
      </c>
    </row>
    <row r="241" spans="1:13" x14ac:dyDescent="0.2">
      <c r="A241" s="41">
        <v>240</v>
      </c>
      <c r="B241" s="42">
        <v>20</v>
      </c>
      <c r="C241" s="41">
        <v>618.04986069652091</v>
      </c>
      <c r="D241" s="43">
        <v>4697.1789412935586</v>
      </c>
      <c r="E241" s="44">
        <v>113.41629999999998</v>
      </c>
      <c r="F241" s="44">
        <v>169.73469982578723</v>
      </c>
      <c r="G241" s="44">
        <v>283.15099982578721</v>
      </c>
      <c r="H241" s="45">
        <v>0.45813617611156127</v>
      </c>
      <c r="I241" s="43">
        <v>16950207.70463701</v>
      </c>
      <c r="J241" s="43">
        <v>155555.55555555556</v>
      </c>
      <c r="K241" s="43">
        <v>9.1772064547032527E-3</v>
      </c>
      <c r="L241" s="43">
        <v>2.9558726574913647</v>
      </c>
      <c r="M241" s="42">
        <v>7.540300792680898</v>
      </c>
    </row>
    <row r="242" spans="1:13" x14ac:dyDescent="0.2">
      <c r="A242" s="41">
        <v>241</v>
      </c>
      <c r="B242" s="42">
        <v>20.083333333333332</v>
      </c>
      <c r="C242" s="41">
        <v>618.05069822998144</v>
      </c>
      <c r="D242" s="43">
        <v>4697.185306547859</v>
      </c>
      <c r="E242" s="44">
        <v>113.41629999999998</v>
      </c>
      <c r="F242" s="44">
        <v>169.4688217637063</v>
      </c>
      <c r="G242" s="44">
        <v>282.88512176370625</v>
      </c>
      <c r="H242" s="45">
        <v>0.45770536717109656</v>
      </c>
      <c r="I242" s="43">
        <v>17099377.779106546</v>
      </c>
      <c r="J242" s="43">
        <v>155555.55555555556</v>
      </c>
      <c r="K242" s="43">
        <v>9.0971471339516448E-3</v>
      </c>
      <c r="L242" s="43">
        <v>2.9649698046253166</v>
      </c>
      <c r="M242" s="42">
        <v>7.5556709302190228</v>
      </c>
    </row>
    <row r="243" spans="1:13" x14ac:dyDescent="0.2">
      <c r="A243" s="41">
        <v>242</v>
      </c>
      <c r="B243" s="42">
        <v>20.166666666666668</v>
      </c>
      <c r="C243" s="41">
        <v>618.05152884504071</v>
      </c>
      <c r="D243" s="43">
        <v>4697.1916192223098</v>
      </c>
      <c r="E243" s="44">
        <v>113.41629999999998</v>
      </c>
      <c r="F243" s="44">
        <v>172.13013382817465</v>
      </c>
      <c r="G243" s="44">
        <v>285.5464338281746</v>
      </c>
      <c r="H243" s="45">
        <v>0.46201072321878756</v>
      </c>
      <c r="I243" s="43">
        <v>15671535.567257619</v>
      </c>
      <c r="J243" s="43">
        <v>155555.55555555556</v>
      </c>
      <c r="K243" s="43">
        <v>9.9259932051940225E-3</v>
      </c>
      <c r="L243" s="43">
        <v>2.9748957978305106</v>
      </c>
      <c r="M243" s="42">
        <v>7.5723997783436987</v>
      </c>
    </row>
    <row r="244" spans="1:13" x14ac:dyDescent="0.2">
      <c r="A244" s="41">
        <v>243</v>
      </c>
      <c r="B244" s="42">
        <v>20.25</v>
      </c>
      <c r="C244" s="41">
        <v>618.05235262706981</v>
      </c>
      <c r="D244" s="43">
        <v>4697.1978799657309</v>
      </c>
      <c r="E244" s="44">
        <v>113.41629999999998</v>
      </c>
      <c r="F244" s="44">
        <v>176.92032139887837</v>
      </c>
      <c r="G244" s="44">
        <v>290.33662139887838</v>
      </c>
      <c r="H244" s="45">
        <v>0.46976056342927031</v>
      </c>
      <c r="I244" s="43">
        <v>13422298.77810338</v>
      </c>
      <c r="J244" s="43">
        <v>155555.55555555556</v>
      </c>
      <c r="K244" s="43">
        <v>1.1589337871790105E-2</v>
      </c>
      <c r="L244" s="43">
        <v>2.9864851357023006</v>
      </c>
      <c r="M244" s="42">
        <v>7.5918771231514217</v>
      </c>
    </row>
    <row r="245" spans="1:13" x14ac:dyDescent="0.2">
      <c r="A245" s="41">
        <v>244</v>
      </c>
      <c r="B245" s="42">
        <v>20.333333333333332</v>
      </c>
      <c r="C245" s="41">
        <v>618.05316966004057</v>
      </c>
      <c r="D245" s="43">
        <v>4697.2040894163083</v>
      </c>
      <c r="E245" s="44">
        <v>113.41629999999998</v>
      </c>
      <c r="F245" s="44">
        <v>182.77495630426054</v>
      </c>
      <c r="G245" s="44">
        <v>296.19125630426049</v>
      </c>
      <c r="H245" s="45">
        <v>0.47923264671092969</v>
      </c>
      <c r="I245" s="43">
        <v>11145029.05001385</v>
      </c>
      <c r="J245" s="43">
        <v>155555.55555555556</v>
      </c>
      <c r="K245" s="43">
        <v>1.3957393458329501E-2</v>
      </c>
      <c r="L245" s="43">
        <v>3.00044252916063</v>
      </c>
      <c r="M245" s="42">
        <v>7.6152561929271112</v>
      </c>
    </row>
    <row r="246" spans="1:13" x14ac:dyDescent="0.2">
      <c r="A246" s="41">
        <v>245</v>
      </c>
      <c r="B246" s="42">
        <v>20.416666666666668</v>
      </c>
      <c r="C246" s="41">
        <v>618.05398002655534</v>
      </c>
      <c r="D246" s="43">
        <v>4697.2102482018208</v>
      </c>
      <c r="E246" s="44">
        <v>113.41629999999998</v>
      </c>
      <c r="F246" s="44">
        <v>186.81373989259654</v>
      </c>
      <c r="G246" s="44">
        <v>300.23003989259655</v>
      </c>
      <c r="H246" s="45">
        <v>0.48576669610589168</v>
      </c>
      <c r="I246" s="43">
        <v>9824397.5055593904</v>
      </c>
      <c r="J246" s="43">
        <v>155555.55555555556</v>
      </c>
      <c r="K246" s="43">
        <v>1.5833597476845825E-2</v>
      </c>
      <c r="L246" s="43">
        <v>3.016276126637476</v>
      </c>
      <c r="M246" s="42">
        <v>7.6416751490549029</v>
      </c>
    </row>
    <row r="247" spans="1:13" x14ac:dyDescent="0.2">
      <c r="A247" s="41">
        <v>246</v>
      </c>
      <c r="B247" s="42">
        <v>20.5</v>
      </c>
      <c r="C247" s="41">
        <v>618.05478380787304</v>
      </c>
      <c r="D247" s="43">
        <v>4697.2163569398354</v>
      </c>
      <c r="E247" s="44">
        <v>113.41629999999998</v>
      </c>
      <c r="F247" s="44">
        <v>187.90968997817814</v>
      </c>
      <c r="G247" s="44">
        <v>301.32598997817809</v>
      </c>
      <c r="H247" s="45">
        <v>0.48753928919001382</v>
      </c>
      <c r="I247" s="43">
        <v>9496710.8300287798</v>
      </c>
      <c r="J247" s="43">
        <v>155555.55555555556</v>
      </c>
      <c r="K247" s="43">
        <v>1.6379940206633012E-2</v>
      </c>
      <c r="L247" s="43">
        <v>3.0326560668441092</v>
      </c>
      <c r="M247" s="42">
        <v>7.6688912994328691</v>
      </c>
    </row>
    <row r="248" spans="1:13" x14ac:dyDescent="0.2">
      <c r="A248" s="41">
        <v>247</v>
      </c>
      <c r="B248" s="42">
        <v>20.583333333333332</v>
      </c>
      <c r="C248" s="41">
        <v>618.05558108393802</v>
      </c>
      <c r="D248" s="43">
        <v>4697.2224162379289</v>
      </c>
      <c r="E248" s="44">
        <v>113.41629999999998</v>
      </c>
      <c r="F248" s="44">
        <v>185.4445881462413</v>
      </c>
      <c r="G248" s="44">
        <v>298.86088814624128</v>
      </c>
      <c r="H248" s="45">
        <v>0.48355018107287834</v>
      </c>
      <c r="I248" s="43">
        <v>10251893.198493579</v>
      </c>
      <c r="J248" s="43">
        <v>155555.55555555556</v>
      </c>
      <c r="K248" s="43">
        <v>1.5173349209140513E-2</v>
      </c>
      <c r="L248" s="43">
        <v>3.0478294160532498</v>
      </c>
      <c r="M248" s="42">
        <v>7.6939993999670504</v>
      </c>
    </row>
    <row r="249" spans="1:13" x14ac:dyDescent="0.2">
      <c r="A249" s="41">
        <v>248</v>
      </c>
      <c r="B249" s="42">
        <v>20.666666666666668</v>
      </c>
      <c r="C249" s="41">
        <v>618.05637193340556</v>
      </c>
      <c r="D249" s="43">
        <v>4697.2284266938823</v>
      </c>
      <c r="E249" s="44">
        <v>113.41629999999998</v>
      </c>
      <c r="F249" s="44">
        <v>181.44535072110591</v>
      </c>
      <c r="G249" s="44">
        <v>294.86165072110589</v>
      </c>
      <c r="H249" s="45">
        <v>0.47707889459778385</v>
      </c>
      <c r="I249" s="43">
        <v>11622511.871564677</v>
      </c>
      <c r="J249" s="43">
        <v>155555.55555555556</v>
      </c>
      <c r="K249" s="43">
        <v>1.3383987667599942E-2</v>
      </c>
      <c r="L249" s="43">
        <v>3.0612134037208496</v>
      </c>
      <c r="M249" s="42">
        <v>7.7160645667386243</v>
      </c>
    </row>
    <row r="250" spans="1:13" x14ac:dyDescent="0.2">
      <c r="A250" s="41">
        <v>249</v>
      </c>
      <c r="B250" s="42">
        <v>20.75</v>
      </c>
      <c r="C250" s="41">
        <v>618.05715643366784</v>
      </c>
      <c r="D250" s="43">
        <v>4697.2343888958758</v>
      </c>
      <c r="E250" s="44">
        <v>113.41629999999998</v>
      </c>
      <c r="F250" s="44">
        <v>177.9861399269129</v>
      </c>
      <c r="G250" s="44">
        <v>291.40243992691285</v>
      </c>
      <c r="H250" s="45">
        <v>0.47148137820840397</v>
      </c>
      <c r="I250" s="43">
        <v>12972907.449977202</v>
      </c>
      <c r="J250" s="43">
        <v>155555.55555555556</v>
      </c>
      <c r="K250" s="43">
        <v>1.1990801303051687E-2</v>
      </c>
      <c r="L250" s="43">
        <v>3.0732042050239015</v>
      </c>
      <c r="M250" s="42">
        <v>7.735767929894747</v>
      </c>
    </row>
    <row r="251" spans="1:13" x14ac:dyDescent="0.2">
      <c r="A251" s="41">
        <v>250</v>
      </c>
      <c r="B251" s="42">
        <v>20.833333333333332</v>
      </c>
      <c r="C251" s="41">
        <v>618.05793466087971</v>
      </c>
      <c r="D251" s="43">
        <v>4697.2403034226854</v>
      </c>
      <c r="E251" s="44">
        <v>113.41629999999998</v>
      </c>
      <c r="F251" s="44">
        <v>174.52691857919802</v>
      </c>
      <c r="G251" s="44">
        <v>287.943218579198</v>
      </c>
      <c r="H251" s="45">
        <v>0.46588386368211365</v>
      </c>
      <c r="I251" s="43">
        <v>14499224.332452618</v>
      </c>
      <c r="J251" s="43">
        <v>155555.55555555556</v>
      </c>
      <c r="K251" s="43">
        <v>1.0728543264717014E-2</v>
      </c>
      <c r="L251" s="43">
        <v>3.0839327482886185</v>
      </c>
      <c r="M251" s="42">
        <v>7.753345316997696</v>
      </c>
    </row>
    <row r="252" spans="1:13" x14ac:dyDescent="0.2">
      <c r="A252" s="41">
        <v>251</v>
      </c>
      <c r="B252" s="42">
        <v>20.916666666666668</v>
      </c>
      <c r="C252" s="41">
        <v>618.0587066899825</v>
      </c>
      <c r="D252" s="43">
        <v>4697.2461708438668</v>
      </c>
      <c r="E252" s="44">
        <v>113.41629999999998</v>
      </c>
      <c r="F252" s="44">
        <v>171.33379832560803</v>
      </c>
      <c r="G252" s="44">
        <v>284.75009832560801</v>
      </c>
      <c r="H252" s="45">
        <v>0.46071691126331515</v>
      </c>
      <c r="I252" s="43">
        <v>16086233.115395708</v>
      </c>
      <c r="J252" s="43">
        <v>155555.55555555556</v>
      </c>
      <c r="K252" s="43">
        <v>9.6701045197882564E-3</v>
      </c>
      <c r="L252" s="43">
        <v>3.0936028528084067</v>
      </c>
      <c r="M252" s="42">
        <v>7.7691467988503158</v>
      </c>
    </row>
    <row r="253" spans="1:13" x14ac:dyDescent="0.2">
      <c r="A253" s="41">
        <v>252</v>
      </c>
      <c r="B253" s="42">
        <v>21</v>
      </c>
      <c r="C253" s="41">
        <v>618.05947259472919</v>
      </c>
      <c r="D253" s="43">
        <v>4697.2519917199415</v>
      </c>
      <c r="E253" s="44">
        <v>113.41629999999998</v>
      </c>
      <c r="F253" s="44">
        <v>169.73733953620689</v>
      </c>
      <c r="G253" s="44">
        <v>283.15363953620687</v>
      </c>
      <c r="H253" s="45">
        <v>0.45813332226343034</v>
      </c>
      <c r="I253" s="43">
        <v>16951191.112105913</v>
      </c>
      <c r="J253" s="43">
        <v>155555.55555555556</v>
      </c>
      <c r="K253" s="43">
        <v>9.1766740476699332E-3</v>
      </c>
      <c r="L253" s="43">
        <v>3.1027795268560765</v>
      </c>
      <c r="M253" s="42">
        <v>7.784105476946781</v>
      </c>
    </row>
    <row r="254" spans="1:13" x14ac:dyDescent="0.2">
      <c r="A254" s="41">
        <v>253</v>
      </c>
      <c r="B254" s="42">
        <v>21.083333333333332</v>
      </c>
      <c r="C254" s="41">
        <v>618.0602324477062</v>
      </c>
      <c r="D254" s="43">
        <v>4697.2577666025672</v>
      </c>
      <c r="E254" s="44">
        <v>113.41629999999998</v>
      </c>
      <c r="F254" s="44">
        <v>169.47143603572133</v>
      </c>
      <c r="G254" s="44">
        <v>282.88773603572133</v>
      </c>
      <c r="H254" s="45">
        <v>0.45770253639422809</v>
      </c>
      <c r="I254" s="43">
        <v>17100362.746938523</v>
      </c>
      <c r="J254" s="43">
        <v>155555.55555555556</v>
      </c>
      <c r="K254" s="43">
        <v>9.0966231452256577E-3</v>
      </c>
      <c r="L254" s="43">
        <v>3.1118761500013021</v>
      </c>
      <c r="M254" s="42">
        <v>7.7988986872772541</v>
      </c>
    </row>
    <row r="255" spans="1:13" x14ac:dyDescent="0.2">
      <c r="A255" s="41">
        <v>254</v>
      </c>
      <c r="B255" s="42">
        <v>21.166666666666668</v>
      </c>
      <c r="C255" s="41">
        <v>618.06098632035867</v>
      </c>
      <c r="D255" s="43">
        <v>4697.2634960347259</v>
      </c>
      <c r="E255" s="44">
        <v>113.41629999999998</v>
      </c>
      <c r="F255" s="44">
        <v>172.1327677776371</v>
      </c>
      <c r="G255" s="44">
        <v>285.54906777763711</v>
      </c>
      <c r="H255" s="45">
        <v>0.46200791523448281</v>
      </c>
      <c r="I255" s="43">
        <v>15672422.674327129</v>
      </c>
      <c r="J255" s="43">
        <v>155555.55555555556</v>
      </c>
      <c r="K255" s="43">
        <v>9.9254313636123331E-3</v>
      </c>
      <c r="L255" s="43">
        <v>3.1218015813649145</v>
      </c>
      <c r="M255" s="42">
        <v>7.8150001304959504</v>
      </c>
    </row>
    <row r="256" spans="1:13" x14ac:dyDescent="0.2">
      <c r="A256" s="41">
        <v>255</v>
      </c>
      <c r="B256" s="42">
        <v>21.25</v>
      </c>
      <c r="C256" s="41">
        <v>618.06173428301054</v>
      </c>
      <c r="D256" s="43">
        <v>4697.2691805508794</v>
      </c>
      <c r="E256" s="44">
        <v>113.41629999999998</v>
      </c>
      <c r="F256" s="44">
        <v>176.92300694093188</v>
      </c>
      <c r="G256" s="44">
        <v>290.33930694093186</v>
      </c>
      <c r="H256" s="45">
        <v>0.46975777796330204</v>
      </c>
      <c r="I256" s="43">
        <v>13423040.036693387</v>
      </c>
      <c r="J256" s="43">
        <v>155555.55555555556</v>
      </c>
      <c r="K256" s="43">
        <v>1.1588697875468373E-2</v>
      </c>
      <c r="L256" s="43">
        <v>3.1333902792403827</v>
      </c>
      <c r="M256" s="42">
        <v>7.8337476827290597</v>
      </c>
    </row>
    <row r="257" spans="1:13" x14ac:dyDescent="0.2">
      <c r="A257" s="41">
        <v>256</v>
      </c>
      <c r="B257" s="42">
        <v>21.333333333333332</v>
      </c>
      <c r="C257" s="41">
        <v>618.062476404888</v>
      </c>
      <c r="D257" s="43">
        <v>4697.2748206771494</v>
      </c>
      <c r="E257" s="44">
        <v>113.41629999999998</v>
      </c>
      <c r="F257" s="44">
        <v>182.77770855918996</v>
      </c>
      <c r="G257" s="44">
        <v>296.19400855918991</v>
      </c>
      <c r="H257" s="45">
        <v>0.47922988349345363</v>
      </c>
      <c r="I257" s="43">
        <v>11145627.559509117</v>
      </c>
      <c r="J257" s="43">
        <v>155555.55555555556</v>
      </c>
      <c r="K257" s="43">
        <v>1.3956643959705993E-2</v>
      </c>
      <c r="L257" s="43">
        <v>3.1473469232000886</v>
      </c>
      <c r="M257" s="42">
        <v>7.8562517527275419</v>
      </c>
    </row>
    <row r="258" spans="1:13" x14ac:dyDescent="0.2">
      <c r="A258" s="41">
        <v>257</v>
      </c>
      <c r="B258" s="42">
        <v>21.416666666666668</v>
      </c>
      <c r="C258" s="41">
        <v>618.06321275414018</v>
      </c>
      <c r="D258" s="43">
        <v>4697.280416931465</v>
      </c>
      <c r="E258" s="44">
        <v>113.41629999999998</v>
      </c>
      <c r="F258" s="44">
        <v>186.81653058794882</v>
      </c>
      <c r="G258" s="44">
        <v>300.2328305879488</v>
      </c>
      <c r="H258" s="45">
        <v>0.48576395487135815</v>
      </c>
      <c r="I258" s="43">
        <v>9824913.8568629883</v>
      </c>
      <c r="J258" s="43">
        <v>155555.55555555556</v>
      </c>
      <c r="K258" s="43">
        <v>1.5832765337366848E-2</v>
      </c>
      <c r="L258" s="43">
        <v>3.1631796885374555</v>
      </c>
      <c r="M258" s="42">
        <v>7.881683220287564</v>
      </c>
    </row>
    <row r="259" spans="1:13" x14ac:dyDescent="0.2">
      <c r="A259" s="41">
        <v>258</v>
      </c>
      <c r="B259" s="42">
        <v>21.5</v>
      </c>
      <c r="C259" s="41">
        <v>618.06394339785982</v>
      </c>
      <c r="D259" s="43">
        <v>4697.2859698237353</v>
      </c>
      <c r="E259" s="44">
        <v>113.41629999999998</v>
      </c>
      <c r="F259" s="44">
        <v>187.91247480528384</v>
      </c>
      <c r="G259" s="44">
        <v>301.32877480528384</v>
      </c>
      <c r="H259" s="45">
        <v>0.48753656967708375</v>
      </c>
      <c r="I259" s="43">
        <v>9497204.2031327803</v>
      </c>
      <c r="J259" s="43">
        <v>155555.55555555556</v>
      </c>
      <c r="K259" s="43">
        <v>1.6379089280216117E-2</v>
      </c>
      <c r="L259" s="43">
        <v>3.1795587778176717</v>
      </c>
      <c r="M259" s="42">
        <v>7.9078834995727982</v>
      </c>
    </row>
    <row r="260" spans="1:13" x14ac:dyDescent="0.2">
      <c r="A260" s="41">
        <v>259</v>
      </c>
      <c r="B260" s="42">
        <v>21.583333333333332</v>
      </c>
      <c r="C260" s="41">
        <v>618.0646684021043</v>
      </c>
      <c r="D260" s="43">
        <v>4697.2914798559932</v>
      </c>
      <c r="E260" s="44">
        <v>113.41629999999998</v>
      </c>
      <c r="F260" s="44">
        <v>185.44731475211026</v>
      </c>
      <c r="G260" s="44">
        <v>298.86361475211027</v>
      </c>
      <c r="H260" s="45">
        <v>0.48354748302433903</v>
      </c>
      <c r="I260" s="43">
        <v>10252425.96023917</v>
      </c>
      <c r="J260" s="43">
        <v>155555.55555555556</v>
      </c>
      <c r="K260" s="43">
        <v>1.517256073429149E-2</v>
      </c>
      <c r="L260" s="43">
        <v>3.1947313385519633</v>
      </c>
      <c r="M260" s="42">
        <v>7.9320556793520858</v>
      </c>
    </row>
    <row r="261" spans="1:13" x14ac:dyDescent="0.2">
      <c r="A261" s="41">
        <v>260</v>
      </c>
      <c r="B261" s="42">
        <v>21.666666666666668</v>
      </c>
      <c r="C261" s="41">
        <v>618.06538783191502</v>
      </c>
      <c r="D261" s="43">
        <v>4697.2969475225545</v>
      </c>
      <c r="E261" s="44">
        <v>113.41629999999998</v>
      </c>
      <c r="F261" s="44">
        <v>181.44799755550713</v>
      </c>
      <c r="G261" s="44">
        <v>294.86429755550711</v>
      </c>
      <c r="H261" s="45">
        <v>0.47707621776046849</v>
      </c>
      <c r="I261" s="43">
        <v>11623119.240525104</v>
      </c>
      <c r="J261" s="43">
        <v>155555.55555555556</v>
      </c>
      <c r="K261" s="43">
        <v>1.3383288284025893E-2</v>
      </c>
      <c r="L261" s="43">
        <v>3.208114626835989</v>
      </c>
      <c r="M261" s="42">
        <v>7.9532993539482302</v>
      </c>
    </row>
    <row r="262" spans="1:13" x14ac:dyDescent="0.2">
      <c r="A262" s="41">
        <v>261</v>
      </c>
      <c r="B262" s="42">
        <v>21.75</v>
      </c>
      <c r="C262" s="41">
        <v>618.0661017513371</v>
      </c>
      <c r="D262" s="43">
        <v>4697.3023733101618</v>
      </c>
      <c r="E262" s="44">
        <v>113.41629999999998</v>
      </c>
      <c r="F262" s="44">
        <v>177.98871597112787</v>
      </c>
      <c r="G262" s="44">
        <v>291.40501597112785</v>
      </c>
      <c r="H262" s="45">
        <v>0.47147872233311239</v>
      </c>
      <c r="I262" s="43">
        <v>12973588.064677918</v>
      </c>
      <c r="J262" s="43">
        <v>155555.55555555556</v>
      </c>
      <c r="K262" s="43">
        <v>1.199017224688006E-2</v>
      </c>
      <c r="L262" s="43">
        <v>3.2201047990828693</v>
      </c>
      <c r="M262" s="42">
        <v>7.9722699514843578</v>
      </c>
    </row>
    <row r="263" spans="1:13" x14ac:dyDescent="0.2">
      <c r="A263" s="41">
        <v>262</v>
      </c>
      <c r="B263" s="42">
        <v>21.833333333333332</v>
      </c>
      <c r="C263" s="41">
        <v>618.06681022343832</v>
      </c>
      <c r="D263" s="43">
        <v>4697.3077576981314</v>
      </c>
      <c r="E263" s="44">
        <v>113.41629999999998</v>
      </c>
      <c r="F263" s="44">
        <v>174.52942485651792</v>
      </c>
      <c r="G263" s="44">
        <v>287.94572485651793</v>
      </c>
      <c r="H263" s="45">
        <v>0.46588122852353486</v>
      </c>
      <c r="I263" s="43">
        <v>14499988.159054255</v>
      </c>
      <c r="J263" s="43">
        <v>155555.55555555556</v>
      </c>
      <c r="K263" s="43">
        <v>1.0727978109307746E-2</v>
      </c>
      <c r="L263" s="43">
        <v>3.2308327771921772</v>
      </c>
      <c r="M263" s="42">
        <v>7.9891942733506367</v>
      </c>
    </row>
    <row r="264" spans="1:13" x14ac:dyDescent="0.2">
      <c r="A264" s="41">
        <v>263</v>
      </c>
      <c r="B264" s="42">
        <v>21.916666666666668</v>
      </c>
      <c r="C264" s="41">
        <v>618.0675133103274</v>
      </c>
      <c r="D264" s="43">
        <v>4697.3131011584883</v>
      </c>
      <c r="E264" s="44">
        <v>113.41629999999998</v>
      </c>
      <c r="F264" s="44">
        <v>171.33623963368728</v>
      </c>
      <c r="G264" s="44">
        <v>284.75253963368726</v>
      </c>
      <c r="H264" s="45">
        <v>0.46071429657995144</v>
      </c>
      <c r="I264" s="43">
        <v>16087083.392086254</v>
      </c>
      <c r="J264" s="43">
        <v>155555.55555555556</v>
      </c>
      <c r="K264" s="43">
        <v>9.6695934100819204E-3</v>
      </c>
      <c r="L264" s="43">
        <v>3.2405023706022593</v>
      </c>
      <c r="M264" s="42">
        <v>8.0044091849666401</v>
      </c>
    </row>
    <row r="265" spans="1:13" x14ac:dyDescent="0.2">
      <c r="A265" s="41">
        <v>264</v>
      </c>
      <c r="B265" s="42">
        <v>22</v>
      </c>
      <c r="C265" s="41">
        <v>618.06821107317296</v>
      </c>
      <c r="D265" s="43">
        <v>4697.3184041561153</v>
      </c>
      <c r="E265" s="44">
        <v>113.41629999999998</v>
      </c>
      <c r="F265" s="44">
        <v>169.73973937982782</v>
      </c>
      <c r="G265" s="44">
        <v>283.1560393798278</v>
      </c>
      <c r="H265" s="45">
        <v>0.45813072781752406</v>
      </c>
      <c r="I265" s="43">
        <v>16952085.186995342</v>
      </c>
      <c r="J265" s="43">
        <v>155555.55555555556</v>
      </c>
      <c r="K265" s="43">
        <v>9.1761900580165073E-3</v>
      </c>
      <c r="L265" s="43">
        <v>3.2496785606602758</v>
      </c>
      <c r="M265" s="42">
        <v>8.0188130320317192</v>
      </c>
    </row>
    <row r="266" spans="1:13" x14ac:dyDescent="0.2">
      <c r="A266" s="41">
        <v>265</v>
      </c>
      <c r="B266" s="42">
        <v>22.083333333333332</v>
      </c>
      <c r="C266" s="41">
        <v>618.06890357222051</v>
      </c>
      <c r="D266" s="43">
        <v>4697.3236671488758</v>
      </c>
      <c r="E266" s="44">
        <v>113.41629999999998</v>
      </c>
      <c r="F266" s="44">
        <v>169.47381364852723</v>
      </c>
      <c r="G266" s="44">
        <v>282.89011364852718</v>
      </c>
      <c r="H266" s="45">
        <v>0.45769996195168855</v>
      </c>
      <c r="I266" s="43">
        <v>17101258.577881906</v>
      </c>
      <c r="J266" s="43">
        <v>155555.55555555556</v>
      </c>
      <c r="K266" s="43">
        <v>9.096146628456047E-3</v>
      </c>
      <c r="L266" s="43">
        <v>3.2587747072887319</v>
      </c>
      <c r="M266" s="42">
        <v>8.0330579869922971</v>
      </c>
    </row>
    <row r="267" spans="1:13" x14ac:dyDescent="0.2">
      <c r="A267" s="41">
        <v>266</v>
      </c>
      <c r="B267" s="42">
        <v>22.166666666666668</v>
      </c>
      <c r="C267" s="41">
        <v>618.06959086680968</v>
      </c>
      <c r="D267" s="43">
        <v>4697.3288905877534</v>
      </c>
      <c r="E267" s="44">
        <v>113.41629999999998</v>
      </c>
      <c r="F267" s="44">
        <v>172.13516418256938</v>
      </c>
      <c r="G267" s="44">
        <v>285.55146418256936</v>
      </c>
      <c r="H267" s="45">
        <v>0.46200536056481706</v>
      </c>
      <c r="I267" s="43">
        <v>15673229.801763272</v>
      </c>
      <c r="J267" s="43">
        <v>155555.55555555556</v>
      </c>
      <c r="K267" s="43">
        <v>9.9249202316969293E-3</v>
      </c>
      <c r="L267" s="43">
        <v>3.2686996275204288</v>
      </c>
      <c r="M267" s="42">
        <v>8.0485631947716705</v>
      </c>
    </row>
    <row r="268" spans="1:13" x14ac:dyDescent="0.2">
      <c r="A268" s="41">
        <v>267</v>
      </c>
      <c r="B268" s="42">
        <v>22.25</v>
      </c>
      <c r="C268" s="41">
        <v>618.07027301539188</v>
      </c>
      <c r="D268" s="43">
        <v>4697.3340749169784</v>
      </c>
      <c r="E268" s="44">
        <v>113.41629999999998</v>
      </c>
      <c r="F268" s="44">
        <v>176.92545119224951</v>
      </c>
      <c r="G268" s="44">
        <v>290.34175119224949</v>
      </c>
      <c r="H268" s="45">
        <v>0.46975524283954534</v>
      </c>
      <c r="I268" s="43">
        <v>13423714.714482127</v>
      </c>
      <c r="J268" s="43">
        <v>155555.55555555556</v>
      </c>
      <c r="K268" s="43">
        <v>1.158811542588394E-2</v>
      </c>
      <c r="L268" s="43">
        <v>3.2802877429463129</v>
      </c>
      <c r="M268" s="42">
        <v>8.0666171953377361</v>
      </c>
    </row>
    <row r="269" spans="1:13" x14ac:dyDescent="0.2">
      <c r="A269" s="41">
        <v>268</v>
      </c>
      <c r="B269" s="42">
        <v>22.333333333333332</v>
      </c>
      <c r="C269" s="41">
        <v>618.07095007554642</v>
      </c>
      <c r="D269" s="43">
        <v>4697.3392205741529</v>
      </c>
      <c r="E269" s="44">
        <v>113.41629999999998</v>
      </c>
      <c r="F269" s="44">
        <v>182.78021445166064</v>
      </c>
      <c r="G269" s="44">
        <v>296.19651445166062</v>
      </c>
      <c r="H269" s="45">
        <v>0.47922736769210189</v>
      </c>
      <c r="I269" s="43">
        <v>11146172.509931818</v>
      </c>
      <c r="J269" s="43">
        <v>155555.55555555556</v>
      </c>
      <c r="K269" s="43">
        <v>1.3955961601791781E-2</v>
      </c>
      <c r="L269" s="43">
        <v>3.2942437045481046</v>
      </c>
      <c r="M269" s="42">
        <v>8.0882896957013681</v>
      </c>
    </row>
    <row r="270" spans="1:13" x14ac:dyDescent="0.2">
      <c r="A270" s="41">
        <v>269</v>
      </c>
      <c r="B270" s="42">
        <v>22.416666666666668</v>
      </c>
      <c r="C270" s="41">
        <v>618.0716221039969</v>
      </c>
      <c r="D270" s="43">
        <v>4697.3443279903768</v>
      </c>
      <c r="E270" s="44">
        <v>113.41629999999998</v>
      </c>
      <c r="F270" s="44">
        <v>186.81907240815804</v>
      </c>
      <c r="G270" s="44">
        <v>300.23537240815801</v>
      </c>
      <c r="H270" s="45">
        <v>0.48576145817230276</v>
      </c>
      <c r="I270" s="43">
        <v>9825384.1725114379</v>
      </c>
      <c r="J270" s="43">
        <v>155555.55555555556</v>
      </c>
      <c r="K270" s="43">
        <v>1.5832007463968144E-2</v>
      </c>
      <c r="L270" s="43">
        <v>3.3100757120120727</v>
      </c>
      <c r="M270" s="42">
        <v>8.1127826609224023</v>
      </c>
    </row>
    <row r="271" spans="1:13" x14ac:dyDescent="0.2">
      <c r="A271" s="41">
        <v>270</v>
      </c>
      <c r="B271" s="42">
        <v>22.5</v>
      </c>
      <c r="C271" s="41">
        <v>618.07228915662643</v>
      </c>
      <c r="D271" s="43">
        <v>4697.3493975903602</v>
      </c>
      <c r="E271" s="44">
        <v>113.41629999999998</v>
      </c>
      <c r="F271" s="44">
        <v>187.9150121999995</v>
      </c>
      <c r="G271" s="44">
        <v>301.3313121999995</v>
      </c>
      <c r="H271" s="45">
        <v>0.48753409186354701</v>
      </c>
      <c r="I271" s="43">
        <v>9497653.7519277353</v>
      </c>
      <c r="J271" s="43">
        <v>155555.55555555556</v>
      </c>
      <c r="K271" s="43">
        <v>1.6378314015077937E-2</v>
      </c>
      <c r="L271" s="43">
        <v>3.3264540260271507</v>
      </c>
      <c r="M271" s="42">
        <v>8.138017434110699</v>
      </c>
    </row>
    <row r="272" spans="1:13" x14ac:dyDescent="0.2">
      <c r="A272" s="41">
        <v>271</v>
      </c>
      <c r="B272" s="42">
        <v>22.583333333333332</v>
      </c>
      <c r="C272" s="41">
        <v>618.07295128849444</v>
      </c>
      <c r="D272" s="43">
        <v>4697.3544297925582</v>
      </c>
      <c r="E272" s="44">
        <v>113.41629999999998</v>
      </c>
      <c r="F272" s="44">
        <v>185.44979999211503</v>
      </c>
      <c r="G272" s="44">
        <v>298.86609999211498</v>
      </c>
      <c r="H272" s="45">
        <v>0.48354502388281173</v>
      </c>
      <c r="I272" s="43">
        <v>10252911.57366321</v>
      </c>
      <c r="J272" s="43">
        <v>155555.55555555556</v>
      </c>
      <c r="K272" s="43">
        <v>1.5171842109233944E-2</v>
      </c>
      <c r="L272" s="43">
        <v>3.3416258681363846</v>
      </c>
      <c r="M272" s="42">
        <v>8.1613000688930999</v>
      </c>
    </row>
    <row r="273" spans="1:13" x14ac:dyDescent="0.2">
      <c r="A273" s="41">
        <v>272</v>
      </c>
      <c r="B273" s="42">
        <v>22.666666666666668</v>
      </c>
      <c r="C273" s="41">
        <v>618.07360855385014</v>
      </c>
      <c r="D273" s="43">
        <v>4697.359425009261</v>
      </c>
      <c r="E273" s="44">
        <v>113.41629999999998</v>
      </c>
      <c r="F273" s="44">
        <v>181.4504109466514</v>
      </c>
      <c r="G273" s="44">
        <v>294.86671094665138</v>
      </c>
      <c r="H273" s="45">
        <v>0.4770737770806483</v>
      </c>
      <c r="I273" s="43">
        <v>11623673.056462109</v>
      </c>
      <c r="J273" s="43">
        <v>155555.55555555556</v>
      </c>
      <c r="K273" s="43">
        <v>1.3382650630307897E-2</v>
      </c>
      <c r="L273" s="43">
        <v>3.3550085187666925</v>
      </c>
      <c r="M273" s="42">
        <v>8.1817629368985916</v>
      </c>
    </row>
    <row r="274" spans="1:13" x14ac:dyDescent="0.2">
      <c r="A274" s="41">
        <v>273</v>
      </c>
      <c r="B274" s="42">
        <v>22.75</v>
      </c>
      <c r="C274" s="41">
        <v>618.07426100614907</v>
      </c>
      <c r="D274" s="43">
        <v>4697.3643836467327</v>
      </c>
      <c r="E274" s="44">
        <v>113.41629999999998</v>
      </c>
      <c r="F274" s="44">
        <v>177.99106564745401</v>
      </c>
      <c r="G274" s="44">
        <v>291.40736564745396</v>
      </c>
      <c r="H274" s="45">
        <v>0.47147629990784362</v>
      </c>
      <c r="I274" s="43">
        <v>12974208.888190469</v>
      </c>
      <c r="J274" s="43">
        <v>155555.55555555556</v>
      </c>
      <c r="K274" s="43">
        <v>1.1989598510098532E-2</v>
      </c>
      <c r="L274" s="43">
        <v>3.3669981172767911</v>
      </c>
      <c r="M274" s="42">
        <v>8.2000370436273329</v>
      </c>
    </row>
    <row r="275" spans="1:13" x14ac:dyDescent="0.2">
      <c r="A275" s="41">
        <v>274</v>
      </c>
      <c r="B275" s="42">
        <v>22.833333333333332</v>
      </c>
      <c r="C275" s="41">
        <v>618.074908698066</v>
      </c>
      <c r="D275" s="43">
        <v>4697.3693061053018</v>
      </c>
      <c r="E275" s="44">
        <v>113.41629999999998</v>
      </c>
      <c r="F275" s="44">
        <v>174.53171170010117</v>
      </c>
      <c r="G275" s="44">
        <v>287.94801170010112</v>
      </c>
      <c r="H275" s="45">
        <v>0.4658788241487502</v>
      </c>
      <c r="I275" s="43">
        <v>14500685.129582629</v>
      </c>
      <c r="J275" s="43">
        <v>155555.55555555556</v>
      </c>
      <c r="K275" s="43">
        <v>1.0727462472666828E-2</v>
      </c>
      <c r="L275" s="43">
        <v>3.3777255797494581</v>
      </c>
      <c r="M275" s="42">
        <v>8.2163406162225119</v>
      </c>
    </row>
    <row r="276" spans="1:13" x14ac:dyDescent="0.2">
      <c r="A276" s="41">
        <v>275</v>
      </c>
      <c r="B276" s="42">
        <v>22.916666666666668</v>
      </c>
      <c r="C276" s="41">
        <v>618.07555168151043</v>
      </c>
      <c r="D276" s="43">
        <v>4697.3741927794799</v>
      </c>
      <c r="E276" s="44">
        <v>113.41629999999998</v>
      </c>
      <c r="F276" s="44">
        <v>171.3384679732483</v>
      </c>
      <c r="G276" s="44">
        <v>284.75476797324825</v>
      </c>
      <c r="H276" s="45">
        <v>0.46071191005461448</v>
      </c>
      <c r="I276" s="43">
        <v>16087859.516831243</v>
      </c>
      <c r="J276" s="43">
        <v>155555.55555555556</v>
      </c>
      <c r="K276" s="43">
        <v>9.6691269210060007E-3</v>
      </c>
      <c r="L276" s="43">
        <v>3.3873947066704639</v>
      </c>
      <c r="M276" s="42">
        <v>8.2309979721521387</v>
      </c>
    </row>
    <row r="277" spans="1:13" x14ac:dyDescent="0.2">
      <c r="A277" s="41">
        <v>276</v>
      </c>
      <c r="B277" s="42">
        <v>23</v>
      </c>
      <c r="C277" s="41">
        <v>618.07619000763941</v>
      </c>
      <c r="D277" s="43">
        <v>4697.3790440580597</v>
      </c>
      <c r="E277" s="44">
        <v>113.41629999999998</v>
      </c>
      <c r="F277" s="44">
        <v>169.74193063029594</v>
      </c>
      <c r="G277" s="44">
        <v>283.15823063029592</v>
      </c>
      <c r="H277" s="45">
        <v>0.45812835894357312</v>
      </c>
      <c r="I277" s="43">
        <v>16952901.572890017</v>
      </c>
      <c r="J277" s="43">
        <v>155555.55555555556</v>
      </c>
      <c r="K277" s="43">
        <v>9.1757481683436386E-3</v>
      </c>
      <c r="L277" s="43">
        <v>3.3965704548388076</v>
      </c>
      <c r="M277" s="42">
        <v>8.2448744225564514</v>
      </c>
    </row>
    <row r="278" spans="1:13" x14ac:dyDescent="0.2">
      <c r="A278" s="41">
        <v>277</v>
      </c>
      <c r="B278" s="42">
        <v>23.083333333333332</v>
      </c>
      <c r="C278" s="41">
        <v>618.07682372687168</v>
      </c>
      <c r="D278" s="43">
        <v>4697.3838603242248</v>
      </c>
      <c r="E278" s="44">
        <v>113.41629999999998</v>
      </c>
      <c r="F278" s="44">
        <v>169.47598534622253</v>
      </c>
      <c r="G278" s="44">
        <v>282.89228534622248</v>
      </c>
      <c r="H278" s="45">
        <v>0.45769761053398217</v>
      </c>
      <c r="I278" s="43">
        <v>17102076.848096486</v>
      </c>
      <c r="J278" s="43">
        <v>155555.55555555556</v>
      </c>
      <c r="K278" s="43">
        <v>9.0957114119662834E-3</v>
      </c>
      <c r="L278" s="43">
        <v>3.4056661662507737</v>
      </c>
      <c r="M278" s="42">
        <v>8.2585982210885209</v>
      </c>
    </row>
    <row r="279" spans="1:13" x14ac:dyDescent="0.2">
      <c r="A279" s="41">
        <v>278</v>
      </c>
      <c r="B279" s="42">
        <v>23.166666666666668</v>
      </c>
      <c r="C279" s="41">
        <v>618.07745288890123</v>
      </c>
      <c r="D279" s="43">
        <v>4697.3886419556493</v>
      </c>
      <c r="E279" s="44">
        <v>113.41629999999998</v>
      </c>
      <c r="F279" s="44">
        <v>172.13735379112404</v>
      </c>
      <c r="G279" s="44">
        <v>285.55365379112402</v>
      </c>
      <c r="H279" s="45">
        <v>0.46200302641107988</v>
      </c>
      <c r="I279" s="43">
        <v>15673967.299198367</v>
      </c>
      <c r="J279" s="43">
        <v>155555.55555555556</v>
      </c>
      <c r="K279" s="43">
        <v>9.9244532405979528E-3</v>
      </c>
      <c r="L279" s="43">
        <v>3.4155906194913714</v>
      </c>
      <c r="M279" s="42">
        <v>8.2735366512879658</v>
      </c>
    </row>
    <row r="280" spans="1:13" x14ac:dyDescent="0.2">
      <c r="A280" s="41">
        <v>279</v>
      </c>
      <c r="B280" s="42">
        <v>23.25</v>
      </c>
      <c r="C280" s="41">
        <v>618.07807754270948</v>
      </c>
      <c r="D280" s="43">
        <v>4697.3933893245921</v>
      </c>
      <c r="E280" s="44">
        <v>113.41629999999998</v>
      </c>
      <c r="F280" s="44">
        <v>176.92768527399929</v>
      </c>
      <c r="G280" s="44">
        <v>290.34398527399924</v>
      </c>
      <c r="H280" s="45">
        <v>0.46975292576031602</v>
      </c>
      <c r="I280" s="43">
        <v>13424331.396471122</v>
      </c>
      <c r="J280" s="43">
        <v>155555.55555555556</v>
      </c>
      <c r="K280" s="43">
        <v>1.158758309530758E-2</v>
      </c>
      <c r="L280" s="43">
        <v>3.427178202586679</v>
      </c>
      <c r="M280" s="42">
        <v>8.2909313488943788</v>
      </c>
    </row>
    <row r="281" spans="1:13" x14ac:dyDescent="0.2">
      <c r="A281" s="41">
        <v>280</v>
      </c>
      <c r="B281" s="42">
        <v>23.333333333333332</v>
      </c>
      <c r="C281" s="41">
        <v>618.07869773657831</v>
      </c>
      <c r="D281" s="43">
        <v>4697.3981027979953</v>
      </c>
      <c r="E281" s="44">
        <v>113.41629999999998</v>
      </c>
      <c r="F281" s="44">
        <v>182.78250564354522</v>
      </c>
      <c r="G281" s="44">
        <v>296.1988056435452</v>
      </c>
      <c r="H281" s="45">
        <v>0.47922506750068172</v>
      </c>
      <c r="I281" s="43">
        <v>11146670.78267746</v>
      </c>
      <c r="J281" s="43">
        <v>155555.55555555556</v>
      </c>
      <c r="K281" s="43">
        <v>1.3955337749572496E-2</v>
      </c>
      <c r="L281" s="43">
        <v>3.4411335403362515</v>
      </c>
      <c r="M281" s="42">
        <v>8.3118133193956059</v>
      </c>
    </row>
    <row r="282" spans="1:13" x14ac:dyDescent="0.2">
      <c r="A282" s="41">
        <v>281</v>
      </c>
      <c r="B282" s="42">
        <v>23.416666666666668</v>
      </c>
      <c r="C282" s="41">
        <v>618.07931351810328</v>
      </c>
      <c r="D282" s="43">
        <v>4697.4027827375849</v>
      </c>
      <c r="E282" s="44">
        <v>113.41629999999998</v>
      </c>
      <c r="F282" s="44">
        <v>186.82139722424319</v>
      </c>
      <c r="G282" s="44">
        <v>300.23769722424316</v>
      </c>
      <c r="H282" s="45">
        <v>0.48575917468470547</v>
      </c>
      <c r="I282" s="43">
        <v>9825814.3462831788</v>
      </c>
      <c r="J282" s="43">
        <v>155555.55555555556</v>
      </c>
      <c r="K282" s="43">
        <v>1.5831314339294199E-2</v>
      </c>
      <c r="L282" s="43">
        <v>3.4569648546755456</v>
      </c>
      <c r="M282" s="42">
        <v>8.335414068276533</v>
      </c>
    </row>
    <row r="283" spans="1:13" x14ac:dyDescent="0.2">
      <c r="A283" s="41">
        <v>282</v>
      </c>
      <c r="B283" s="42">
        <v>23.5</v>
      </c>
      <c r="C283" s="41">
        <v>618.07992493420397</v>
      </c>
      <c r="D283" s="43">
        <v>4697.40742949995</v>
      </c>
      <c r="E283" s="44">
        <v>113.41629999999998</v>
      </c>
      <c r="F283" s="44">
        <v>187.91733373626931</v>
      </c>
      <c r="G283" s="44">
        <v>301.33363373626929</v>
      </c>
      <c r="H283" s="45">
        <v>0.48753182489844976</v>
      </c>
      <c r="I283" s="43">
        <v>9498065.0672099292</v>
      </c>
      <c r="J283" s="43">
        <v>155555.55555555556</v>
      </c>
      <c r="K283" s="43">
        <v>1.6377604749474542E-2</v>
      </c>
      <c r="L283" s="43">
        <v>3.47334245942502</v>
      </c>
      <c r="M283" s="42">
        <v>8.3597309195154565</v>
      </c>
    </row>
    <row r="284" spans="1:13" x14ac:dyDescent="0.2">
      <c r="A284" s="41">
        <v>283</v>
      </c>
      <c r="B284" s="42">
        <v>23.583333333333332</v>
      </c>
      <c r="C284" s="41">
        <v>618.08053203113832</v>
      </c>
      <c r="D284" s="43">
        <v>4697.4120434366514</v>
      </c>
      <c r="E284" s="44">
        <v>113.41629999999998</v>
      </c>
      <c r="F284" s="44">
        <v>185.45207455728433</v>
      </c>
      <c r="G284" s="44">
        <v>298.86837455728431</v>
      </c>
      <c r="H284" s="45">
        <v>0.48354277326150696</v>
      </c>
      <c r="I284" s="43">
        <v>10253356.03234992</v>
      </c>
      <c r="J284" s="43">
        <v>155555.55555555556</v>
      </c>
      <c r="K284" s="43">
        <v>1.5171184445831098E-2</v>
      </c>
      <c r="L284" s="43">
        <v>3.4885136438708511</v>
      </c>
      <c r="M284" s="42">
        <v>8.3821678202307073</v>
      </c>
    </row>
    <row r="285" spans="1:13" x14ac:dyDescent="0.2">
      <c r="A285" s="41">
        <v>284</v>
      </c>
      <c r="B285" s="42">
        <v>23.666666666666668</v>
      </c>
      <c r="C285" s="41">
        <v>618.08113485451213</v>
      </c>
      <c r="D285" s="43">
        <v>4697.416624894292</v>
      </c>
      <c r="E285" s="44">
        <v>113.41629999999998</v>
      </c>
      <c r="F285" s="44">
        <v>181.45262047368692</v>
      </c>
      <c r="G285" s="44">
        <v>294.8689204736869</v>
      </c>
      <c r="H285" s="45">
        <v>0.47707154262699675</v>
      </c>
      <c r="I285" s="43">
        <v>11624180.103133354</v>
      </c>
      <c r="J285" s="43">
        <v>155555.55555555556</v>
      </c>
      <c r="K285" s="43">
        <v>1.3382066879162068E-2</v>
      </c>
      <c r="L285" s="43">
        <v>3.5018957107500133</v>
      </c>
      <c r="M285" s="42">
        <v>8.4018883137671523</v>
      </c>
    </row>
    <row r="286" spans="1:13" x14ac:dyDescent="0.2">
      <c r="A286" s="41">
        <v>285</v>
      </c>
      <c r="B286" s="42">
        <v>23.75</v>
      </c>
      <c r="C286" s="41">
        <v>618.08173344929185</v>
      </c>
      <c r="D286" s="43">
        <v>4697.4211742146181</v>
      </c>
      <c r="E286" s="44">
        <v>113.41629999999998</v>
      </c>
      <c r="F286" s="44">
        <v>177.99321753793365</v>
      </c>
      <c r="G286" s="44">
        <v>291.40951753793365</v>
      </c>
      <c r="H286" s="45">
        <v>0.47147408144822844</v>
      </c>
      <c r="I286" s="43">
        <v>12974777.467877589</v>
      </c>
      <c r="J286" s="43">
        <v>155555.55555555556</v>
      </c>
      <c r="K286" s="43">
        <v>1.1989073102846927E-2</v>
      </c>
      <c r="L286" s="43">
        <v>3.5138847838528604</v>
      </c>
      <c r="M286" s="42">
        <v>8.4195001928109097</v>
      </c>
    </row>
    <row r="287" spans="1:13" x14ac:dyDescent="0.2">
      <c r="A287" s="41">
        <v>286</v>
      </c>
      <c r="B287" s="42">
        <v>23.833333333333332</v>
      </c>
      <c r="C287" s="41">
        <v>618.082327859815</v>
      </c>
      <c r="D287" s="43">
        <v>4697.4256917345947</v>
      </c>
      <c r="E287" s="44">
        <v>113.41629999999998</v>
      </c>
      <c r="F287" s="44">
        <v>174.53380671962265</v>
      </c>
      <c r="G287" s="44">
        <v>287.95010671962262</v>
      </c>
      <c r="H287" s="45">
        <v>0.46587662151203185</v>
      </c>
      <c r="I287" s="43">
        <v>14501323.653648676</v>
      </c>
      <c r="J287" s="43">
        <v>155555.55555555556</v>
      </c>
      <c r="K287" s="43">
        <v>1.0726990119720295E-2</v>
      </c>
      <c r="L287" s="43">
        <v>3.5246117739725809</v>
      </c>
      <c r="M287" s="42">
        <v>8.4352135379991129</v>
      </c>
    </row>
    <row r="288" spans="1:13" x14ac:dyDescent="0.2">
      <c r="A288" s="41">
        <v>287</v>
      </c>
      <c r="B288" s="42">
        <v>23.916666666666668</v>
      </c>
      <c r="C288" s="41">
        <v>618.08291812980178</v>
      </c>
      <c r="D288" s="43">
        <v>4697.4301777864939</v>
      </c>
      <c r="E288" s="44">
        <v>113.41629999999998</v>
      </c>
      <c r="F288" s="44">
        <v>171.34051004716827</v>
      </c>
      <c r="G288" s="44">
        <v>284.75681004716824</v>
      </c>
      <c r="H288" s="45">
        <v>0.46070972307208674</v>
      </c>
      <c r="I288" s="43">
        <v>16088570.784431176</v>
      </c>
      <c r="J288" s="43">
        <v>155555.55555555556</v>
      </c>
      <c r="K288" s="43">
        <v>9.6686994537815533E-3</v>
      </c>
      <c r="L288" s="43">
        <v>3.5342804734263624</v>
      </c>
      <c r="M288" s="42">
        <v>8.4493407404537759</v>
      </c>
    </row>
    <row r="289" spans="1:13" x14ac:dyDescent="0.2">
      <c r="A289" s="41">
        <v>288</v>
      </c>
      <c r="B289" s="42">
        <v>24</v>
      </c>
      <c r="C289" s="41">
        <v>618.08350430236476</v>
      </c>
      <c r="D289" s="43">
        <v>4697.4346326979721</v>
      </c>
      <c r="E289" s="44">
        <v>113.41629999999998</v>
      </c>
      <c r="F289" s="44">
        <v>169.74393935111053</v>
      </c>
      <c r="G289" s="44">
        <v>283.16023935111048</v>
      </c>
      <c r="H289" s="45">
        <v>0.45812618744891997</v>
      </c>
      <c r="I289" s="43">
        <v>16953649.974132363</v>
      </c>
      <c r="J289" s="43">
        <v>155555.55555555556</v>
      </c>
      <c r="K289" s="43">
        <v>9.1753431144856717E-3</v>
      </c>
      <c r="L289" s="43">
        <v>3.5434558165408481</v>
      </c>
      <c r="M289" s="42">
        <v>8.462715702809767</v>
      </c>
    </row>
    <row r="290" spans="1:13" x14ac:dyDescent="0.2">
      <c r="A290" s="41">
        <v>289</v>
      </c>
      <c r="B290" s="42">
        <v>24.083333333333332</v>
      </c>
      <c r="C290" s="41">
        <v>618.08408642002064</v>
      </c>
      <c r="D290" s="43">
        <v>4697.4390567921564</v>
      </c>
      <c r="E290" s="44">
        <v>113.41629999999998</v>
      </c>
      <c r="F290" s="44">
        <v>169.47797676869692</v>
      </c>
      <c r="G290" s="44">
        <v>282.8942767686969</v>
      </c>
      <c r="H290" s="45">
        <v>0.45769545436323589</v>
      </c>
      <c r="I290" s="43">
        <v>17102827.212397393</v>
      </c>
      <c r="J290" s="43">
        <v>155555.55555555556</v>
      </c>
      <c r="K290" s="43">
        <v>9.0953123494574867E-3</v>
      </c>
      <c r="L290" s="43">
        <v>3.5525511288903058</v>
      </c>
      <c r="M290" s="42">
        <v>8.4759439356593393</v>
      </c>
    </row>
    <row r="291" spans="1:13" x14ac:dyDescent="0.2">
      <c r="A291" s="41">
        <v>290</v>
      </c>
      <c r="B291" s="42">
        <v>24.166666666666668</v>
      </c>
      <c r="C291" s="41">
        <v>618.08466452469997</v>
      </c>
      <c r="D291" s="43">
        <v>4697.4434503877201</v>
      </c>
      <c r="E291" s="44">
        <v>113.41629999999998</v>
      </c>
      <c r="F291" s="44">
        <v>172.13936226416752</v>
      </c>
      <c r="G291" s="44">
        <v>285.55566226416749</v>
      </c>
      <c r="H291" s="45">
        <v>0.46200088540257916</v>
      </c>
      <c r="I291" s="43">
        <v>15674643.804402413</v>
      </c>
      <c r="J291" s="43">
        <v>155555.55555555556</v>
      </c>
      <c r="K291" s="43">
        <v>9.9240249090614685E-3</v>
      </c>
      <c r="L291" s="43">
        <v>3.5624751537993671</v>
      </c>
      <c r="M291" s="42">
        <v>8.4903434055740981</v>
      </c>
    </row>
    <row r="292" spans="1:13" x14ac:dyDescent="0.2">
      <c r="A292" s="41">
        <v>291</v>
      </c>
      <c r="B292" s="42">
        <v>24.25</v>
      </c>
      <c r="C292" s="41">
        <v>618.08523865775658</v>
      </c>
      <c r="D292" s="43">
        <v>4697.4478137989499</v>
      </c>
      <c r="E292" s="44">
        <v>113.41629999999998</v>
      </c>
      <c r="F292" s="44">
        <v>176.9297351760348</v>
      </c>
      <c r="G292" s="44">
        <v>290.34603517603477</v>
      </c>
      <c r="H292" s="45">
        <v>0.46975079975466605</v>
      </c>
      <c r="I292" s="43">
        <v>13424897.252538398</v>
      </c>
      <c r="J292" s="43">
        <v>155555.55555555556</v>
      </c>
      <c r="K292" s="43">
        <v>1.1587094681573292E-2</v>
      </c>
      <c r="L292" s="43">
        <v>3.5740622484809403</v>
      </c>
      <c r="M292" s="42">
        <v>8.5071111402256818</v>
      </c>
    </row>
    <row r="293" spans="1:13" x14ac:dyDescent="0.2">
      <c r="A293" s="41">
        <v>292</v>
      </c>
      <c r="B293" s="42">
        <v>24.333333333333332</v>
      </c>
      <c r="C293" s="41">
        <v>618.08580885997856</v>
      </c>
      <c r="D293" s="43">
        <v>4697.4521473358363</v>
      </c>
      <c r="E293" s="44">
        <v>113.41629999999998</v>
      </c>
      <c r="F293" s="44">
        <v>182.78460859412056</v>
      </c>
      <c r="G293" s="44">
        <v>296.20090859412051</v>
      </c>
      <c r="H293" s="45">
        <v>0.47922295634071416</v>
      </c>
      <c r="I293" s="43">
        <v>11147128.128704837</v>
      </c>
      <c r="J293" s="43">
        <v>155555.55555555556</v>
      </c>
      <c r="K293" s="43">
        <v>1.3954765187903987E-2</v>
      </c>
      <c r="L293" s="43">
        <v>3.5880170136688445</v>
      </c>
      <c r="M293" s="42">
        <v>8.5272413315927178</v>
      </c>
    </row>
    <row r="294" spans="1:13" x14ac:dyDescent="0.2">
      <c r="A294" s="41">
        <v>293</v>
      </c>
      <c r="B294" s="42">
        <v>24.416666666666668</v>
      </c>
      <c r="C294" s="41">
        <v>618.08637517159718</v>
      </c>
      <c r="D294" s="43">
        <v>4697.4564513041387</v>
      </c>
      <c r="E294" s="44">
        <v>113.41629999999998</v>
      </c>
      <c r="F294" s="44">
        <v>186.82353168812767</v>
      </c>
      <c r="G294" s="44">
        <v>300.23983168812765</v>
      </c>
      <c r="H294" s="45">
        <v>0.48575707821544051</v>
      </c>
      <c r="I294" s="43">
        <v>9826209.3070553765</v>
      </c>
      <c r="J294" s="43">
        <v>155555.55555555556</v>
      </c>
      <c r="K294" s="43">
        <v>1.5830678005593079E-2</v>
      </c>
      <c r="L294" s="43">
        <v>3.6038476916744377</v>
      </c>
      <c r="M294" s="42">
        <v>8.5499935658848756</v>
      </c>
    </row>
    <row r="295" spans="1:13" x14ac:dyDescent="0.2">
      <c r="A295" s="41">
        <v>294</v>
      </c>
      <c r="B295" s="42">
        <v>24.5</v>
      </c>
      <c r="C295" s="41">
        <v>618.08693763229644</v>
      </c>
      <c r="D295" s="43">
        <v>4697.4607260054527</v>
      </c>
      <c r="E295" s="44">
        <v>113.41629999999998</v>
      </c>
      <c r="F295" s="44">
        <v>187.91946583516892</v>
      </c>
      <c r="G295" s="44">
        <v>301.3357658351689</v>
      </c>
      <c r="H295" s="45">
        <v>0.48752974296705703</v>
      </c>
      <c r="I295" s="43">
        <v>9498442.8275867999</v>
      </c>
      <c r="J295" s="43">
        <v>155555.55555555556</v>
      </c>
      <c r="K295" s="43">
        <v>1.6376953399537007E-2</v>
      </c>
      <c r="L295" s="43">
        <v>3.6202246450739746</v>
      </c>
      <c r="M295" s="42">
        <v>8.5734374196209888</v>
      </c>
    </row>
    <row r="296" spans="1:13" x14ac:dyDescent="0.2">
      <c r="A296" s="41">
        <v>295</v>
      </c>
      <c r="B296" s="42">
        <v>24.583333333333332</v>
      </c>
      <c r="C296" s="41">
        <v>618.08749628122303</v>
      </c>
      <c r="D296" s="43">
        <v>4697.4649717372949</v>
      </c>
      <c r="E296" s="44">
        <v>113.41629999999998</v>
      </c>
      <c r="F296" s="44">
        <v>185.45416414684266</v>
      </c>
      <c r="G296" s="44">
        <v>298.87046414684266</v>
      </c>
      <c r="H296" s="45">
        <v>0.48354070571726931</v>
      </c>
      <c r="I296" s="43">
        <v>10253764.355293155</v>
      </c>
      <c r="J296" s="43">
        <v>155555.55555555556</v>
      </c>
      <c r="K296" s="43">
        <v>1.5170580302565207E-2</v>
      </c>
      <c r="L296" s="43">
        <v>3.6353952253765396</v>
      </c>
      <c r="M296" s="42">
        <v>8.5950699456452408</v>
      </c>
    </row>
    <row r="297" spans="1:13" x14ac:dyDescent="0.2">
      <c r="A297" s="41">
        <v>296</v>
      </c>
      <c r="B297" s="42">
        <v>24.666666666666668</v>
      </c>
      <c r="C297" s="41">
        <v>618.08805115699408</v>
      </c>
      <c r="D297" s="43">
        <v>4697.4691887931558</v>
      </c>
      <c r="E297" s="44">
        <v>113.41629999999998</v>
      </c>
      <c r="F297" s="44">
        <v>181.45465092104826</v>
      </c>
      <c r="G297" s="44">
        <v>294.87095092104823</v>
      </c>
      <c r="H297" s="45">
        <v>0.47706948932127335</v>
      </c>
      <c r="I297" s="43">
        <v>11624646.06495137</v>
      </c>
      <c r="J297" s="43">
        <v>155555.55555555556</v>
      </c>
      <c r="K297" s="43">
        <v>1.3381530472962947E-2</v>
      </c>
      <c r="L297" s="43">
        <v>3.6487767558495023</v>
      </c>
      <c r="M297" s="42">
        <v>8.6140843440983357</v>
      </c>
    </row>
    <row r="298" spans="1:13" x14ac:dyDescent="0.2">
      <c r="A298" s="41">
        <v>297</v>
      </c>
      <c r="B298" s="42">
        <v>24.75</v>
      </c>
      <c r="C298" s="41">
        <v>618.08860229770721</v>
      </c>
      <c r="D298" s="43">
        <v>4697.4733774625756</v>
      </c>
      <c r="E298" s="44">
        <v>113.41629999999998</v>
      </c>
      <c r="F298" s="44">
        <v>177.99519560711784</v>
      </c>
      <c r="G298" s="44">
        <v>291.41149560711779</v>
      </c>
      <c r="H298" s="45">
        <v>0.47147204223441924</v>
      </c>
      <c r="I298" s="43">
        <v>12975300.132133581</v>
      </c>
      <c r="J298" s="43">
        <v>155555.55555555556</v>
      </c>
      <c r="K298" s="43">
        <v>1.1988590165272496E-2</v>
      </c>
      <c r="L298" s="43">
        <v>3.6607653460147747</v>
      </c>
      <c r="M298" s="42">
        <v>8.6310663377331114</v>
      </c>
    </row>
    <row r="299" spans="1:13" x14ac:dyDescent="0.2">
      <c r="A299" s="41">
        <v>298</v>
      </c>
      <c r="B299" s="42">
        <v>24.833333333333332</v>
      </c>
      <c r="C299" s="41">
        <v>618.08914974094887</v>
      </c>
      <c r="D299" s="43">
        <v>4697.4775380312112</v>
      </c>
      <c r="E299" s="44">
        <v>113.41629999999998</v>
      </c>
      <c r="F299" s="44">
        <v>174.53573307931552</v>
      </c>
      <c r="G299" s="44">
        <v>287.95203307931547</v>
      </c>
      <c r="H299" s="45">
        <v>0.46587459624554289</v>
      </c>
      <c r="I299" s="43">
        <v>14501910.787197344</v>
      </c>
      <c r="J299" s="43">
        <v>155555.55555555556</v>
      </c>
      <c r="K299" s="43">
        <v>1.0726555820001593E-2</v>
      </c>
      <c r="L299" s="43">
        <v>3.6714919018347763</v>
      </c>
      <c r="M299" s="42">
        <v>8.6462182650144328</v>
      </c>
    </row>
    <row r="300" spans="1:13" x14ac:dyDescent="0.2">
      <c r="A300" s="41">
        <v>299</v>
      </c>
      <c r="B300" s="42">
        <v>24.916666666666668</v>
      </c>
      <c r="C300" s="41">
        <v>618.08969352380302</v>
      </c>
      <c r="D300" s="43">
        <v>4697.4816707809023</v>
      </c>
      <c r="E300" s="44">
        <v>113.41629999999998</v>
      </c>
      <c r="F300" s="44">
        <v>171.34238827326038</v>
      </c>
      <c r="G300" s="44">
        <v>284.75868827326036</v>
      </c>
      <c r="H300" s="45">
        <v>0.46070771161029578</v>
      </c>
      <c r="I300" s="43">
        <v>16089224.998544032</v>
      </c>
      <c r="J300" s="43">
        <v>155555.55555555556</v>
      </c>
      <c r="K300" s="43">
        <v>9.6683063087023968E-3</v>
      </c>
      <c r="L300" s="43">
        <v>3.6811602081434787</v>
      </c>
      <c r="M300" s="42">
        <v>8.6598411778885911</v>
      </c>
    </row>
    <row r="301" spans="1:13" x14ac:dyDescent="0.2">
      <c r="A301" s="41">
        <v>300</v>
      </c>
      <c r="B301" s="42">
        <v>25</v>
      </c>
      <c r="C301" s="41">
        <v>618.09023368285898</v>
      </c>
      <c r="D301" s="43">
        <v>4697.4857759897277</v>
      </c>
      <c r="E301" s="44">
        <v>113.41629999999998</v>
      </c>
      <c r="F301" s="44">
        <v>169.74578743724535</v>
      </c>
      <c r="G301" s="44">
        <v>283.1620874372453</v>
      </c>
      <c r="H301" s="45">
        <v>0.45812418965114288</v>
      </c>
      <c r="I301" s="43">
        <v>16954338.543411195</v>
      </c>
      <c r="J301" s="43">
        <v>155555.55555555556</v>
      </c>
      <c r="K301" s="43">
        <v>9.174970474799659E-3</v>
      </c>
      <c r="L301" s="43">
        <v>3.6903351786182785</v>
      </c>
      <c r="M301" s="42">
        <v>8.6727391055683736</v>
      </c>
    </row>
    <row r="302" spans="1:13" x14ac:dyDescent="0.2">
      <c r="A302" s="41">
        <v>301</v>
      </c>
      <c r="B302" s="42">
        <v>25.083333333333332</v>
      </c>
      <c r="C302" s="41">
        <v>618.09077025422027</v>
      </c>
      <c r="D302" s="43">
        <v>4697.4898539320739</v>
      </c>
      <c r="E302" s="44">
        <v>113.41629999999998</v>
      </c>
      <c r="F302" s="44">
        <v>169.47980946868404</v>
      </c>
      <c r="G302" s="44">
        <v>282.89610946868402</v>
      </c>
      <c r="H302" s="45">
        <v>0.45769347009069405</v>
      </c>
      <c r="I302" s="43">
        <v>17103517.786991153</v>
      </c>
      <c r="J302" s="43">
        <v>155555.55555555556</v>
      </c>
      <c r="K302" s="43">
        <v>9.094945115552212E-3</v>
      </c>
      <c r="L302" s="43">
        <v>3.6994301237338307</v>
      </c>
      <c r="M302" s="42">
        <v>8.6854959254238384</v>
      </c>
    </row>
    <row r="303" spans="1:13" x14ac:dyDescent="0.2">
      <c r="A303" s="41">
        <v>302</v>
      </c>
      <c r="B303" s="42">
        <v>25.166666666666668</v>
      </c>
      <c r="C303" s="41">
        <v>618.09130327351249</v>
      </c>
      <c r="D303" s="43">
        <v>4697.4939048786946</v>
      </c>
      <c r="E303" s="44">
        <v>113.41629999999998</v>
      </c>
      <c r="F303" s="44">
        <v>172.14121118560561</v>
      </c>
      <c r="G303" s="44">
        <v>285.55751118560556</v>
      </c>
      <c r="H303" s="45">
        <v>0.461998914518367</v>
      </c>
      <c r="I303" s="43">
        <v>15675266.583163088</v>
      </c>
      <c r="J303" s="43">
        <v>155555.55555555556</v>
      </c>
      <c r="K303" s="43">
        <v>9.9236306272863558E-3</v>
      </c>
      <c r="L303" s="43">
        <v>3.7093537543611173</v>
      </c>
      <c r="M303" s="42">
        <v>8.6993826885347136</v>
      </c>
    </row>
    <row r="304" spans="1:13" x14ac:dyDescent="0.2">
      <c r="A304" s="41">
        <v>303</v>
      </c>
      <c r="B304" s="42">
        <v>25.25</v>
      </c>
      <c r="C304" s="41">
        <v>618.09183277589079</v>
      </c>
      <c r="D304" s="43">
        <v>4697.4979290967703</v>
      </c>
      <c r="E304" s="44">
        <v>113.41629999999998</v>
      </c>
      <c r="F304" s="44">
        <v>176.93162277260279</v>
      </c>
      <c r="G304" s="44">
        <v>290.34792277260277</v>
      </c>
      <c r="H304" s="45">
        <v>0.46974884212372015</v>
      </c>
      <c r="I304" s="43">
        <v>13425418.317478752</v>
      </c>
      <c r="J304" s="43">
        <v>155555.55555555556</v>
      </c>
      <c r="K304" s="43">
        <v>1.1586644965321897E-2</v>
      </c>
      <c r="L304" s="43">
        <v>3.7209403993264392</v>
      </c>
      <c r="M304" s="42">
        <v>8.715553981406444</v>
      </c>
    </row>
    <row r="305" spans="1:13" x14ac:dyDescent="0.2">
      <c r="A305" s="41">
        <v>304</v>
      </c>
      <c r="B305" s="42">
        <v>25.333333333333332</v>
      </c>
      <c r="C305" s="41">
        <v>618.09235879604842</v>
      </c>
      <c r="D305" s="43">
        <v>4697.5019268499682</v>
      </c>
      <c r="E305" s="44">
        <v>113.41629999999998</v>
      </c>
      <c r="F305" s="44">
        <v>182.78654558649879</v>
      </c>
      <c r="G305" s="44">
        <v>296.20284558649877</v>
      </c>
      <c r="H305" s="45">
        <v>0.47922101182978166</v>
      </c>
      <c r="I305" s="43">
        <v>11147549.391506061</v>
      </c>
      <c r="J305" s="43">
        <v>155555.55555555556</v>
      </c>
      <c r="K305" s="43">
        <v>1.3954237841196022E-2</v>
      </c>
      <c r="L305" s="43">
        <v>3.7348946371676353</v>
      </c>
      <c r="M305" s="42">
        <v>8.7349689639216574</v>
      </c>
    </row>
    <row r="306" spans="1:13" x14ac:dyDescent="0.2">
      <c r="A306" s="41">
        <v>305</v>
      </c>
      <c r="B306" s="42">
        <v>25.416666666666668</v>
      </c>
      <c r="C306" s="41">
        <v>618.09288136822317</v>
      </c>
      <c r="D306" s="43">
        <v>4697.5058983984964</v>
      </c>
      <c r="E306" s="44">
        <v>113.41629999999998</v>
      </c>
      <c r="F306" s="44">
        <v>186.82549825895069</v>
      </c>
      <c r="G306" s="44">
        <v>300.24179825895067</v>
      </c>
      <c r="H306" s="45">
        <v>0.48575514669304914</v>
      </c>
      <c r="I306" s="43">
        <v>9826573.2085012384</v>
      </c>
      <c r="J306" s="43">
        <v>155555.55555555556</v>
      </c>
      <c r="K306" s="43">
        <v>1.5830091757824606E-2</v>
      </c>
      <c r="L306" s="43">
        <v>3.7507247289254599</v>
      </c>
      <c r="M306" s="42">
        <v>8.7569139248260033</v>
      </c>
    </row>
    <row r="307" spans="1:13" x14ac:dyDescent="0.2">
      <c r="A307" s="41">
        <v>306</v>
      </c>
      <c r="B307" s="42">
        <v>25.5</v>
      </c>
      <c r="C307" s="41">
        <v>618.09340052620598</v>
      </c>
      <c r="D307" s="43">
        <v>4697.5098439991652</v>
      </c>
      <c r="E307" s="44">
        <v>113.41629999999998</v>
      </c>
      <c r="F307" s="44">
        <v>187.92143077488421</v>
      </c>
      <c r="G307" s="44">
        <v>301.33773077488422</v>
      </c>
      <c r="H307" s="45">
        <v>0.48752782430348579</v>
      </c>
      <c r="I307" s="43">
        <v>9498790.9782255292</v>
      </c>
      <c r="J307" s="43">
        <v>155555.55555555556</v>
      </c>
      <c r="K307" s="43">
        <v>1.6376353149800009E-2</v>
      </c>
      <c r="L307" s="43">
        <v>3.7671010820752597</v>
      </c>
      <c r="M307" s="42">
        <v>8.7795271743396146</v>
      </c>
    </row>
    <row r="308" spans="1:13" x14ac:dyDescent="0.2">
      <c r="A308" s="41">
        <v>307</v>
      </c>
      <c r="B308" s="42">
        <v>25.583333333333332</v>
      </c>
      <c r="C308" s="41">
        <v>618.09391630334756</v>
      </c>
      <c r="D308" s="43">
        <v>4697.513763905441</v>
      </c>
      <c r="E308" s="44">
        <v>113.41629999999998</v>
      </c>
      <c r="F308" s="44">
        <v>185.45609044343345</v>
      </c>
      <c r="G308" s="44">
        <v>298.87239044343346</v>
      </c>
      <c r="H308" s="45">
        <v>0.48353879978451875</v>
      </c>
      <c r="I308" s="43">
        <v>10254140.777250459</v>
      </c>
      <c r="J308" s="43">
        <v>155555.55555555556</v>
      </c>
      <c r="K308" s="43">
        <v>1.5170023401733145E-2</v>
      </c>
      <c r="L308" s="43">
        <v>3.7822711054769931</v>
      </c>
      <c r="M308" s="42">
        <v>8.8003943530817299</v>
      </c>
    </row>
    <row r="309" spans="1:13" x14ac:dyDescent="0.2">
      <c r="A309" s="41">
        <v>308</v>
      </c>
      <c r="B309" s="42">
        <v>25.666666666666668</v>
      </c>
      <c r="C309" s="41">
        <v>618.09442873256569</v>
      </c>
      <c r="D309" s="43">
        <v>4697.5176583674984</v>
      </c>
      <c r="E309" s="44">
        <v>113.41629999999998</v>
      </c>
      <c r="F309" s="44">
        <v>181.45652321213501</v>
      </c>
      <c r="G309" s="44">
        <v>294.87282321213502</v>
      </c>
      <c r="H309" s="45">
        <v>0.47706759599303761</v>
      </c>
      <c r="I309" s="43">
        <v>11625075.741006272</v>
      </c>
      <c r="J309" s="43">
        <v>155555.55555555556</v>
      </c>
      <c r="K309" s="43">
        <v>1.338103587633835E-2</v>
      </c>
      <c r="L309" s="43">
        <v>3.7956521413533313</v>
      </c>
      <c r="M309" s="42">
        <v>8.8187368889818512</v>
      </c>
    </row>
    <row r="310" spans="1:13" x14ac:dyDescent="0.2">
      <c r="A310" s="41">
        <v>309</v>
      </c>
      <c r="B310" s="42">
        <v>25.75</v>
      </c>
      <c r="C310" s="41">
        <v>618.09493784635185</v>
      </c>
      <c r="D310" s="43">
        <v>4697.5215276322733</v>
      </c>
      <c r="E310" s="44">
        <v>113.41629999999998</v>
      </c>
      <c r="F310" s="44">
        <v>177.99702009832518</v>
      </c>
      <c r="G310" s="44">
        <v>291.41332009832513</v>
      </c>
      <c r="H310" s="45">
        <v>0.47147016138605824</v>
      </c>
      <c r="I310" s="43">
        <v>12975782.226926444</v>
      </c>
      <c r="J310" s="43">
        <v>155555.55555555556</v>
      </c>
      <c r="K310" s="43">
        <v>1.1988144748048981E-2</v>
      </c>
      <c r="L310" s="43">
        <v>3.8076402861013801</v>
      </c>
      <c r="M310" s="42">
        <v>8.8351195137806968</v>
      </c>
    </row>
    <row r="311" spans="1:13" x14ac:dyDescent="0.2">
      <c r="A311" s="41">
        <v>310</v>
      </c>
      <c r="B311" s="42">
        <v>25.833333333333332</v>
      </c>
      <c r="C311" s="41">
        <v>618.09544367677893</v>
      </c>
      <c r="D311" s="43">
        <v>4697.5253719435195</v>
      </c>
      <c r="E311" s="44">
        <v>113.41629999999998</v>
      </c>
      <c r="F311" s="44">
        <v>174.53751035805354</v>
      </c>
      <c r="G311" s="44">
        <v>287.95381035805349</v>
      </c>
      <c r="H311" s="45">
        <v>0.46587272775405442</v>
      </c>
      <c r="I311" s="43">
        <v>14502452.49433944</v>
      </c>
      <c r="J311" s="43">
        <v>155555.55555555556</v>
      </c>
      <c r="K311" s="43">
        <v>1.0726155153155758E-2</v>
      </c>
      <c r="L311" s="43">
        <v>3.8183664412545357</v>
      </c>
      <c r="M311" s="42">
        <v>8.849737205628891</v>
      </c>
    </row>
    <row r="312" spans="1:13" x14ac:dyDescent="0.2">
      <c r="A312" s="41">
        <v>311</v>
      </c>
      <c r="B312" s="42">
        <v>25.916666666666668</v>
      </c>
      <c r="C312" s="41">
        <v>618.0959462555071</v>
      </c>
      <c r="D312" s="43">
        <v>4697.5291915418547</v>
      </c>
      <c r="E312" s="44">
        <v>113.41629999999998</v>
      </c>
      <c r="F312" s="44">
        <v>171.34412161066214</v>
      </c>
      <c r="G312" s="44">
        <v>284.76042161066209</v>
      </c>
      <c r="H312" s="45">
        <v>0.4607058553542891</v>
      </c>
      <c r="I312" s="43">
        <v>16089828.759180082</v>
      </c>
      <c r="J312" s="43">
        <v>155555.55555555556</v>
      </c>
      <c r="K312" s="43">
        <v>9.6679435116301688E-3</v>
      </c>
      <c r="L312" s="43">
        <v>3.8280343847661658</v>
      </c>
      <c r="M312" s="42">
        <v>8.8628802315733246</v>
      </c>
    </row>
    <row r="313" spans="1:13" x14ac:dyDescent="0.2">
      <c r="A313" s="41">
        <v>312</v>
      </c>
      <c r="B313" s="42">
        <v>26</v>
      </c>
      <c r="C313" s="41">
        <v>618.09644561379093</v>
      </c>
      <c r="D313" s="43">
        <v>4697.5329866648108</v>
      </c>
      <c r="E313" s="44">
        <v>113.41629999999998</v>
      </c>
      <c r="F313" s="44">
        <v>169.74749341648609</v>
      </c>
      <c r="G313" s="44">
        <v>283.1637934164861</v>
      </c>
      <c r="H313" s="45">
        <v>0.45812234551081227</v>
      </c>
      <c r="I313" s="43">
        <v>16954974.179964069</v>
      </c>
      <c r="J313" s="43">
        <v>155555.55555555556</v>
      </c>
      <c r="K313" s="43">
        <v>9.174626508094464E-3</v>
      </c>
      <c r="L313" s="43">
        <v>3.8372090112742603</v>
      </c>
      <c r="M313" s="42">
        <v>8.8753241959601734</v>
      </c>
    </row>
    <row r="314" spans="1:13" x14ac:dyDescent="0.2">
      <c r="A314" s="41">
        <v>313</v>
      </c>
      <c r="B314" s="42">
        <v>26.083333333333332</v>
      </c>
      <c r="C314" s="41">
        <v>618.09694178248571</v>
      </c>
      <c r="D314" s="43">
        <v>4697.5367575468917</v>
      </c>
      <c r="E314" s="44">
        <v>113.41629999999998</v>
      </c>
      <c r="F314" s="44">
        <v>169.48150169494741</v>
      </c>
      <c r="G314" s="44">
        <v>282.89780169494736</v>
      </c>
      <c r="H314" s="45">
        <v>0.45769163794779272</v>
      </c>
      <c r="I314" s="43">
        <v>17104155.444226865</v>
      </c>
      <c r="J314" s="43">
        <v>155555.55555555556</v>
      </c>
      <c r="K314" s="43">
        <v>9.0946060483834031E-3</v>
      </c>
      <c r="L314" s="43">
        <v>3.8463036173226435</v>
      </c>
      <c r="M314" s="42">
        <v>8.8876323901506638</v>
      </c>
    </row>
    <row r="315" spans="1:13" x14ac:dyDescent="0.2">
      <c r="A315" s="41">
        <v>314</v>
      </c>
      <c r="B315" s="42">
        <v>26.166666666666668</v>
      </c>
      <c r="C315" s="41">
        <v>618.09743479205395</v>
      </c>
      <c r="D315" s="43">
        <v>4697.5405044196095</v>
      </c>
      <c r="E315" s="44">
        <v>113.41629999999998</v>
      </c>
      <c r="F315" s="44">
        <v>172.14291884112924</v>
      </c>
      <c r="G315" s="44">
        <v>285.55921884112922</v>
      </c>
      <c r="H315" s="45">
        <v>0.46199709425618257</v>
      </c>
      <c r="I315" s="43">
        <v>15675841.791280979</v>
      </c>
      <c r="J315" s="43">
        <v>155555.55555555556</v>
      </c>
      <c r="K315" s="43">
        <v>9.9232664903569478E-3</v>
      </c>
      <c r="L315" s="43">
        <v>3.8562268838130005</v>
      </c>
      <c r="M315" s="42">
        <v>8.9010312155082172</v>
      </c>
    </row>
    <row r="316" spans="1:13" x14ac:dyDescent="0.2">
      <c r="A316" s="41">
        <v>315</v>
      </c>
      <c r="B316" s="42">
        <v>26.25</v>
      </c>
      <c r="C316" s="41">
        <v>618.09792467257103</v>
      </c>
      <c r="D316" s="43">
        <v>4697.5442275115402</v>
      </c>
      <c r="E316" s="44">
        <v>113.41629999999998</v>
      </c>
      <c r="F316" s="44">
        <v>176.93336660597549</v>
      </c>
      <c r="G316" s="44">
        <v>290.34966660597547</v>
      </c>
      <c r="H316" s="45">
        <v>0.46974703362704906</v>
      </c>
      <c r="I316" s="43">
        <v>13425899.707074724</v>
      </c>
      <c r="J316" s="43">
        <v>155555.55555555556</v>
      </c>
      <c r="K316" s="43">
        <v>1.1586229522747455E-2</v>
      </c>
      <c r="L316" s="43">
        <v>3.8678131133357478</v>
      </c>
      <c r="M316" s="42">
        <v>8.9166348616907918</v>
      </c>
    </row>
    <row r="317" spans="1:13" x14ac:dyDescent="0.2">
      <c r="A317" s="41">
        <v>316</v>
      </c>
      <c r="B317" s="42">
        <v>26.333333333333332</v>
      </c>
      <c r="C317" s="41">
        <v>618.0984114537323</v>
      </c>
      <c r="D317" s="43">
        <v>4697.5479270483656</v>
      </c>
      <c r="E317" s="44">
        <v>113.41629999999998</v>
      </c>
      <c r="F317" s="44">
        <v>182.78833552027473</v>
      </c>
      <c r="G317" s="44">
        <v>296.20463552027468</v>
      </c>
      <c r="H317" s="45">
        <v>0.47921921498490544</v>
      </c>
      <c r="I317" s="43">
        <v>11147938.679304767</v>
      </c>
      <c r="J317" s="43">
        <v>155555.55555555556</v>
      </c>
      <c r="K317" s="43">
        <v>1.3953750556982492E-2</v>
      </c>
      <c r="L317" s="43">
        <v>3.8817668638927305</v>
      </c>
      <c r="M317" s="42">
        <v>8.9353691369632777</v>
      </c>
    </row>
    <row r="318" spans="1:13" x14ac:dyDescent="0.2">
      <c r="A318" s="41">
        <v>317</v>
      </c>
      <c r="B318" s="42">
        <v>26.416666666666668</v>
      </c>
      <c r="C318" s="41">
        <v>618.09889516485839</v>
      </c>
      <c r="D318" s="43">
        <v>4697.551603252924</v>
      </c>
      <c r="E318" s="44">
        <v>113.41629999999998</v>
      </c>
      <c r="F318" s="44">
        <v>186.82731599635986</v>
      </c>
      <c r="G318" s="44">
        <v>300.24361599635984</v>
      </c>
      <c r="H318" s="45">
        <v>0.48575336138771014</v>
      </c>
      <c r="I318" s="43">
        <v>9826909.5757274069</v>
      </c>
      <c r="J318" s="43">
        <v>155555.55555555556</v>
      </c>
      <c r="K318" s="43">
        <v>1.5829549906491436E-2</v>
      </c>
      <c r="L318" s="43">
        <v>3.8975964137992221</v>
      </c>
      <c r="M318" s="42">
        <v>8.9565457320499622</v>
      </c>
    </row>
    <row r="319" spans="1:13" x14ac:dyDescent="0.2">
      <c r="A319" s="41">
        <v>318</v>
      </c>
      <c r="B319" s="42">
        <v>26.5</v>
      </c>
      <c r="C319" s="41">
        <v>618.09937583490102</v>
      </c>
      <c r="D319" s="43">
        <v>4697.5552563452475</v>
      </c>
      <c r="E319" s="44">
        <v>113.41629999999998</v>
      </c>
      <c r="F319" s="44">
        <v>187.92324747209909</v>
      </c>
      <c r="G319" s="44">
        <v>301.33954747209907</v>
      </c>
      <c r="H319" s="45">
        <v>0.48752605042686392</v>
      </c>
      <c r="I319" s="43">
        <v>9499112.8691548537</v>
      </c>
      <c r="J319" s="43">
        <v>155555.55555555556</v>
      </c>
      <c r="K319" s="43">
        <v>1.637579821381736E-2</v>
      </c>
      <c r="L319" s="43">
        <v>3.9139722120130394</v>
      </c>
      <c r="M319" s="42">
        <v>8.9783683709034232</v>
      </c>
    </row>
    <row r="320" spans="1:13" x14ac:dyDescent="0.2">
      <c r="A320" s="41">
        <v>319</v>
      </c>
      <c r="B320" s="42">
        <v>26.583333333333332</v>
      </c>
      <c r="C320" s="41">
        <v>618.09985349244914</v>
      </c>
      <c r="D320" s="43">
        <v>4697.5588865426134</v>
      </c>
      <c r="E320" s="44">
        <v>113.41629999999998</v>
      </c>
      <c r="F320" s="44">
        <v>185.45787186831075</v>
      </c>
      <c r="G320" s="44">
        <v>298.87417186831073</v>
      </c>
      <c r="H320" s="45">
        <v>0.48353703722720887</v>
      </c>
      <c r="I320" s="43">
        <v>10254488.896159295</v>
      </c>
      <c r="J320" s="43">
        <v>155555.55555555556</v>
      </c>
      <c r="K320" s="43">
        <v>1.5169508410489104E-2</v>
      </c>
      <c r="L320" s="43">
        <v>3.9291417204235284</v>
      </c>
      <c r="M320" s="42">
        <v>8.9985070197134025</v>
      </c>
    </row>
    <row r="321" spans="1:13" x14ac:dyDescent="0.2">
      <c r="A321" s="41">
        <v>320</v>
      </c>
      <c r="B321" s="42">
        <v>26.666666666666668</v>
      </c>
      <c r="C321" s="41">
        <v>618.10032816573471</v>
      </c>
      <c r="D321" s="43">
        <v>4697.5624940595844</v>
      </c>
      <c r="E321" s="44">
        <v>113.41629999999998</v>
      </c>
      <c r="F321" s="44">
        <v>181.45825513299056</v>
      </c>
      <c r="G321" s="44">
        <v>294.87455513299051</v>
      </c>
      <c r="H321" s="45">
        <v>0.4770658446470265</v>
      </c>
      <c r="I321" s="43">
        <v>11625473.210962631</v>
      </c>
      <c r="J321" s="43">
        <v>155555.55555555556</v>
      </c>
      <c r="K321" s="43">
        <v>1.3380578384445395E-2</v>
      </c>
      <c r="L321" s="43">
        <v>3.9425222988079738</v>
      </c>
      <c r="M321" s="42">
        <v>9.0162099863710665</v>
      </c>
    </row>
    <row r="322" spans="1:13" x14ac:dyDescent="0.2">
      <c r="A322" s="41">
        <v>321</v>
      </c>
      <c r="B322" s="42">
        <v>26.75</v>
      </c>
      <c r="C322" s="41">
        <v>618.10079988263772</v>
      </c>
      <c r="D322" s="43">
        <v>4697.5660791080463</v>
      </c>
      <c r="E322" s="44">
        <v>113.41629999999998</v>
      </c>
      <c r="F322" s="44">
        <v>177.99870822894511</v>
      </c>
      <c r="G322" s="44">
        <v>291.41500822894511</v>
      </c>
      <c r="H322" s="45">
        <v>0.47146842114470283</v>
      </c>
      <c r="I322" s="43">
        <v>12976228.299316648</v>
      </c>
      <c r="J322" s="43">
        <v>155555.55555555556</v>
      </c>
      <c r="K322" s="43">
        <v>1.1987732642138194E-2</v>
      </c>
      <c r="L322" s="43">
        <v>3.9545100314501118</v>
      </c>
      <c r="M322" s="42">
        <v>9.032022029694982</v>
      </c>
    </row>
    <row r="323" spans="1:13" x14ac:dyDescent="0.2">
      <c r="A323" s="41">
        <v>322</v>
      </c>
      <c r="B323" s="42">
        <v>26.833333333333332</v>
      </c>
      <c r="C323" s="41">
        <v>618.10126867069198</v>
      </c>
      <c r="D323" s="43">
        <v>4697.5696418972593</v>
      </c>
      <c r="E323" s="44">
        <v>113.41629999999998</v>
      </c>
      <c r="F323" s="44">
        <v>174.53915521718631</v>
      </c>
      <c r="G323" s="44">
        <v>287.95545521718628</v>
      </c>
      <c r="H323" s="45">
        <v>0.46587099851205993</v>
      </c>
      <c r="I323" s="43">
        <v>14502953.850673791</v>
      </c>
      <c r="J323" s="43">
        <v>155555.55555555556</v>
      </c>
      <c r="K323" s="43">
        <v>1.0725784357945028E-2</v>
      </c>
      <c r="L323" s="43">
        <v>3.965235815808057</v>
      </c>
      <c r="M323" s="42">
        <v>9.0461311279261789</v>
      </c>
    </row>
    <row r="324" spans="1:13" x14ac:dyDescent="0.2">
      <c r="A324" s="41">
        <v>323</v>
      </c>
      <c r="B324" s="42">
        <v>26.916666666666668</v>
      </c>
      <c r="C324" s="41">
        <v>618.10173455709059</v>
      </c>
      <c r="D324" s="43">
        <v>4697.5731826338888</v>
      </c>
      <c r="E324" s="44">
        <v>113.41629999999998</v>
      </c>
      <c r="F324" s="44">
        <v>171.34572620207945</v>
      </c>
      <c r="G324" s="44">
        <v>284.76202620207943</v>
      </c>
      <c r="H324" s="45">
        <v>0.46070413700768792</v>
      </c>
      <c r="I324" s="43">
        <v>16090387.686151279</v>
      </c>
      <c r="J324" s="43">
        <v>155555.55555555556</v>
      </c>
      <c r="K324" s="43">
        <v>9.6676076791760313E-3</v>
      </c>
      <c r="L324" s="43">
        <v>3.9749034234872331</v>
      </c>
      <c r="M324" s="42">
        <v>9.0588172862136354</v>
      </c>
    </row>
    <row r="325" spans="1:13" x14ac:dyDescent="0.2">
      <c r="A325" s="41">
        <v>324</v>
      </c>
      <c r="B325" s="42">
        <v>27</v>
      </c>
      <c r="C325" s="41">
        <v>618.10219756869094</v>
      </c>
      <c r="D325" s="43">
        <v>4697.5767015220517</v>
      </c>
      <c r="E325" s="44">
        <v>113.41629999999998</v>
      </c>
      <c r="F325" s="44">
        <v>169.74907307275734</v>
      </c>
      <c r="G325" s="44">
        <v>283.16537307275735</v>
      </c>
      <c r="H325" s="45">
        <v>0.45812063795694336</v>
      </c>
      <c r="I325" s="43">
        <v>16955562.761554021</v>
      </c>
      <c r="J325" s="43">
        <v>155555.55555555556</v>
      </c>
      <c r="K325" s="43">
        <v>9.174308027585544E-3</v>
      </c>
      <c r="L325" s="43">
        <v>3.9840777315148186</v>
      </c>
      <c r="M325" s="42">
        <v>9.0708290505911684</v>
      </c>
    </row>
    <row r="326" spans="1:13" x14ac:dyDescent="0.2">
      <c r="A326" s="41">
        <v>325</v>
      </c>
      <c r="B326" s="42">
        <v>27.083333333333332</v>
      </c>
      <c r="C326" s="41">
        <v>618.10265773202025</v>
      </c>
      <c r="D326" s="43">
        <v>4697.580198763354</v>
      </c>
      <c r="E326" s="44">
        <v>113.41629999999998</v>
      </c>
      <c r="F326" s="44">
        <v>169.48306900202377</v>
      </c>
      <c r="G326" s="44">
        <v>282.89936900202372</v>
      </c>
      <c r="H326" s="45">
        <v>0.4576899410852806</v>
      </c>
      <c r="I326" s="43">
        <v>17104746.04208928</v>
      </c>
      <c r="J326" s="43">
        <v>155555.55555555556</v>
      </c>
      <c r="K326" s="43">
        <v>9.0942920270656678E-3</v>
      </c>
      <c r="L326" s="43">
        <v>3.9931720235418844</v>
      </c>
      <c r="M326" s="42">
        <v>9.0827101143121212</v>
      </c>
    </row>
    <row r="327" spans="1:13" x14ac:dyDescent="0.2">
      <c r="A327" s="41">
        <v>326</v>
      </c>
      <c r="B327" s="42">
        <v>27.166666666666668</v>
      </c>
      <c r="C327" s="41">
        <v>618.1031150732797</v>
      </c>
      <c r="D327" s="43">
        <v>4697.5836745569259</v>
      </c>
      <c r="E327" s="44">
        <v>113.41629999999998</v>
      </c>
      <c r="F327" s="44">
        <v>172.14450082502856</v>
      </c>
      <c r="G327" s="44">
        <v>285.56080082502854</v>
      </c>
      <c r="H327" s="45">
        <v>0.46199540798491795</v>
      </c>
      <c r="I327" s="43">
        <v>15676374.678736767</v>
      </c>
      <c r="J327" s="43">
        <v>155555.55555555556</v>
      </c>
      <c r="K327" s="43">
        <v>9.9229291684734423E-3</v>
      </c>
      <c r="L327" s="43">
        <v>4.0030949527103576</v>
      </c>
      <c r="M327" s="42">
        <v>9.0956443663845814</v>
      </c>
    </row>
    <row r="328" spans="1:13" x14ac:dyDescent="0.2">
      <c r="A328" s="41">
        <v>327</v>
      </c>
      <c r="B328" s="42">
        <v>27.25</v>
      </c>
      <c r="C328" s="41">
        <v>618.10356961835089</v>
      </c>
      <c r="D328" s="43">
        <v>4697.5871290994664</v>
      </c>
      <c r="E328" s="44">
        <v>113.41629999999998</v>
      </c>
      <c r="F328" s="44">
        <v>176.93498249760248</v>
      </c>
      <c r="G328" s="44">
        <v>290.35128249760248</v>
      </c>
      <c r="H328" s="45">
        <v>0.46974535784816834</v>
      </c>
      <c r="I328" s="43">
        <v>13426345.786621002</v>
      </c>
      <c r="J328" s="43">
        <v>155555.55555555556</v>
      </c>
      <c r="K328" s="43">
        <v>1.1585844579584904E-2</v>
      </c>
      <c r="L328" s="43">
        <v>4.0146807972899428</v>
      </c>
      <c r="M328" s="42">
        <v>9.1107075280298364</v>
      </c>
    </row>
    <row r="329" spans="1:13" x14ac:dyDescent="0.2">
      <c r="A329" s="41">
        <v>328</v>
      </c>
      <c r="B329" s="42">
        <v>27.333333333333332</v>
      </c>
      <c r="C329" s="41">
        <v>618.1040213927995</v>
      </c>
      <c r="D329" s="43">
        <v>4697.5905625852765</v>
      </c>
      <c r="E329" s="44">
        <v>113.41629999999998</v>
      </c>
      <c r="F329" s="44">
        <v>182.78999453024056</v>
      </c>
      <c r="G329" s="44">
        <v>296.20629453024054</v>
      </c>
      <c r="H329" s="45">
        <v>0.47921754960077201</v>
      </c>
      <c r="I329" s="43">
        <v>11148299.499476695</v>
      </c>
      <c r="J329" s="43">
        <v>155555.55555555556</v>
      </c>
      <c r="K329" s="43">
        <v>1.3953298937013433E-2</v>
      </c>
      <c r="L329" s="43">
        <v>4.0286340962269565</v>
      </c>
      <c r="M329" s="42">
        <v>9.1287936410503079</v>
      </c>
    </row>
    <row r="330" spans="1:13" x14ac:dyDescent="0.2">
      <c r="A330" s="41">
        <v>329</v>
      </c>
      <c r="B330" s="42">
        <v>27.416666666666668</v>
      </c>
      <c r="C330" s="41">
        <v>618.10447042188036</v>
      </c>
      <c r="D330" s="43">
        <v>4697.5939752062905</v>
      </c>
      <c r="E330" s="44">
        <v>113.41629999999998</v>
      </c>
      <c r="F330" s="44">
        <v>186.82900118025771</v>
      </c>
      <c r="G330" s="44">
        <v>300.24530118025768</v>
      </c>
      <c r="H330" s="45">
        <v>0.48575170630189518</v>
      </c>
      <c r="I330" s="43">
        <v>9827221.4198392741</v>
      </c>
      <c r="J330" s="43">
        <v>155555.55555555556</v>
      </c>
      <c r="K330" s="43">
        <v>1.5829047592386465E-2</v>
      </c>
      <c r="L330" s="43">
        <v>4.0444631438193426</v>
      </c>
      <c r="M330" s="42">
        <v>9.1492385712342159</v>
      </c>
    </row>
    <row r="331" spans="1:13" x14ac:dyDescent="0.2">
      <c r="A331" s="41">
        <v>330</v>
      </c>
      <c r="B331" s="42">
        <v>27.5</v>
      </c>
      <c r="C331" s="41">
        <v>618.10491673054264</v>
      </c>
      <c r="D331" s="43">
        <v>4697.5973671521233</v>
      </c>
      <c r="E331" s="44">
        <v>113.41629999999998</v>
      </c>
      <c r="F331" s="44">
        <v>187.92493209296038</v>
      </c>
      <c r="G331" s="44">
        <v>301.34123209296035</v>
      </c>
      <c r="H331" s="45">
        <v>0.48752440554412768</v>
      </c>
      <c r="I331" s="43">
        <v>9499411.3634090591</v>
      </c>
      <c r="J331" s="43">
        <v>155555.55555555556</v>
      </c>
      <c r="K331" s="43">
        <v>1.6375283647020761E-2</v>
      </c>
      <c r="L331" s="43">
        <v>4.0608384274663631</v>
      </c>
      <c r="M331" s="42">
        <v>9.1703083244840862</v>
      </c>
    </row>
    <row r="332" spans="1:13" x14ac:dyDescent="0.2">
      <c r="A332" s="41">
        <v>331</v>
      </c>
      <c r="B332" s="42">
        <v>27.583333333333332</v>
      </c>
      <c r="C332" s="41">
        <v>618.10536034343397</v>
      </c>
      <c r="D332" s="43">
        <v>4697.6007386100982</v>
      </c>
      <c r="E332" s="44">
        <v>113.41629999999998</v>
      </c>
      <c r="F332" s="44">
        <v>185.45952417231726</v>
      </c>
      <c r="G332" s="44">
        <v>298.87582417231727</v>
      </c>
      <c r="H332" s="45">
        <v>0.48353540245348264</v>
      </c>
      <c r="I332" s="43">
        <v>10254811.78850545</v>
      </c>
      <c r="J332" s="43">
        <v>155555.55555555556</v>
      </c>
      <c r="K332" s="43">
        <v>1.5169030769527799E-2</v>
      </c>
      <c r="L332" s="43">
        <v>4.0760074582358907</v>
      </c>
      <c r="M332" s="42">
        <v>9.1897531720786674</v>
      </c>
    </row>
    <row r="333" spans="1:13" x14ac:dyDescent="0.2">
      <c r="A333" s="41">
        <v>332</v>
      </c>
      <c r="B333" s="42">
        <v>27.666666666666668</v>
      </c>
      <c r="C333" s="41">
        <v>618.10580128490494</v>
      </c>
      <c r="D333" s="43">
        <v>4697.6040897652774</v>
      </c>
      <c r="E333" s="44">
        <v>113.41629999999998</v>
      </c>
      <c r="F333" s="44">
        <v>181.45986189909226</v>
      </c>
      <c r="G333" s="44">
        <v>294.87616189909227</v>
      </c>
      <c r="H333" s="45">
        <v>0.47706421988939451</v>
      </c>
      <c r="I333" s="43">
        <v>11625841.964999981</v>
      </c>
      <c r="J333" s="43">
        <v>155555.55555555556</v>
      </c>
      <c r="K333" s="43">
        <v>1.3380153972835792E-2</v>
      </c>
      <c r="L333" s="43">
        <v>4.0893876122087267</v>
      </c>
      <c r="M333" s="42">
        <v>9.2068470305883654</v>
      </c>
    </row>
    <row r="334" spans="1:13" x14ac:dyDescent="0.2">
      <c r="A334" s="41">
        <v>333</v>
      </c>
      <c r="B334" s="42">
        <v>27.75</v>
      </c>
      <c r="C334" s="41">
        <v>618.10623957901396</v>
      </c>
      <c r="D334" s="43">
        <v>4697.6074208005066</v>
      </c>
      <c r="E334" s="44">
        <v>113.41629999999998</v>
      </c>
      <c r="F334" s="44">
        <v>178.00027473545723</v>
      </c>
      <c r="G334" s="44">
        <v>291.41657473545717</v>
      </c>
      <c r="H334" s="45">
        <v>0.47146680631138449</v>
      </c>
      <c r="I334" s="43">
        <v>12976642.241319474</v>
      </c>
      <c r="J334" s="43">
        <v>155555.55555555556</v>
      </c>
      <c r="K334" s="43">
        <v>1.198735024536968E-2</v>
      </c>
      <c r="L334" s="43">
        <v>4.1013749624540967</v>
      </c>
      <c r="M334" s="42">
        <v>9.2221156463540925</v>
      </c>
    </row>
    <row r="335" spans="1:13" x14ac:dyDescent="0.2">
      <c r="A335" s="41">
        <v>334</v>
      </c>
      <c r="B335" s="42">
        <v>27.833333333333332</v>
      </c>
      <c r="C335" s="41">
        <v>618.10667524953135</v>
      </c>
      <c r="D335" s="43">
        <v>4697.6107318964387</v>
      </c>
      <c r="E335" s="44">
        <v>113.41629999999998</v>
      </c>
      <c r="F335" s="44">
        <v>174.54068192446078</v>
      </c>
      <c r="G335" s="44">
        <v>287.95698192446076</v>
      </c>
      <c r="H335" s="45">
        <v>0.46586939351239287</v>
      </c>
      <c r="I335" s="43">
        <v>14503419.202805325</v>
      </c>
      <c r="J335" s="43">
        <v>155555.55555555556</v>
      </c>
      <c r="K335" s="43">
        <v>1.0725440213812975E-2</v>
      </c>
      <c r="L335" s="43">
        <v>4.1121004026679095</v>
      </c>
      <c r="M335" s="42">
        <v>9.2357403377264689</v>
      </c>
    </row>
    <row r="336" spans="1:13" x14ac:dyDescent="0.2">
      <c r="A336" s="41">
        <v>335</v>
      </c>
      <c r="B336" s="42">
        <v>27.916666666666668</v>
      </c>
      <c r="C336" s="41">
        <v>618.10710831994379</v>
      </c>
      <c r="D336" s="43">
        <v>4697.6140232315729</v>
      </c>
      <c r="E336" s="44">
        <v>113.41629999999998</v>
      </c>
      <c r="F336" s="44">
        <v>171.34721587804543</v>
      </c>
      <c r="G336" s="44">
        <v>284.76351587804538</v>
      </c>
      <c r="H336" s="45">
        <v>0.46070254175211078</v>
      </c>
      <c r="I336" s="43">
        <v>16090906.594524069</v>
      </c>
      <c r="J336" s="43">
        <v>155555.55555555556</v>
      </c>
      <c r="K336" s="43">
        <v>9.6672959128662767E-3</v>
      </c>
      <c r="L336" s="43">
        <v>4.1217676985807756</v>
      </c>
      <c r="M336" s="42">
        <v>9.24799134132852</v>
      </c>
    </row>
    <row r="337" spans="1:13" x14ac:dyDescent="0.2">
      <c r="A337" s="41">
        <v>336</v>
      </c>
      <c r="B337" s="42">
        <v>28</v>
      </c>
      <c r="C337" s="41">
        <v>618.10753881345829</v>
      </c>
      <c r="D337" s="43">
        <v>4697.6172949822831</v>
      </c>
      <c r="E337" s="44">
        <v>113.41629999999998</v>
      </c>
      <c r="F337" s="44">
        <v>169.75053993592635</v>
      </c>
      <c r="G337" s="44">
        <v>283.1668399359263</v>
      </c>
      <c r="H337" s="45">
        <v>0.45811905235697931</v>
      </c>
      <c r="I337" s="43">
        <v>16956109.326766267</v>
      </c>
      <c r="J337" s="43">
        <v>155555.55555555556</v>
      </c>
      <c r="K337" s="43">
        <v>9.1740123018670024E-3</v>
      </c>
      <c r="L337" s="43">
        <v>4.1309417108826425</v>
      </c>
      <c r="M337" s="42">
        <v>9.259591433941921</v>
      </c>
    </row>
    <row r="338" spans="1:13" x14ac:dyDescent="0.2">
      <c r="A338" s="41">
        <v>337</v>
      </c>
      <c r="B338" s="42">
        <v>28.083333333333332</v>
      </c>
      <c r="C338" s="41">
        <v>618.10796675300662</v>
      </c>
      <c r="D338" s="43">
        <v>4697.6205473228511</v>
      </c>
      <c r="E338" s="44">
        <v>113.41629999999998</v>
      </c>
      <c r="F338" s="44">
        <v>169.48452472973975</v>
      </c>
      <c r="G338" s="44">
        <v>282.90082472973972</v>
      </c>
      <c r="H338" s="45">
        <v>0.45768836505352101</v>
      </c>
      <c r="I338" s="43">
        <v>17105294.604689732</v>
      </c>
      <c r="J338" s="43">
        <v>155555.55555555556</v>
      </c>
      <c r="K338" s="43">
        <v>9.0940003753520356E-3</v>
      </c>
      <c r="L338" s="43">
        <v>4.1400357112579949</v>
      </c>
      <c r="M338" s="42">
        <v>9.2710656425872831</v>
      </c>
    </row>
    <row r="339" spans="1:13" x14ac:dyDescent="0.2">
      <c r="A339" s="41">
        <v>338</v>
      </c>
      <c r="B339" s="42">
        <v>28.166666666666668</v>
      </c>
      <c r="C339" s="41">
        <v>618.1083921612493</v>
      </c>
      <c r="D339" s="43">
        <v>4697.6237804254943</v>
      </c>
      <c r="E339" s="44">
        <v>113.41629999999998</v>
      </c>
      <c r="F339" s="44">
        <v>172.14597051779043</v>
      </c>
      <c r="G339" s="44">
        <v>285.56227051779041</v>
      </c>
      <c r="H339" s="45">
        <v>0.46199384143500549</v>
      </c>
      <c r="I339" s="43">
        <v>15676869.750392465</v>
      </c>
      <c r="J339" s="43">
        <v>155555.55555555556</v>
      </c>
      <c r="K339" s="43">
        <v>9.9226158048331872E-3</v>
      </c>
      <c r="L339" s="43">
        <v>4.1499583270628282</v>
      </c>
      <c r="M339" s="42">
        <v>9.283557360057106</v>
      </c>
    </row>
    <row r="340" spans="1:13" x14ac:dyDescent="0.2">
      <c r="A340" s="41">
        <v>339</v>
      </c>
      <c r="B340" s="42">
        <v>28.25</v>
      </c>
      <c r="C340" s="41">
        <v>618.10881506057933</v>
      </c>
      <c r="D340" s="43">
        <v>4697.6269944604028</v>
      </c>
      <c r="E340" s="44">
        <v>113.41629999999998</v>
      </c>
      <c r="F340" s="44">
        <v>176.93648402950504</v>
      </c>
      <c r="G340" s="44">
        <v>290.35278402950502</v>
      </c>
      <c r="H340" s="45">
        <v>0.46974380069478261</v>
      </c>
      <c r="I340" s="43">
        <v>13426760.303676967</v>
      </c>
      <c r="J340" s="43">
        <v>155555.55555555556</v>
      </c>
      <c r="K340" s="43">
        <v>1.158548689611716E-2</v>
      </c>
      <c r="L340" s="43">
        <v>4.1615438139589456</v>
      </c>
      <c r="M340" s="42">
        <v>9.29810565819899</v>
      </c>
    </row>
    <row r="341" spans="1:13" x14ac:dyDescent="0.2">
      <c r="A341" s="41">
        <v>340</v>
      </c>
      <c r="B341" s="42">
        <v>28.333333333333332</v>
      </c>
      <c r="C341" s="41">
        <v>618.10923547312666</v>
      </c>
      <c r="D341" s="43">
        <v>4697.6301895957622</v>
      </c>
      <c r="E341" s="44">
        <v>113.41629999999998</v>
      </c>
      <c r="F341" s="44">
        <v>182.79153647412295</v>
      </c>
      <c r="G341" s="44">
        <v>296.20783647412293</v>
      </c>
      <c r="H341" s="45">
        <v>0.47921600175961304</v>
      </c>
      <c r="I341" s="43">
        <v>11148634.864521246</v>
      </c>
      <c r="J341" s="43">
        <v>155555.55555555556</v>
      </c>
      <c r="K341" s="43">
        <v>1.3952879204124474E-2</v>
      </c>
      <c r="L341" s="43">
        <v>4.1754966931630699</v>
      </c>
      <c r="M341" s="42">
        <v>9.3155743076634536</v>
      </c>
    </row>
    <row r="342" spans="1:13" x14ac:dyDescent="0.2">
      <c r="A342" s="41">
        <v>341</v>
      </c>
      <c r="B342" s="42">
        <v>28.416666666666668</v>
      </c>
      <c r="C342" s="41">
        <v>618.10965342076167</v>
      </c>
      <c r="D342" s="43">
        <v>4697.6333659977881</v>
      </c>
      <c r="E342" s="44">
        <v>113.41629999999998</v>
      </c>
      <c r="F342" s="44">
        <v>186.83056779973779</v>
      </c>
      <c r="G342" s="44">
        <v>300.24686779973774</v>
      </c>
      <c r="H342" s="45">
        <v>0.48575016768966833</v>
      </c>
      <c r="I342" s="43">
        <v>9827511.328330256</v>
      </c>
      <c r="J342" s="43">
        <v>155555.55555555556</v>
      </c>
      <c r="K342" s="43">
        <v>1.5828580640464673E-2</v>
      </c>
      <c r="L342" s="43">
        <v>4.1913252738035345</v>
      </c>
      <c r="M342" s="42">
        <v>9.3353221920344183</v>
      </c>
    </row>
    <row r="343" spans="1:13" x14ac:dyDescent="0.2">
      <c r="A343" s="41">
        <v>342</v>
      </c>
      <c r="B343" s="42">
        <v>28.5</v>
      </c>
      <c r="C343" s="41">
        <v>618.11006892509874</v>
      </c>
      <c r="D343" s="43">
        <v>4697.6365238307499</v>
      </c>
      <c r="E343" s="44">
        <v>113.41629999999998</v>
      </c>
      <c r="F343" s="44">
        <v>187.92649853546209</v>
      </c>
      <c r="G343" s="44">
        <v>301.34279853546207</v>
      </c>
      <c r="H343" s="45">
        <v>0.48752287607852923</v>
      </c>
      <c r="I343" s="43">
        <v>9499688.9224180114</v>
      </c>
      <c r="J343" s="43">
        <v>155555.55555555556</v>
      </c>
      <c r="K343" s="43">
        <v>1.6374805198985515E-2</v>
      </c>
      <c r="L343" s="43">
        <v>4.2077000790025201</v>
      </c>
      <c r="M343" s="42">
        <v>9.3556746450222708</v>
      </c>
    </row>
    <row r="344" spans="1:13" x14ac:dyDescent="0.2">
      <c r="A344" s="41">
        <v>343</v>
      </c>
      <c r="B344" s="42">
        <v>28.583333333333332</v>
      </c>
      <c r="C344" s="41">
        <v>618.11048200750054</v>
      </c>
      <c r="D344" s="43">
        <v>4697.639663257004</v>
      </c>
      <c r="E344" s="44">
        <v>113.41629999999998</v>
      </c>
      <c r="F344" s="44">
        <v>185.46106090285173</v>
      </c>
      <c r="G344" s="44">
        <v>298.87736090285171</v>
      </c>
      <c r="H344" s="45">
        <v>0.48353388205318437</v>
      </c>
      <c r="I344" s="43">
        <v>10255112.100487933</v>
      </c>
      <c r="J344" s="43">
        <v>155555.55555555556</v>
      </c>
      <c r="K344" s="43">
        <v>1.5168586557737805E-2</v>
      </c>
      <c r="L344" s="43">
        <v>4.2228686655602576</v>
      </c>
      <c r="M344" s="42">
        <v>9.3744584504855819</v>
      </c>
    </row>
    <row r="345" spans="1:13" x14ac:dyDescent="0.2">
      <c r="A345" s="41">
        <v>344</v>
      </c>
      <c r="B345" s="42">
        <v>28.666666666666668</v>
      </c>
      <c r="C345" s="41">
        <v>618.11089268908154</v>
      </c>
      <c r="D345" s="43">
        <v>4697.6427844370191</v>
      </c>
      <c r="E345" s="44">
        <v>113.41629999999998</v>
      </c>
      <c r="F345" s="44">
        <v>181.46135660355355</v>
      </c>
      <c r="G345" s="44">
        <v>294.87765660355353</v>
      </c>
      <c r="H345" s="45">
        <v>0.47706270847402965</v>
      </c>
      <c r="I345" s="43">
        <v>11626185.006571773</v>
      </c>
      <c r="J345" s="43">
        <v>155555.55555555556</v>
      </c>
      <c r="K345" s="43">
        <v>1.3379759178752688E-2</v>
      </c>
      <c r="L345" s="43">
        <v>4.23624842473901</v>
      </c>
      <c r="M345" s="42">
        <v>9.390971934448995</v>
      </c>
    </row>
    <row r="346" spans="1:13" x14ac:dyDescent="0.2">
      <c r="A346" s="41">
        <v>345</v>
      </c>
      <c r="B346" s="42">
        <v>28.75</v>
      </c>
      <c r="C346" s="41">
        <v>618.11130099071124</v>
      </c>
      <c r="D346" s="43">
        <v>4697.6458875294056</v>
      </c>
      <c r="E346" s="44">
        <v>113.41629999999998</v>
      </c>
      <c r="F346" s="44">
        <v>178.00173230474704</v>
      </c>
      <c r="G346" s="44">
        <v>291.41803230474704</v>
      </c>
      <c r="H346" s="45">
        <v>0.4714653038015339</v>
      </c>
      <c r="I346" s="43">
        <v>12977027.403760875</v>
      </c>
      <c r="J346" s="43">
        <v>155555.55555555556</v>
      </c>
      <c r="K346" s="43">
        <v>1.198699445687184E-2</v>
      </c>
      <c r="L346" s="43">
        <v>4.2482354191958818</v>
      </c>
      <c r="M346" s="42">
        <v>9.4057227367456075</v>
      </c>
    </row>
    <row r="347" spans="1:13" x14ac:dyDescent="0.2">
      <c r="A347" s="41">
        <v>346</v>
      </c>
      <c r="B347" s="42">
        <v>28.833333333333332</v>
      </c>
      <c r="C347" s="41">
        <v>618.11170693301801</v>
      </c>
      <c r="D347" s="43">
        <v>4697.6489726909367</v>
      </c>
      <c r="E347" s="44">
        <v>113.41629999999998</v>
      </c>
      <c r="F347" s="44">
        <v>174.542102768956</v>
      </c>
      <c r="G347" s="44">
        <v>287.95840276895598</v>
      </c>
      <c r="H347" s="45">
        <v>0.46586789982957033</v>
      </c>
      <c r="I347" s="43">
        <v>14503852.294687524</v>
      </c>
      <c r="J347" s="43">
        <v>155555.55555555556</v>
      </c>
      <c r="K347" s="43">
        <v>1.0725119947100709E-2</v>
      </c>
      <c r="L347" s="43">
        <v>4.2589605391429828</v>
      </c>
      <c r="M347" s="42">
        <v>9.4188858365506505</v>
      </c>
    </row>
    <row r="348" spans="1:13" x14ac:dyDescent="0.2">
      <c r="A348" s="41">
        <v>347</v>
      </c>
      <c r="B348" s="42">
        <v>28.916666666666668</v>
      </c>
      <c r="C348" s="41">
        <v>618.11211053639272</v>
      </c>
      <c r="D348" s="43">
        <v>4697.6520400765849</v>
      </c>
      <c r="E348" s="44">
        <v>113.41629999999998</v>
      </c>
      <c r="F348" s="44">
        <v>171.34860255658418</v>
      </c>
      <c r="G348" s="44">
        <v>284.76490255658416</v>
      </c>
      <c r="H348" s="45">
        <v>0.46070105681875001</v>
      </c>
      <c r="I348" s="43">
        <v>16091389.633688103</v>
      </c>
      <c r="J348" s="43">
        <v>155555.55555555556</v>
      </c>
      <c r="K348" s="43">
        <v>9.6670057152734943E-3</v>
      </c>
      <c r="L348" s="43">
        <v>4.2686275448582567</v>
      </c>
      <c r="M348" s="42">
        <v>9.4307221673389225</v>
      </c>
    </row>
    <row r="349" spans="1:13" x14ac:dyDescent="0.2">
      <c r="A349" s="41">
        <v>348</v>
      </c>
      <c r="B349" s="42">
        <v>29</v>
      </c>
      <c r="C349" s="41">
        <v>618.11251182099147</v>
      </c>
      <c r="D349" s="43">
        <v>4697.6550898395344</v>
      </c>
      <c r="E349" s="44">
        <v>113.41629999999998</v>
      </c>
      <c r="F349" s="44">
        <v>169.75190567030239</v>
      </c>
      <c r="G349" s="44">
        <v>283.16820567030237</v>
      </c>
      <c r="H349" s="45">
        <v>0.45811757609642001</v>
      </c>
      <c r="I349" s="43">
        <v>16956618.21961036</v>
      </c>
      <c r="J349" s="43">
        <v>155555.55555555556</v>
      </c>
      <c r="K349" s="43">
        <v>9.1737369763774754E-3</v>
      </c>
      <c r="L349" s="43">
        <v>4.277801281834634</v>
      </c>
      <c r="M349" s="42">
        <v>9.4419299526222655</v>
      </c>
    </row>
    <row r="350" spans="1:13" x14ac:dyDescent="0.2">
      <c r="A350" s="41">
        <v>349</v>
      </c>
      <c r="B350" s="42">
        <v>29.083333333333332</v>
      </c>
      <c r="C350" s="41">
        <v>618.11291080673993</v>
      </c>
      <c r="D350" s="43">
        <v>4697.6581221312235</v>
      </c>
      <c r="E350" s="44">
        <v>113.41629999999998</v>
      </c>
      <c r="F350" s="44">
        <v>169.48588038383622</v>
      </c>
      <c r="G350" s="44">
        <v>282.9021803838362</v>
      </c>
      <c r="H350" s="45">
        <v>0.45768689738999613</v>
      </c>
      <c r="I350" s="43">
        <v>17105805.465543069</v>
      </c>
      <c r="J350" s="43">
        <v>155555.55555555556</v>
      </c>
      <c r="K350" s="43">
        <v>9.0937287851716505E-3</v>
      </c>
      <c r="L350" s="43">
        <v>4.2868950106198058</v>
      </c>
      <c r="M350" s="42">
        <v>9.4530164322497399</v>
      </c>
    </row>
    <row r="351" spans="1:13" x14ac:dyDescent="0.2">
      <c r="A351" s="41">
        <v>350</v>
      </c>
      <c r="B351" s="42">
        <v>29.166666666666668</v>
      </c>
      <c r="C351" s="41">
        <v>618.11330751333583</v>
      </c>
      <c r="D351" s="43">
        <v>4697.6611371013523</v>
      </c>
      <c r="E351" s="44">
        <v>113.41629999999998</v>
      </c>
      <c r="F351" s="44">
        <v>172.14733946548006</v>
      </c>
      <c r="G351" s="44">
        <v>285.56363946548004</v>
      </c>
      <c r="H351" s="45">
        <v>0.46199238229362821</v>
      </c>
      <c r="I351" s="43">
        <v>15677330.893652955</v>
      </c>
      <c r="J351" s="43">
        <v>155555.55555555556</v>
      </c>
      <c r="K351" s="43">
        <v>9.9223239345246576E-3</v>
      </c>
      <c r="L351" s="43">
        <v>4.2968173345543308</v>
      </c>
      <c r="M351" s="42">
        <v>9.4650864047219283</v>
      </c>
    </row>
    <row r="352" spans="1:13" x14ac:dyDescent="0.2">
      <c r="A352" s="41">
        <v>351</v>
      </c>
      <c r="B352" s="42">
        <v>29.25</v>
      </c>
      <c r="C352" s="41">
        <v>618.11370196025257</v>
      </c>
      <c r="D352" s="43">
        <v>4697.6641348979192</v>
      </c>
      <c r="E352" s="44">
        <v>113.41629999999998</v>
      </c>
      <c r="F352" s="44">
        <v>176.93788292695632</v>
      </c>
      <c r="G352" s="44">
        <v>290.3541829269563</v>
      </c>
      <c r="H352" s="45">
        <v>0.46974235000153314</v>
      </c>
      <c r="I352" s="43">
        <v>13427146.49360301</v>
      </c>
      <c r="J352" s="43">
        <v>155555.55555555556</v>
      </c>
      <c r="K352" s="43">
        <v>1.1585153675776583E-2</v>
      </c>
      <c r="L352" s="43">
        <v>4.3084024882301071</v>
      </c>
      <c r="M352" s="42">
        <v>9.4791440085949858</v>
      </c>
    </row>
    <row r="353" spans="1:13" x14ac:dyDescent="0.2">
      <c r="A353" s="41">
        <v>352</v>
      </c>
      <c r="B353" s="42">
        <v>29.333333333333332</v>
      </c>
      <c r="C353" s="41">
        <v>618.11409416674223</v>
      </c>
      <c r="D353" s="43">
        <v>4697.667115667241</v>
      </c>
      <c r="E353" s="44">
        <v>113.41629999999998</v>
      </c>
      <c r="F353" s="44">
        <v>182.79297332059002</v>
      </c>
      <c r="G353" s="44">
        <v>296.20927332059</v>
      </c>
      <c r="H353" s="45">
        <v>0.47921455944132652</v>
      </c>
      <c r="I353" s="43">
        <v>11148947.376368858</v>
      </c>
      <c r="J353" s="43">
        <v>155555.55555555556</v>
      </c>
      <c r="K353" s="43">
        <v>1.3952488096344305E-2</v>
      </c>
      <c r="L353" s="43">
        <v>4.3223549763264515</v>
      </c>
      <c r="M353" s="42">
        <v>9.4960241541242905</v>
      </c>
    </row>
    <row r="354" spans="1:13" x14ac:dyDescent="0.2">
      <c r="A354" s="41">
        <v>353</v>
      </c>
      <c r="B354" s="42">
        <v>29.416666666666668</v>
      </c>
      <c r="C354" s="41">
        <v>618.11448415183929</v>
      </c>
      <c r="D354" s="43">
        <v>4697.6700795539782</v>
      </c>
      <c r="E354" s="44">
        <v>113.41629999999998</v>
      </c>
      <c r="F354" s="44">
        <v>186.83202794232758</v>
      </c>
      <c r="G354" s="44">
        <v>300.24832794232759</v>
      </c>
      <c r="H354" s="45">
        <v>0.48574873367402249</v>
      </c>
      <c r="I354" s="43">
        <v>9827781.5370445047</v>
      </c>
      <c r="J354" s="43">
        <v>155555.55555555556</v>
      </c>
      <c r="K354" s="43">
        <v>1.5828145443527591E-2</v>
      </c>
      <c r="L354" s="43">
        <v>4.3381831217699789</v>
      </c>
      <c r="M354" s="42">
        <v>9.5151076511351551</v>
      </c>
    </row>
    <row r="355" spans="1:13" x14ac:dyDescent="0.2">
      <c r="A355" s="41">
        <v>354</v>
      </c>
      <c r="B355" s="42">
        <v>29.5</v>
      </c>
      <c r="C355" s="41">
        <v>618.11487193436255</v>
      </c>
      <c r="D355" s="43">
        <v>4697.6730267011553</v>
      </c>
      <c r="E355" s="44">
        <v>113.41629999999998</v>
      </c>
      <c r="F355" s="44">
        <v>187.92795881375034</v>
      </c>
      <c r="G355" s="44">
        <v>301.34425881375034</v>
      </c>
      <c r="H355" s="45">
        <v>0.4875214502940321</v>
      </c>
      <c r="I355" s="43">
        <v>9499947.6740387697</v>
      </c>
      <c r="J355" s="43">
        <v>155555.55555555556</v>
      </c>
      <c r="K355" s="43">
        <v>1.637435919575158E-2</v>
      </c>
      <c r="L355" s="43">
        <v>4.3545574809657301</v>
      </c>
      <c r="M355" s="42">
        <v>9.5347763743755305</v>
      </c>
    </row>
    <row r="356" spans="1:13" x14ac:dyDescent="0.2">
      <c r="A356" s="41">
        <v>355</v>
      </c>
      <c r="B356" s="42">
        <v>29.583333333333332</v>
      </c>
      <c r="C356" s="41">
        <v>618.11525753291914</v>
      </c>
      <c r="D356" s="43">
        <v>4697.6759572501851</v>
      </c>
      <c r="E356" s="44">
        <v>113.41629999999998</v>
      </c>
      <c r="F356" s="44">
        <v>185.46249377615879</v>
      </c>
      <c r="G356" s="44">
        <v>298.87879377615877</v>
      </c>
      <c r="H356" s="45">
        <v>0.48353246442916237</v>
      </c>
      <c r="I356" s="43">
        <v>10255392.120703982</v>
      </c>
      <c r="J356" s="43">
        <v>155555.55555555556</v>
      </c>
      <c r="K356" s="43">
        <v>1.5168172384312248E-2</v>
      </c>
      <c r="L356" s="43">
        <v>4.3697256533500424</v>
      </c>
      <c r="M356" s="42">
        <v>9.5529300424225809</v>
      </c>
    </row>
    <row r="357" spans="1:13" x14ac:dyDescent="0.2">
      <c r="A357" s="41">
        <v>356</v>
      </c>
      <c r="B357" s="42">
        <v>29.666666666666668</v>
      </c>
      <c r="C357" s="41">
        <v>618.11564096590735</v>
      </c>
      <c r="D357" s="43">
        <v>4697.678871340896</v>
      </c>
      <c r="E357" s="44">
        <v>113.41629999999998</v>
      </c>
      <c r="F357" s="44">
        <v>181.46275057470754</v>
      </c>
      <c r="G357" s="44">
        <v>294.87905057470755</v>
      </c>
      <c r="H357" s="45">
        <v>0.47706129894061655</v>
      </c>
      <c r="I357" s="43">
        <v>11626504.934392814</v>
      </c>
      <c r="J357" s="43">
        <v>155555.55555555556</v>
      </c>
      <c r="K357" s="43">
        <v>1.3379391006440866E-2</v>
      </c>
      <c r="L357" s="43">
        <v>4.3831050443564834</v>
      </c>
      <c r="M357" s="42">
        <v>9.568890259280515</v>
      </c>
    </row>
    <row r="358" spans="1:13" x14ac:dyDescent="0.2">
      <c r="A358" s="41">
        <v>357</v>
      </c>
      <c r="B358" s="42">
        <v>29.75</v>
      </c>
      <c r="C358" s="41">
        <v>618.11602225151933</v>
      </c>
      <c r="D358" s="43">
        <v>4697.6817691115466</v>
      </c>
      <c r="E358" s="44">
        <v>113.41629999999998</v>
      </c>
      <c r="F358" s="44">
        <v>178.00309191846247</v>
      </c>
      <c r="G358" s="44">
        <v>291.41939191846245</v>
      </c>
      <c r="H358" s="45">
        <v>0.47146390228965812</v>
      </c>
      <c r="I358" s="43">
        <v>12977386.687183723</v>
      </c>
      <c r="J358" s="43">
        <v>155555.55555555556</v>
      </c>
      <c r="K358" s="43">
        <v>1.1986662592799208E-2</v>
      </c>
      <c r="L358" s="43">
        <v>4.395091706949283</v>
      </c>
      <c r="M358" s="42">
        <v>9.5831474128757783</v>
      </c>
    </row>
    <row r="359" spans="1:13" x14ac:dyDescent="0.2">
      <c r="A359" s="41">
        <v>358</v>
      </c>
      <c r="B359" s="42">
        <v>29.833333333333332</v>
      </c>
      <c r="C359" s="41">
        <v>618.11640140774364</v>
      </c>
      <c r="D359" s="43">
        <v>4697.6846506988522</v>
      </c>
      <c r="E359" s="44">
        <v>113.41629999999998</v>
      </c>
      <c r="F359" s="44">
        <v>174.54342839259462</v>
      </c>
      <c r="G359" s="44">
        <v>287.95972839259457</v>
      </c>
      <c r="H359" s="45">
        <v>0.465866506270945</v>
      </c>
      <c r="I359" s="43">
        <v>14504256.368569642</v>
      </c>
      <c r="J359" s="43">
        <v>155555.55555555556</v>
      </c>
      <c r="K359" s="43">
        <v>1.0724821156129074E-2</v>
      </c>
      <c r="L359" s="43">
        <v>4.4058165281054125</v>
      </c>
      <c r="M359" s="42">
        <v>9.5958704456911779</v>
      </c>
    </row>
    <row r="360" spans="1:13" x14ac:dyDescent="0.2">
      <c r="A360" s="41">
        <v>359</v>
      </c>
      <c r="B360" s="42">
        <v>29.916666666666668</v>
      </c>
      <c r="C360" s="41">
        <v>618.11677845236886</v>
      </c>
      <c r="D360" s="43">
        <v>4697.6875162380029</v>
      </c>
      <c r="E360" s="44">
        <v>113.41629999999998</v>
      </c>
      <c r="F360" s="44">
        <v>171.34989656274539</v>
      </c>
      <c r="G360" s="44">
        <v>284.76619656274534</v>
      </c>
      <c r="H360" s="45">
        <v>0.46069967114586097</v>
      </c>
      <c r="I360" s="43">
        <v>16091840.398549644</v>
      </c>
      <c r="J360" s="43">
        <v>155555.55555555556</v>
      </c>
      <c r="K360" s="43">
        <v>9.6667349229722522E-3</v>
      </c>
      <c r="L360" s="43">
        <v>4.4154832630283849</v>
      </c>
      <c r="M360" s="42">
        <v>9.6073114270369473</v>
      </c>
    </row>
    <row r="361" spans="1:13" x14ac:dyDescent="0.2">
      <c r="A361" s="41">
        <v>360</v>
      </c>
      <c r="B361" s="42">
        <v>30</v>
      </c>
      <c r="C361" s="41">
        <v>618.11715340298599</v>
      </c>
      <c r="D361" s="43">
        <v>4697.6903658626934</v>
      </c>
      <c r="E361" s="44">
        <v>113.41629999999998</v>
      </c>
      <c r="F361" s="44">
        <v>169.75318038546158</v>
      </c>
      <c r="G361" s="44">
        <v>283.16948038546155</v>
      </c>
      <c r="H361" s="45">
        <v>0.45811619824251526</v>
      </c>
      <c r="I361" s="43">
        <v>16957093.205218345</v>
      </c>
      <c r="J361" s="43">
        <v>155555.55555555556</v>
      </c>
      <c r="K361" s="43">
        <v>9.1734800105766467E-3</v>
      </c>
      <c r="L361" s="43">
        <v>4.4246567430389616</v>
      </c>
      <c r="M361" s="42">
        <v>9.618145174336254</v>
      </c>
    </row>
  </sheetData>
  <sheetProtection password="DE07" sheet="1" objects="1" scenarios="1"/>
  <phoneticPr fontId="2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7" tint="0.59999389629810485"/>
  </sheetPr>
  <dimension ref="A1:F42"/>
  <sheetViews>
    <sheetView zoomScale="95" zoomScaleNormal="95" workbookViewId="0">
      <selection activeCell="E32" sqref="E32"/>
    </sheetView>
  </sheetViews>
  <sheetFormatPr defaultColWidth="9.140625" defaultRowHeight="12.75" x14ac:dyDescent="0.2"/>
  <cols>
    <col min="1" max="1" width="4.7109375" style="21" customWidth="1"/>
    <col min="2" max="2" width="50.7109375" style="21" customWidth="1"/>
    <col min="3" max="3" width="12.7109375" style="21" customWidth="1"/>
    <col min="4" max="4" width="8.7109375" style="21" customWidth="1"/>
    <col min="5" max="5" width="32.7109375" style="21" customWidth="1"/>
    <col min="6" max="6" width="12.7109375" style="21" customWidth="1"/>
    <col min="7" max="16384" width="9.140625" style="21"/>
  </cols>
  <sheetData>
    <row r="1" spans="1:6" ht="12.75" customHeight="1" x14ac:dyDescent="0.2">
      <c r="A1" s="29"/>
      <c r="B1" s="79"/>
      <c r="C1" s="79"/>
      <c r="D1" s="32"/>
      <c r="E1" s="79"/>
      <c r="F1" s="79"/>
    </row>
    <row r="2" spans="1:6" ht="12.75" customHeight="1" x14ac:dyDescent="0.2">
      <c r="A2" s="29"/>
      <c r="B2" s="79"/>
      <c r="C2" s="79"/>
      <c r="D2" s="32"/>
      <c r="E2" s="79"/>
      <c r="F2" s="79"/>
    </row>
    <row r="3" spans="1:6" ht="12.75" customHeight="1" x14ac:dyDescent="0.2">
      <c r="A3" s="13"/>
      <c r="B3" s="120" t="s">
        <v>138</v>
      </c>
      <c r="C3" s="120"/>
      <c r="E3" s="79"/>
      <c r="F3" s="79"/>
    </row>
    <row r="4" spans="1:6" ht="12.75" customHeight="1" x14ac:dyDescent="0.2">
      <c r="A4" s="29"/>
      <c r="B4" s="79"/>
      <c r="C4" s="79"/>
      <c r="D4" s="32"/>
      <c r="E4" s="79"/>
      <c r="F4" s="79"/>
    </row>
    <row r="5" spans="1:6" ht="12.75" customHeight="1" x14ac:dyDescent="0.2">
      <c r="B5" s="92" t="s">
        <v>124</v>
      </c>
      <c r="C5" s="92"/>
      <c r="D5" s="32"/>
      <c r="E5" s="92" t="s">
        <v>129</v>
      </c>
      <c r="F5" s="92"/>
    </row>
    <row r="6" spans="1:6" ht="12.75" customHeight="1" x14ac:dyDescent="0.2">
      <c r="A6" s="29"/>
      <c r="B6" s="79"/>
      <c r="C6" s="79"/>
      <c r="D6" s="32"/>
      <c r="E6" s="93"/>
      <c r="F6" s="93"/>
    </row>
    <row r="7" spans="1:6" ht="12.75" customHeight="1" x14ac:dyDescent="0.2">
      <c r="A7" s="29"/>
      <c r="B7" s="62" t="s">
        <v>117</v>
      </c>
      <c r="C7" s="74" t="s">
        <v>41</v>
      </c>
      <c r="D7" s="32"/>
      <c r="E7" s="62" t="s">
        <v>130</v>
      </c>
      <c r="F7" s="74">
        <v>12.5</v>
      </c>
    </row>
    <row r="8" spans="1:6" ht="12.75" customHeight="1" x14ac:dyDescent="0.2">
      <c r="A8" s="29"/>
      <c r="B8" s="62" t="s">
        <v>118</v>
      </c>
      <c r="C8" s="74"/>
      <c r="D8" s="32"/>
      <c r="E8" s="62" t="s">
        <v>131</v>
      </c>
      <c r="F8" s="74">
        <v>570</v>
      </c>
    </row>
    <row r="9" spans="1:6" ht="12.75" customHeight="1" x14ac:dyDescent="0.2">
      <c r="A9" s="29"/>
      <c r="B9" s="62" t="s">
        <v>119</v>
      </c>
      <c r="C9" s="74"/>
      <c r="D9" s="32"/>
      <c r="E9" s="94"/>
      <c r="F9" s="94"/>
    </row>
    <row r="10" spans="1:6" ht="12.75" customHeight="1" x14ac:dyDescent="0.2">
      <c r="A10" s="29"/>
      <c r="B10" s="62" t="s">
        <v>120</v>
      </c>
      <c r="C10" s="74"/>
      <c r="D10" s="32"/>
      <c r="E10" s="79"/>
      <c r="F10" s="79"/>
    </row>
    <row r="11" spans="1:6" ht="12.75" customHeight="1" x14ac:dyDescent="0.2">
      <c r="A11" s="29"/>
      <c r="B11" s="62" t="s">
        <v>121</v>
      </c>
      <c r="C11" s="74"/>
      <c r="D11" s="32"/>
      <c r="E11" s="92" t="s">
        <v>398</v>
      </c>
      <c r="F11" s="92"/>
    </row>
    <row r="12" spans="1:6" ht="12.75" customHeight="1" x14ac:dyDescent="0.2">
      <c r="A12" s="29"/>
      <c r="B12" s="62" t="s">
        <v>122</v>
      </c>
      <c r="C12" s="74"/>
      <c r="D12" s="32"/>
      <c r="E12" s="93"/>
      <c r="F12" s="93"/>
    </row>
    <row r="13" spans="1:6" ht="12.75" customHeight="1" x14ac:dyDescent="0.2">
      <c r="A13" s="29"/>
      <c r="B13" s="62" t="s">
        <v>123</v>
      </c>
      <c r="C13" s="74"/>
      <c r="D13" s="32"/>
      <c r="E13" s="62" t="s">
        <v>132</v>
      </c>
      <c r="F13" s="74" t="s">
        <v>88</v>
      </c>
    </row>
    <row r="14" spans="1:6" ht="12.75" customHeight="1" x14ac:dyDescent="0.2">
      <c r="A14" s="29"/>
      <c r="B14" s="79"/>
      <c r="C14" s="79"/>
      <c r="D14" s="32"/>
      <c r="E14" s="62" t="s">
        <v>133</v>
      </c>
      <c r="F14" s="74" t="s">
        <v>113</v>
      </c>
    </row>
    <row r="15" spans="1:6" ht="12.75" customHeight="1" x14ac:dyDescent="0.2">
      <c r="A15" s="29"/>
      <c r="B15" s="79"/>
      <c r="C15" s="79"/>
      <c r="D15" s="32"/>
      <c r="E15" s="62" t="s">
        <v>134</v>
      </c>
      <c r="F15" s="74" t="s">
        <v>397</v>
      </c>
    </row>
    <row r="16" spans="1:6" ht="12.75" customHeight="1" x14ac:dyDescent="0.2">
      <c r="A16" s="29"/>
      <c r="B16" s="92" t="s">
        <v>125</v>
      </c>
      <c r="C16" s="92"/>
      <c r="D16" s="32"/>
      <c r="E16" s="62" t="s">
        <v>135</v>
      </c>
      <c r="F16" s="74">
        <v>6</v>
      </c>
    </row>
    <row r="17" spans="1:6" ht="12.75" customHeight="1" x14ac:dyDescent="0.2">
      <c r="A17" s="29"/>
      <c r="B17" s="79"/>
      <c r="C17" s="79"/>
      <c r="D17" s="32"/>
      <c r="E17" s="62" t="s">
        <v>136</v>
      </c>
      <c r="F17" s="74">
        <v>498</v>
      </c>
    </row>
    <row r="18" spans="1:6" ht="12.75" customHeight="1" x14ac:dyDescent="0.2">
      <c r="A18" s="29"/>
      <c r="B18" s="62" t="s">
        <v>126</v>
      </c>
      <c r="C18" s="74">
        <v>30</v>
      </c>
      <c r="D18" s="32"/>
      <c r="E18" s="95"/>
      <c r="F18" s="95"/>
    </row>
    <row r="19" spans="1:6" ht="12.75" customHeight="1" x14ac:dyDescent="0.2">
      <c r="A19" s="29"/>
      <c r="B19" s="62" t="s">
        <v>127</v>
      </c>
      <c r="C19" s="74">
        <v>10</v>
      </c>
      <c r="D19" s="32"/>
      <c r="E19" s="62" t="s">
        <v>137</v>
      </c>
      <c r="F19" s="63">
        <v>457</v>
      </c>
    </row>
    <row r="20" spans="1:6" ht="12.75" customHeight="1" x14ac:dyDescent="0.2">
      <c r="A20" s="29"/>
      <c r="B20" s="79"/>
      <c r="C20" s="79"/>
      <c r="D20" s="32"/>
      <c r="E20" s="94"/>
      <c r="F20" s="94"/>
    </row>
    <row r="21" spans="1:6" ht="12.75" customHeight="1" x14ac:dyDescent="0.2">
      <c r="A21" s="29"/>
      <c r="B21" s="79"/>
      <c r="C21" s="79"/>
      <c r="D21" s="32"/>
      <c r="E21" s="79"/>
      <c r="F21" s="79"/>
    </row>
    <row r="22" spans="1:6" ht="12.75" customHeight="1" x14ac:dyDescent="0.2">
      <c r="A22" s="29"/>
      <c r="B22" s="92" t="s">
        <v>128</v>
      </c>
      <c r="C22" s="92"/>
      <c r="D22" s="32"/>
      <c r="E22" s="79"/>
      <c r="F22" s="79"/>
    </row>
    <row r="23" spans="1:6" ht="12.75" customHeight="1" x14ac:dyDescent="0.2">
      <c r="A23" s="29"/>
      <c r="B23" s="79"/>
      <c r="C23" s="79"/>
      <c r="D23" s="32"/>
      <c r="E23" s="79"/>
      <c r="F23" s="79"/>
    </row>
    <row r="24" spans="1:6" ht="12.75" customHeight="1" x14ac:dyDescent="0.2">
      <c r="A24" s="29"/>
      <c r="B24" s="62" t="s">
        <v>142</v>
      </c>
      <c r="C24" s="75">
        <v>3</v>
      </c>
      <c r="D24" s="32"/>
      <c r="E24" s="79"/>
      <c r="F24" s="79"/>
    </row>
    <row r="25" spans="1:6" ht="12.75" customHeight="1" x14ac:dyDescent="0.2">
      <c r="A25" s="29"/>
      <c r="B25" s="62" t="s">
        <v>396</v>
      </c>
      <c r="C25" s="75">
        <v>80</v>
      </c>
      <c r="D25" s="32"/>
      <c r="E25" s="79"/>
      <c r="F25" s="79"/>
    </row>
    <row r="26" spans="1:6" ht="12.75" customHeight="1" x14ac:dyDescent="0.2">
      <c r="A26" s="29"/>
      <c r="B26" s="79"/>
      <c r="C26" s="79"/>
      <c r="D26" s="32"/>
      <c r="E26" s="79"/>
      <c r="F26" s="79"/>
    </row>
    <row r="27" spans="1:6" ht="12.75" customHeight="1" x14ac:dyDescent="0.2">
      <c r="A27" s="29"/>
      <c r="B27" s="79"/>
      <c r="C27" s="79"/>
      <c r="D27" s="32"/>
      <c r="E27" s="79"/>
      <c r="F27" s="79"/>
    </row>
    <row r="28" spans="1:6" ht="12.75" customHeight="1" x14ac:dyDescent="0.2">
      <c r="A28" s="29"/>
      <c r="B28" s="120" t="s">
        <v>139</v>
      </c>
      <c r="C28" s="120"/>
      <c r="D28" s="32"/>
      <c r="E28" s="79"/>
      <c r="F28" s="79"/>
    </row>
    <row r="29" spans="1:6" ht="12.75" customHeight="1" x14ac:dyDescent="0.2">
      <c r="A29" s="29"/>
      <c r="B29" s="79"/>
      <c r="C29" s="79"/>
      <c r="D29" s="32"/>
      <c r="E29" s="79"/>
      <c r="F29" s="79"/>
    </row>
    <row r="30" spans="1:6" ht="12.75" customHeight="1" x14ac:dyDescent="0.2">
      <c r="A30" s="29"/>
      <c r="B30" s="22" t="s">
        <v>127</v>
      </c>
      <c r="C30" s="76">
        <v>9.618145174336254</v>
      </c>
      <c r="D30" s="32"/>
      <c r="E30" s="79"/>
      <c r="F30" s="79"/>
    </row>
    <row r="31" spans="1:6" ht="12.75" customHeight="1" x14ac:dyDescent="0.2">
      <c r="A31" s="29"/>
      <c r="B31" s="31"/>
      <c r="C31" s="32"/>
      <c r="D31" s="32"/>
      <c r="F31" s="31"/>
    </row>
    <row r="32" spans="1:6" ht="12.75" customHeight="1" x14ac:dyDescent="0.2">
      <c r="A32" s="29"/>
      <c r="B32" s="31"/>
      <c r="C32" s="32"/>
      <c r="D32" s="32"/>
      <c r="F32" s="31"/>
    </row>
    <row r="33" spans="1:6" ht="12.75" customHeight="1" x14ac:dyDescent="0.2">
      <c r="A33" s="29"/>
      <c r="B33" s="31"/>
      <c r="C33" s="32"/>
      <c r="D33" s="32"/>
      <c r="F33" s="31"/>
    </row>
    <row r="34" spans="1:6" x14ac:dyDescent="0.2">
      <c r="A34" s="29"/>
      <c r="B34" s="31"/>
      <c r="C34" s="32"/>
      <c r="D34" s="32"/>
      <c r="F34" s="31"/>
    </row>
    <row r="35" spans="1:6" x14ac:dyDescent="0.2">
      <c r="A35" s="29"/>
      <c r="B35" s="31"/>
      <c r="C35" s="32"/>
      <c r="D35" s="32"/>
      <c r="F35" s="31"/>
    </row>
    <row r="36" spans="1:6" x14ac:dyDescent="0.2">
      <c r="A36" s="29"/>
      <c r="B36" s="31"/>
      <c r="C36" s="32"/>
      <c r="D36" s="32"/>
      <c r="F36" s="31"/>
    </row>
    <row r="37" spans="1:6" x14ac:dyDescent="0.2">
      <c r="A37" s="29"/>
      <c r="B37" s="31"/>
      <c r="C37" s="32"/>
      <c r="D37" s="32"/>
      <c r="F37" s="31"/>
    </row>
    <row r="38" spans="1:6" x14ac:dyDescent="0.2">
      <c r="A38" s="29"/>
      <c r="B38" s="31"/>
      <c r="C38" s="32"/>
      <c r="D38" s="32"/>
      <c r="F38" s="31"/>
    </row>
    <row r="39" spans="1:6" x14ac:dyDescent="0.2">
      <c r="A39" s="29"/>
      <c r="B39" s="31"/>
      <c r="C39" s="32"/>
      <c r="D39" s="32"/>
      <c r="F39" s="31"/>
    </row>
    <row r="40" spans="1:6" x14ac:dyDescent="0.2">
      <c r="A40" s="29"/>
      <c r="B40" s="31"/>
      <c r="C40" s="32"/>
      <c r="D40" s="32"/>
      <c r="F40" s="31"/>
    </row>
    <row r="41" spans="1:6" x14ac:dyDescent="0.2">
      <c r="A41" s="29"/>
      <c r="B41" s="31"/>
      <c r="C41" s="32"/>
      <c r="D41" s="32"/>
      <c r="F41" s="31"/>
    </row>
    <row r="42" spans="1:6" x14ac:dyDescent="0.2">
      <c r="A42" s="29"/>
      <c r="B42" s="31"/>
      <c r="C42" s="32"/>
      <c r="D42" s="32"/>
      <c r="F42" s="31"/>
    </row>
  </sheetData>
  <sheetProtection password="DE07" sheet="1" objects="1" scenarios="1"/>
  <mergeCells count="40">
    <mergeCell ref="E23:F23"/>
    <mergeCell ref="E24:F24"/>
    <mergeCell ref="E12:F12"/>
    <mergeCell ref="B14:C14"/>
    <mergeCell ref="B15:C15"/>
    <mergeCell ref="B17:C17"/>
    <mergeCell ref="E18:F18"/>
    <mergeCell ref="B20:C20"/>
    <mergeCell ref="E20:F20"/>
    <mergeCell ref="B16:C16"/>
    <mergeCell ref="B22:C22"/>
    <mergeCell ref="E4:F4"/>
    <mergeCell ref="B3:C3"/>
    <mergeCell ref="B21:C21"/>
    <mergeCell ref="E21:F21"/>
    <mergeCell ref="E22:F22"/>
    <mergeCell ref="B5:C5"/>
    <mergeCell ref="E5:F5"/>
    <mergeCell ref="E11:F11"/>
    <mergeCell ref="B6:C6"/>
    <mergeCell ref="E6:F6"/>
    <mergeCell ref="E9:F9"/>
    <mergeCell ref="E10:F10"/>
    <mergeCell ref="B2:C2"/>
    <mergeCell ref="B1:C1"/>
    <mergeCell ref="E1:F1"/>
    <mergeCell ref="E2:F2"/>
    <mergeCell ref="E3:F3"/>
    <mergeCell ref="B29:C29"/>
    <mergeCell ref="B27:C27"/>
    <mergeCell ref="B28:C28"/>
    <mergeCell ref="B4:C4"/>
    <mergeCell ref="B23:C23"/>
    <mergeCell ref="B26:C26"/>
    <mergeCell ref="E25:F25"/>
    <mergeCell ref="E27:F27"/>
    <mergeCell ref="E28:F28"/>
    <mergeCell ref="E29:F29"/>
    <mergeCell ref="E30:F30"/>
    <mergeCell ref="E26:F26"/>
  </mergeCells>
  <phoneticPr fontId="27" type="noConversion"/>
  <dataValidations count="4">
    <dataValidation type="decimal" allowBlank="1" showInputMessage="1" showErrorMessage="1" errorTitle="Modulus of Base Layer" error="Out of Range – Please Enter a Value between 50 and 2000." prompt="STOP!_x000a__x000a_Use button to return to Input Worksheet." sqref="F17">
      <formula1>50</formula1>
      <formula2>2000</formula2>
    </dataValidation>
    <dataValidation type="decimal" allowBlank="1" showInputMessage="1" showErrorMessage="1" errorTitle="Base Thickness" error="Out of Range – Please Enter a Value between 2 and 6." prompt="STOP!_x000a__x000a_Use button to return to Input Worksheet." sqref="F16">
      <formula1>2</formula1>
      <formula2>6</formula2>
    </dataValidation>
    <dataValidation type="decimal" allowBlank="1" showInputMessage="1" showErrorMessage="1" errorTitle="Thickness of Concrete Layer" error="Out of Range - Please Enter a Value between 6 and 16." prompt="STOP!_x000a__x000a_Use button to return to Input Worksheet." sqref="F7">
      <formula1>6</formula1>
      <formula2>16</formula2>
    </dataValidation>
    <dataValidation allowBlank="1" showInputMessage="1" showErrorMessage="1" prompt="STOP!_x000a__x000a_Use button to return to Input Worksheet." sqref="C18 C19 C24 C25 F8 F13 F14 F15 F19"/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urnToInput">
                <anchor moveWithCells="1" sizeWithCells="1">
                  <from>
                    <xdr:col>4</xdr:col>
                    <xdr:colOff>0</xdr:colOff>
                    <xdr:row>22</xdr:row>
                    <xdr:rowOff>9525</xdr:rowOff>
                  </from>
                  <to>
                    <xdr:col>6</xdr:col>
                    <xdr:colOff>0</xdr:colOff>
                    <xdr:row>25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Input</vt:lpstr>
      <vt:lpstr>Temperature</vt:lpstr>
      <vt:lpstr>Soil Classification</vt:lpstr>
      <vt:lpstr>K-Table</vt:lpstr>
      <vt:lpstr>Composite K</vt:lpstr>
      <vt:lpstr>S-Table</vt:lpstr>
      <vt:lpstr>Stress</vt:lpstr>
      <vt:lpstr>Analysis Result</vt:lpstr>
      <vt:lpstr>Final Result</vt:lpstr>
      <vt:lpstr>Time vs. Cumulative Damage</vt:lpstr>
      <vt:lpstr>Cumulative Damage vs. Punchouts</vt:lpstr>
      <vt:lpstr>Time vs. Punchout</vt:lpstr>
      <vt:lpstr>AASHTO</vt:lpstr>
      <vt:lpstr>ABL</vt:lpstr>
      <vt:lpstr>AMA</vt:lpstr>
      <vt:lpstr>ATL</vt:lpstr>
      <vt:lpstr>AUS</vt:lpstr>
      <vt:lpstr>BMT</vt:lpstr>
      <vt:lpstr>BRY</vt:lpstr>
      <vt:lpstr>BWD</vt:lpstr>
      <vt:lpstr>CHS</vt:lpstr>
      <vt:lpstr>Classification</vt:lpstr>
      <vt:lpstr>CRP</vt:lpstr>
      <vt:lpstr>DAL</vt:lpstr>
      <vt:lpstr>District</vt:lpstr>
      <vt:lpstr>ELP</vt:lpstr>
      <vt:lpstr>FTW</vt:lpstr>
      <vt:lpstr>HOU</vt:lpstr>
      <vt:lpstr>LBB</vt:lpstr>
      <vt:lpstr>LFK</vt:lpstr>
      <vt:lpstr>LRD</vt:lpstr>
      <vt:lpstr>ODA</vt:lpstr>
      <vt:lpstr>PAR</vt:lpstr>
      <vt:lpstr>PHR</vt:lpstr>
      <vt:lpstr>SAT</vt:lpstr>
      <vt:lpstr>SJT</vt:lpstr>
      <vt:lpstr>TYL</vt:lpstr>
      <vt:lpstr>USCS</vt:lpstr>
      <vt:lpstr>WAC</vt:lpstr>
      <vt:lpstr>WFS</vt:lpstr>
      <vt:lpstr>YKM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TxCRCP-ME</dc:title>
  <dc:subject>Based on Mechanistic - Empirical Principles</dc:subject>
  <dc:creator>TxDOT</dc:creator>
  <cp:lastModifiedBy>Won, Moon</cp:lastModifiedBy>
  <cp:lastPrinted>2012-03-08T21:38:59Z</cp:lastPrinted>
  <dcterms:created xsi:type="dcterms:W3CDTF">2010-03-11T21:04:44Z</dcterms:created>
  <dcterms:modified xsi:type="dcterms:W3CDTF">2016-11-28T21:23:17Z</dcterms:modified>
</cp:coreProperties>
</file>